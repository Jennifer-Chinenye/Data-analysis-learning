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firstSheet="4" activeTab="7"/>
  </bookViews>
  <sheets>
    <sheet name="RAW DATA" sheetId="1" r:id="rId1"/>
    <sheet name="Total revenue " sheetId="4" r:id="rId2"/>
    <sheet name="Top 10 companies" sheetId="5" r:id="rId3"/>
    <sheet name="Revenue by deal size" sheetId="6" r:id="rId4"/>
    <sheet name="Average sale by month" sheetId="7" r:id="rId5"/>
    <sheet name="number of transaction" sheetId="8" r:id="rId6"/>
    <sheet name="Customer's status" sheetId="10" r:id="rId7"/>
    <sheet name="CLEANED DATA" sheetId="3" r:id="rId8"/>
    <sheet name="Dashboard" sheetId="11" r:id="rId9"/>
  </sheets>
  <definedNames>
    <definedName name="Slicer_DEAL_SIZE">#N/A</definedName>
    <definedName name="Slicer_YEAR">#N/A</definedName>
    <definedName name="Slicer_PRODUCT_LINE">#N/A</definedName>
    <definedName name="Slicer_MONTH">#N/A</definedName>
    <definedName name="Slicer_COMPANIES">#N/A</definedName>
  </definedNames>
  <calcPr calcId="191029"/>
  <pivotCaches>
    <pivotCache cacheId="0" r:id="rId10"/>
  </pivotCaches>
  <extLst>
    <ext xmlns:x14="http://schemas.microsoft.com/office/spreadsheetml/2009/9/main" uri="{BBE1A952-AA13-448e-AADC-164F8A28A991}">
      <x14:slicerCaches>
        <x14:slicerCache r:id="rId15"/>
        <x14:slicerCache r:id="rId14"/>
        <x14:slicerCache r:id="rId13"/>
        <x14:slicerCache r:id="rId12"/>
        <x14:slicerCache r:id="rId11"/>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<sst xmlns="http://schemas.openxmlformats.org/spreadsheetml/2006/main" count="28120" uniqueCount="238">
  <si>
    <t>CUSTOMERS FULL NAME</t>
  </si>
  <si>
    <t>ORDER_NUMBER</t>
  </si>
  <si>
    <t>QUANTITY_ORDERED</t>
  </si>
  <si>
    <t>UNIT PRICE</t>
  </si>
  <si>
    <t>ORDER_DATE</t>
  </si>
  <si>
    <t>ORDER_STATUS</t>
  </si>
  <si>
    <t>PRODUCT_LINE</t>
  </si>
  <si>
    <t>QUARTER_ID</t>
  </si>
  <si>
    <t>YEAR_ID</t>
  </si>
  <si>
    <t>DEAL_SIZE</t>
  </si>
  <si>
    <t>COMPANIES</t>
  </si>
  <si>
    <t>Questions</t>
  </si>
  <si>
    <t>Kwai Yu</t>
  </si>
  <si>
    <t>Shipped</t>
  </si>
  <si>
    <t>Motorcycles</t>
  </si>
  <si>
    <t>Small</t>
  </si>
  <si>
    <t>Land of Toys Inc.</t>
  </si>
  <si>
    <t>1. Which product line generates the highest revenue?</t>
  </si>
  <si>
    <t>Paul Henriot</t>
  </si>
  <si>
    <t>Reims Collectables</t>
  </si>
  <si>
    <t>2. Which company generated the highest total revenue?</t>
  </si>
  <si>
    <t>Daniel Da Cunha</t>
  </si>
  <si>
    <t>Medium</t>
  </si>
  <si>
    <t>Lyon Souveniers</t>
  </si>
  <si>
    <t>3. Which deal size generated the most total revenue?</t>
  </si>
  <si>
    <t>Julie Young</t>
  </si>
  <si>
    <t>Toys4GrownUps.com</t>
  </si>
  <si>
    <t>4. Month with the highest average income.</t>
  </si>
  <si>
    <t>Julie Brown</t>
  </si>
  <si>
    <t>Corporate Gift Ideas Co.</t>
  </si>
  <si>
    <t>5. year with the highest and lowest number of transaction.</t>
  </si>
  <si>
    <t>Juri Hirano</t>
  </si>
  <si>
    <t>Technics Stores Inc.</t>
  </si>
  <si>
    <t>6. categorize customers as loyal customers who have transacted more than 20 times.</t>
  </si>
  <si>
    <t>Martine Rance</t>
  </si>
  <si>
    <t>Daedalus Designs Imports</t>
  </si>
  <si>
    <t>Veysel Oeztan</t>
  </si>
  <si>
    <t>Herkku Gifts</t>
  </si>
  <si>
    <t>Julie Murphy</t>
  </si>
  <si>
    <t>Mini Wheels Co.</t>
  </si>
  <si>
    <t>Dominique Perrier</t>
  </si>
  <si>
    <t>Auto Canal Petit</t>
  </si>
  <si>
    <t>Peter Ferguson</t>
  </si>
  <si>
    <t>Australian Collectors, Co.</t>
  </si>
  <si>
    <t>Michael Frick</t>
  </si>
  <si>
    <t>Vitachrome Inc.</t>
  </si>
  <si>
    <t>William Brown</t>
  </si>
  <si>
    <t>Tekni Collectables Inc.</t>
  </si>
  <si>
    <t>Julie King</t>
  </si>
  <si>
    <t>Gift Depot Inc.</t>
  </si>
  <si>
    <t>Janine Labrune</t>
  </si>
  <si>
    <t>La Rochelle Gifts</t>
  </si>
  <si>
    <t>Marta Hernandez</t>
  </si>
  <si>
    <t>Marta's Replicas Co.</t>
  </si>
  <si>
    <t>Matti Karttunen</t>
  </si>
  <si>
    <t>Toys of Finland, Co.</t>
  </si>
  <si>
    <t>Jonas Bergulfsen</t>
  </si>
  <si>
    <t>Baane Mini Imports</t>
  </si>
  <si>
    <t>Kyung Yu</t>
  </si>
  <si>
    <t>Diecast Classics Inc.</t>
  </si>
  <si>
    <t>Georg Pipps</t>
  </si>
  <si>
    <t>Large</t>
  </si>
  <si>
    <t>Salzburg Collectables</t>
  </si>
  <si>
    <t>Adrian Huxley</t>
  </si>
  <si>
    <t>Souveniers And Things Co.</t>
  </si>
  <si>
    <t>Violeta Benitez</t>
  </si>
  <si>
    <t>FunGiftIdeas.com</t>
  </si>
  <si>
    <t>Elizabeth Devon</t>
  </si>
  <si>
    <t>UK Collectables, Ltd.</t>
  </si>
  <si>
    <t>Diego Freyre</t>
  </si>
  <si>
    <t>Disputed</t>
  </si>
  <si>
    <t>Euro Shopping Channel</t>
  </si>
  <si>
    <t>Classic Cars</t>
  </si>
  <si>
    <t>Christina Berglund</t>
  </si>
  <si>
    <t>Volvo Model Replicas, Co</t>
  </si>
  <si>
    <t>Mart¡n Sommer</t>
  </si>
  <si>
    <t>Corrida Auto Replicas, Ltd</t>
  </si>
  <si>
    <t>Eric Natividad</t>
  </si>
  <si>
    <t>Dragon Souveniers, Ltd.</t>
  </si>
  <si>
    <t>Maria Hernandez</t>
  </si>
  <si>
    <t>Classic Legends Inc.</t>
  </si>
  <si>
    <t>Tony Calaghan</t>
  </si>
  <si>
    <t>Australian Gift Network, Co</t>
  </si>
  <si>
    <t>Francisca Cervantes</t>
  </si>
  <si>
    <t>Classic Gift Ideas, Inc</t>
  </si>
  <si>
    <t>Mary Saveley</t>
  </si>
  <si>
    <t>Saveley &amp; Henriot, Co.</t>
  </si>
  <si>
    <t>Yoshi Tannamuri</t>
  </si>
  <si>
    <t>Canadian Gift Exchange Network</t>
  </si>
  <si>
    <t>Steve Thompson</t>
  </si>
  <si>
    <t>West Coast Collectables Co.</t>
  </si>
  <si>
    <t>Kyung Tseng</t>
  </si>
  <si>
    <t>Cambridge Collectables Co.</t>
  </si>
  <si>
    <t>Leslie Murphy</t>
  </si>
  <si>
    <t>Super Scale Inc.</t>
  </si>
  <si>
    <t>Akiko Shimamura</t>
  </si>
  <si>
    <t>Tokyo Collectables, Ltd</t>
  </si>
  <si>
    <t>Paolo Accorti</t>
  </si>
  <si>
    <t>Amica Models &amp; Co.</t>
  </si>
  <si>
    <t>Maria Larsson</t>
  </si>
  <si>
    <t>Scandinavian Gift Ideas</t>
  </si>
  <si>
    <t>Daniel Tonini</t>
  </si>
  <si>
    <t>Auto Assoc. &amp; Cie.</t>
  </si>
  <si>
    <t>Valarie Nelson</t>
  </si>
  <si>
    <t>Mini Gifts Distributors Ltd.</t>
  </si>
  <si>
    <t>Valarie Young</t>
  </si>
  <si>
    <t>Online Diecast Creations Co.</t>
  </si>
  <si>
    <t>Allen Nelson</t>
  </si>
  <si>
    <t>Collectables For Less Inc.</t>
  </si>
  <si>
    <t>Anna O'Hara</t>
  </si>
  <si>
    <t>Anna's Decorations, Ltd</t>
  </si>
  <si>
    <t>Jean Fresnisre</t>
  </si>
  <si>
    <t>Quebec Home Shopping Network</t>
  </si>
  <si>
    <t>In Process</t>
  </si>
  <si>
    <t>Mory Kentary</t>
  </si>
  <si>
    <t>Osaka Souveniers Co.</t>
  </si>
  <si>
    <t>Rosa Hernandez</t>
  </si>
  <si>
    <t>Motor Mint Distributors Inc.</t>
  </si>
  <si>
    <t>Carine Schmitt</t>
  </si>
  <si>
    <t>Atelier graphique</t>
  </si>
  <si>
    <t>Steve Frick</t>
  </si>
  <si>
    <t>Mini Classics</t>
  </si>
  <si>
    <t>Jytte Petersen</t>
  </si>
  <si>
    <t>Danish Wholesale Imports</t>
  </si>
  <si>
    <t>Ann Brown</t>
  </si>
  <si>
    <t>Stylish Desk Decors, Co.</t>
  </si>
  <si>
    <t>Wing C Tam</t>
  </si>
  <si>
    <t>Mini Creations Ltd.</t>
  </si>
  <si>
    <t>Cancelled</t>
  </si>
  <si>
    <t>Annette Roulet</t>
  </si>
  <si>
    <t>Alpha Cognac</t>
  </si>
  <si>
    <t>Thomas Hardy</t>
  </si>
  <si>
    <t>Double Decker Gift Stores, Ltd</t>
  </si>
  <si>
    <t>Eduardo Saavedra</t>
  </si>
  <si>
    <t>Enaco Distributors</t>
  </si>
  <si>
    <t>Michael Chandler</t>
  </si>
  <si>
    <t>Men 'R' US Retailers, Ltd.</t>
  </si>
  <si>
    <t>Valarie Thompson</t>
  </si>
  <si>
    <t>Collectable Mini Designs Co.</t>
  </si>
  <si>
    <t>Catherine Dewey</t>
  </si>
  <si>
    <t>Petit Auto</t>
  </si>
  <si>
    <t>Elizabeth Lincoln</t>
  </si>
  <si>
    <t>Royal Canadian Collectables, Ltd.</t>
  </si>
  <si>
    <t>Juri Yoshido</t>
  </si>
  <si>
    <t>Gifts4AllAges.com</t>
  </si>
  <si>
    <t>Helen Bennett</t>
  </si>
  <si>
    <t>giftsbymail.co.uk</t>
  </si>
  <si>
    <t>Pirkko Koskitalo</t>
  </si>
  <si>
    <t>Oulu Toy Supplies, Inc.</t>
  </si>
  <si>
    <t>Sue Frick</t>
  </si>
  <si>
    <t>The Sharp Gifts Warehouse</t>
  </si>
  <si>
    <t>On Hold</t>
  </si>
  <si>
    <t>Marie Bertrand</t>
  </si>
  <si>
    <t>La Corne D'abondance, Co.</t>
  </si>
  <si>
    <t>Roland Mendel</t>
  </si>
  <si>
    <t>Resolved</t>
  </si>
  <si>
    <t>Mini Auto Werke</t>
  </si>
  <si>
    <t>Valarie Franco</t>
  </si>
  <si>
    <t>Diecast Collectables</t>
  </si>
  <si>
    <t>Wendy Victorino</t>
  </si>
  <si>
    <t>Handji Gifts&amp; Co</t>
  </si>
  <si>
    <t>Arnold Cruz</t>
  </si>
  <si>
    <t>Cruz &amp; Sons Co.</t>
  </si>
  <si>
    <t>Laurence Lebihan</t>
  </si>
  <si>
    <t>Marseille Mini Autos</t>
  </si>
  <si>
    <t>Henriette Pfalzheim</t>
  </si>
  <si>
    <t>Toms Spezialitten, Ltd</t>
  </si>
  <si>
    <t>Michael Holz</t>
  </si>
  <si>
    <t>Vida Sport, Ltd</t>
  </si>
  <si>
    <t>Maurizio Moroni</t>
  </si>
  <si>
    <t>L'ordine Souveniers</t>
  </si>
  <si>
    <t>Miguel Barajas</t>
  </si>
  <si>
    <t>Online Mini Collectables</t>
  </si>
  <si>
    <t>Roland Keitel</t>
  </si>
  <si>
    <t>Blauer See Auto, Co.</t>
  </si>
  <si>
    <t>Kalle Suominen</t>
  </si>
  <si>
    <t>Suominen Souveniers</t>
  </si>
  <si>
    <t>Jeff Young</t>
  </si>
  <si>
    <t>Muscle Machine Inc</t>
  </si>
  <si>
    <t>Dean Cassidy</t>
  </si>
  <si>
    <t>Clover Collections, Co.</t>
  </si>
  <si>
    <t>Jesus Fernandez</t>
  </si>
  <si>
    <t>CAF Imports</t>
  </si>
  <si>
    <t>Victoria Ashworth</t>
  </si>
  <si>
    <t>AV Stores, Co.</t>
  </si>
  <si>
    <t>Palle Ibsen</t>
  </si>
  <si>
    <t>Heintze Collectables</t>
  </si>
  <si>
    <t>Trucks and Buses</t>
  </si>
  <si>
    <t>Kee Kuo</t>
  </si>
  <si>
    <t>Microscale Inc.</t>
  </si>
  <si>
    <t>Leslie Young</t>
  </si>
  <si>
    <t>Boards &amp; Toys Co.</t>
  </si>
  <si>
    <t>Jose Pedro Roel</t>
  </si>
  <si>
    <t>Iberia Gift Imports, Corp.</t>
  </si>
  <si>
    <t>Sue Taylor</t>
  </si>
  <si>
    <t>Signal Collectibles Ltd.</t>
  </si>
  <si>
    <t>Frederique Citeaux</t>
  </si>
  <si>
    <t>Mini Caravy</t>
  </si>
  <si>
    <t>Sue King</t>
  </si>
  <si>
    <t>Signal Gift Stores</t>
  </si>
  <si>
    <t>Jan Klaeboe</t>
  </si>
  <si>
    <t>Norway Gifts By Mail, Co.</t>
  </si>
  <si>
    <t>Vintage Cars</t>
  </si>
  <si>
    <t>Giovanni Rovelli</t>
  </si>
  <si>
    <t>Rovelli Gifts</t>
  </si>
  <si>
    <t>Sean Connery</t>
  </si>
  <si>
    <t>Australian Collectables, Ltd</t>
  </si>
  <si>
    <t>Planes</t>
  </si>
  <si>
    <t>Dan Lewis</t>
  </si>
  <si>
    <t>Gift Ideas Corp.</t>
  </si>
  <si>
    <t>Michael Donnermeyer</t>
  </si>
  <si>
    <t>Bavarian Collectables Imports, Co.</t>
  </si>
  <si>
    <t>Pascale Cartrain</t>
  </si>
  <si>
    <t>Royale Belge</t>
  </si>
  <si>
    <t>Ships</t>
  </si>
  <si>
    <t>Leslie Taylor</t>
  </si>
  <si>
    <t>Auto-Moto Classics Inc.</t>
  </si>
  <si>
    <t>Trains</t>
  </si>
  <si>
    <t>Sum of REVENUE</t>
  </si>
  <si>
    <t>Grand Total</t>
  </si>
  <si>
    <t>MONTH</t>
  </si>
  <si>
    <t>Average of REVENUE</t>
  </si>
  <si>
    <t>July</t>
  </si>
  <si>
    <t>June</t>
  </si>
  <si>
    <t>April</t>
  </si>
  <si>
    <t>March</t>
  </si>
  <si>
    <t>February</t>
  </si>
  <si>
    <t>December</t>
  </si>
  <si>
    <t>October</t>
  </si>
  <si>
    <t>November</t>
  </si>
  <si>
    <t>January</t>
  </si>
  <si>
    <t>May</t>
  </si>
  <si>
    <t>September</t>
  </si>
  <si>
    <t>YEAR</t>
  </si>
  <si>
    <t>Count of ORDER_NUMBER</t>
  </si>
  <si>
    <t>CATEGORY</t>
  </si>
  <si>
    <t>DISCOUNT</t>
  </si>
  <si>
    <t>REVENUE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</si>
</sst>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Red]\(0\)"/>
    <numFmt numFmtId="179" formatCode="m/d/yyyy;@"/>
    <numFmt numFmtId="180" formatCode="&quot;$&quot;#,##0.0_);[Red]\(&quot;$&quot;#,##0.0\)"/>
    <numFmt numFmtId="181" formatCode="&quot;$&quot;#,##0;\-&quot;$&quot;#,##0"/>
  </numFmts>
  <fonts count="23">
    <font>
      <sz val="11"/>
      <color theme="1"/>
      <name val="Calibri"/>
      <charset val="134"/>
      <scheme val="minor"/>
    </font>
    <font>
      <b/>
      <sz val="12"/>
      <color theme="1"/>
      <name val="Calibri"/>
      <charset val="134"/>
      <scheme val="minor"/>
    </font>
    <font>
      <sz val="10"/>
      <color theme="1"/>
      <name val="Arial Black"/>
      <charset val="134"/>
    </font>
    <font>
      <b/>
      <sz val="10"/>
      <color theme="1"/>
      <name val="Arial Black"/>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3">
    <xf numFmtId="0" fontId="0" fillId="0" borderId="0" xfId="0"/>
    <xf numFmtId="0" fontId="0" fillId="0" borderId="0" xfId="0" applyAlignment="1"/>
    <xf numFmtId="49" fontId="0" fillId="0" borderId="0" xfId="0" applyNumberFormat="1"/>
    <xf numFmtId="178" fontId="0" fillId="0" borderId="0" xfId="0" applyNumberFormat="1"/>
    <xf numFmtId="8" fontId="0" fillId="0" borderId="0" xfId="0" applyNumberFormat="1"/>
    <xf numFmtId="179" fontId="0" fillId="0" borderId="0" xfId="0" applyNumberFormat="1"/>
    <xf numFmtId="0" fontId="0" fillId="0" borderId="0" xfId="0" applyNumberFormat="1"/>
    <xf numFmtId="180" fontId="0" fillId="0" borderId="0" xfId="0" applyNumberFormat="1"/>
    <xf numFmtId="49" fontId="1" fillId="0" borderId="0" xfId="0" applyNumberFormat="1" applyFont="1"/>
    <xf numFmtId="178" fontId="1" fillId="0" borderId="0" xfId="0" applyNumberFormat="1" applyFont="1"/>
    <xf numFmtId="8" fontId="1" fillId="0" borderId="0" xfId="2" applyNumberFormat="1" applyFont="1"/>
    <xf numFmtId="179" fontId="1" fillId="0" borderId="0" xfId="0" applyNumberFormat="1" applyFont="1"/>
    <xf numFmtId="0" fontId="1" fillId="0" borderId="0" xfId="0" applyFont="1"/>
    <xf numFmtId="8" fontId="0" fillId="0" borderId="0" xfId="2" applyNumberFormat="1" applyFont="1"/>
    <xf numFmtId="0" fontId="1" fillId="0" borderId="0" xfId="0" applyNumberFormat="1" applyFont="1"/>
    <xf numFmtId="180" fontId="1" fillId="0" borderId="0" xfId="0" applyNumberFormat="1" applyFont="1"/>
    <xf numFmtId="0" fontId="2" fillId="2" borderId="0" xfId="0" applyFont="1" applyFill="1"/>
    <xf numFmtId="0" fontId="3" fillId="2" borderId="0" xfId="0" applyFont="1" applyFill="1"/>
    <xf numFmtId="1" fontId="0" fillId="0" borderId="0" xfId="0" applyNumberFormat="1"/>
    <xf numFmtId="181" fontId="0" fillId="0" borderId="0" xfId="0" applyNumberFormat="1"/>
    <xf numFmtId="44" fontId="1" fillId="0" borderId="0" xfId="2" applyFont="1"/>
    <xf numFmtId="44" fontId="0" fillId="0" borderId="0" xfId="2" applyFont="1"/>
    <xf numFmtId="58"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2">
    <dxf>
      <numFmt numFmtId="8" formatCode="&quot;$&quot;#,##0.00_);[Red]\(&quot;$&quot;#,##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9" tint="0.6"/>
        </patternFill>
      </fill>
    </dxf>
    <dxf>
      <fill>
        <patternFill patternType="solid">
          <bgColor rgb="FF92D050"/>
        </patternFill>
      </fill>
    </dxf>
    <dxf>
      <font>
        <name val="Arial Black"/>
        <scheme val="none"/>
      </font>
    </dxf>
    <dxf>
      <font>
        <sz val="10"/>
      </font>
    </dxf>
    <dxf>
      <numFmt numFmtId="49" formatCode="@"/>
    </dxf>
    <dxf>
      <numFmt numFmtId="178" formatCode="0_);[Red]\(0\)"/>
    </dxf>
    <dxf>
      <numFmt numFmtId="178" formatCode="0_);[Red]\(0\)"/>
    </dxf>
    <dxf>
      <font>
        <name val="Calibri"/>
        <scheme val="none"/>
        <charset val="134"/>
        <family val="2"/>
        <b val="0"/>
        <i val="0"/>
        <strike val="0"/>
        <u val="none"/>
        <sz val="11"/>
        <color theme="1"/>
      </font>
      <numFmt numFmtId="8" formatCode="&quot;$&quot;#,##0.00_);[Red]\(&quot;$&quot;#,##0.00\)"/>
    </dxf>
    <dxf>
      <numFmt numFmtId="179" formatCode="m/d/yyyy;@"/>
    </dxf>
    <dxf>
      <numFmt numFmtId="49" formatCode="@"/>
    </dxf>
    <dxf>
      <numFmt numFmtId="49" formatCode="@"/>
    </dxf>
    <dxf>
      <numFmt numFmtId="178" formatCode="0_);[Red]\(0\)"/>
    </dxf>
    <dxf>
      <numFmt numFmtId="0" formatCode="General"/>
    </dxf>
    <dxf>
      <numFmt numFmtId="49" formatCode="@"/>
    </dxf>
    <dxf>
      <numFmt numFmtId="49" formatCode="@"/>
    </dxf>
    <dxf>
      <numFmt numFmtId="180" formatCode="&quot;$&quot;#,##0.0_);[Red]\(&quot;$&quot;#,##0.0\)"/>
    </dxf>
    <dxf>
      <numFmt numFmtId="49" formatCode="@"/>
    </dxf>
    <dxf>
      <numFmt numFmtId="0" formatCode="General"/>
    </dxf>
    <dxf>
      <fill>
        <patternFill patternType="solid">
          <fgColor rgb="FF000000" tint="0.799981688894314"/>
          <bgColor rgb="FF000000" tint="0.799981688894314"/>
        </patternFill>
      </fill>
    </dxf>
    <dxf>
      <fill>
        <patternFill patternType="solid">
          <fgColor rgb="FF000000" tint="0.799981688894314"/>
          <bgColor rgb="FF000000" tint="0.799981688894314"/>
        </patternFill>
      </fill>
    </dxf>
    <dxf>
      <font>
        <b val="1"/>
        <color rgb="FF000000"/>
      </font>
    </dxf>
    <dxf>
      <font>
        <b val="1"/>
        <color rgb="FF000000"/>
      </font>
    </dxf>
    <dxf>
      <font>
        <b val="1"/>
        <color rgb="FF000000"/>
      </font>
      <border>
        <top style="double">
          <color rgb="FF000000"/>
        </top>
      </border>
    </dxf>
    <dxf>
      <font>
        <b val="1"/>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horizontal style="thin">
          <color rgb="FF000000" tint="0.399975585192419"/>
        </horizontal>
      </border>
    </dxf>
    <dxf/>
    <dxf>
      <fill>
        <patternFill patternType="solid">
          <fgColor rgb="FF000000" tint="0.799981688894314"/>
          <bgColor rgb="FF000000" tint="0.799981688894314"/>
        </patternFill>
      </fill>
      <border>
        <bottom style="thin">
          <color rgb="FF000000" tint="0.399975585192419"/>
        </bottom>
      </border>
    </dxf>
    <dxf>
      <font>
        <b val="1"/>
      </font>
      <fill>
        <patternFill patternType="solid">
          <fgColor rgb="FF000000" tint="0.799981688894314"/>
          <bgColor rgb="FF000000" tint="0.799981688894314"/>
        </patternFill>
      </fill>
      <border>
        <bottom style="thin">
          <color rgb="FF000000" tint="0.399975585192419"/>
        </bottom>
      </border>
    </dxf>
    <dxf>
      <font>
        <color rgb="FF000000"/>
      </font>
    </dxf>
    <dxf>
      <font>
        <color rgb="FF000000"/>
      </font>
      <border>
        <bottom style="thin">
          <color rgb="FF000000" tint="0.399975585192419"/>
        </bottom>
      </border>
    </dxf>
    <dxf>
      <font>
        <b val="1"/>
        <color rgb="FF000000"/>
      </font>
    </dxf>
    <dxf>
      <font>
        <b val="1"/>
        <color rgb="FF000000"/>
      </font>
      <border>
        <top style="thin">
          <color rgb="FF000000"/>
        </top>
        <bottom style="thin">
          <color rgb="FF000000"/>
        </bottom>
      </border>
    </dxf>
    <dxf>
      <fill>
        <patternFill patternType="solid">
          <fgColor rgb="FF000000" tint="0.799981688894314"/>
          <bgColor rgb="FF000000" tint="0.799981688894314"/>
        </patternFill>
      </fill>
    </dxf>
    <dxf>
      <fill>
        <patternFill patternType="solid">
          <fgColor rgb="FF000000" tint="0.799981688894314"/>
          <bgColor rgb="FF000000" tint="0.799981688894314"/>
        </patternFill>
      </fill>
    </dxf>
    <dxf>
      <font>
        <b val="1"/>
        <color rgb="FF000000"/>
      </font>
      <fill>
        <patternFill patternType="solid">
          <fgColor rgb="FF000000" tint="0.799981688894314"/>
          <bgColor rgb="FF000000" tint="0.799981688894314"/>
        </patternFill>
      </fill>
      <border>
        <top style="thin">
          <color rgb="FF000000" tint="0.399975585192419"/>
        </top>
        <bottom style="thin">
          <color rgb="FF000000" tint="0.399975585192419"/>
        </bottom>
      </border>
    </dxf>
    <dxf>
      <font>
        <b val="1"/>
        <color rgb="FF000000"/>
      </font>
      <fill>
        <patternFill patternType="solid">
          <fgColor rgb="FF000000" tint="0.799981688894314"/>
          <bgColor rgb="FF000000" tint="0.799981688894314"/>
        </patternFill>
      </fill>
      <border>
        <bottom style="thin">
          <color rgb="FF000000" tint="0.399975585192419"/>
        </bottom>
      </border>
    </dxf>
    <dxf>
      <font>
        <color theme="0"/>
      </font>
      <fill>
        <patternFill patternType="solid">
          <fgColor theme="4"/>
          <bgColor theme="4"/>
        </patternFill>
      </fill>
      <border>
        <horizontal style="thin">
          <color theme="4" tint="-0.499984740745262"/>
        </horizontal>
      </border>
    </dxf>
    <dxf>
      <font>
        <b val="1"/>
        <color theme="0"/>
      </font>
      <fill>
        <patternFill patternType="solid">
          <fgColor theme="4"/>
          <bgColor theme="4"/>
        </patternFill>
      </fill>
      <border>
        <horizontal style="thin">
          <color theme="4" tint="-0.499984740745262"/>
        </horizontal>
      </border>
    </dxf>
    <dxf>
      <font>
        <b val="1"/>
        <color theme="1"/>
      </font>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dxf>
    <dxf>
      <border>
        <left style="thin">
          <color theme="4" tint="0.399975585192419"/>
        </left>
        <right style="thin">
          <color theme="4" tint="0.399975585192419"/>
        </right>
      </border>
    </dxf>
    <dxf>
      <border>
        <top style="thin">
          <color theme="4" tint="0.399975585192419"/>
        </top>
        <bottom style="thin">
          <color theme="4" tint="0.399975585192419"/>
        </bottom>
        <horizontal style="thin">
          <color theme="4" tint="0.399975585192419"/>
        </horizontal>
      </border>
    </dxf>
    <dxf>
      <font>
        <b val="1"/>
      </font>
      <border>
        <top style="thin">
          <color theme="4" tint="-0.249977111117893"/>
        </top>
        <bottom style="medium">
          <color theme="4" tint="-0.249977111117893"/>
        </bottom>
      </border>
    </dxf>
    <dxf>
      <font>
        <b val="1"/>
        <color theme="0"/>
      </font>
      <fill>
        <patternFill patternType="solid">
          <fgColor theme="4"/>
          <bgColor theme="4"/>
        </patternFill>
      </fill>
      <border>
        <top style="thin">
          <color theme="4"/>
        </top>
      </border>
    </dxf>
    <dxf>
      <font>
        <color theme="1"/>
      </font>
    </dxf>
    <dxf>
      <font>
        <color theme="0"/>
      </font>
      <fill>
        <patternFill patternType="solid">
          <fgColor theme="9"/>
          <bgColor theme="9"/>
        </patternFill>
      </fill>
      <border>
        <horizontal style="thin">
          <color theme="9" tint="-0.499984740745262"/>
        </horizontal>
      </border>
    </dxf>
    <dxf>
      <font>
        <b val="1"/>
        <color theme="0"/>
      </font>
      <fill>
        <patternFill patternType="solid">
          <fgColor theme="9"/>
          <bgColor theme="9"/>
        </patternFill>
      </fill>
      <border>
        <horizontal style="thin">
          <color theme="9" tint="-0.499984740745262"/>
        </horizontal>
      </border>
    </dxf>
    <dxf>
      <font>
        <b val="1"/>
        <color theme="1"/>
      </font>
    </dxf>
    <dxf>
      <font>
        <b val="1"/>
        <color theme="1"/>
      </font>
      <fill>
        <patternFill patternType="solid">
          <fgColor theme="9" tint="0.799981688894314"/>
          <bgColor theme="9" tint="0.799981688894314"/>
        </patternFill>
      </fill>
      <border>
        <top style="thin">
          <color theme="9" tint="0.399975585192419"/>
        </top>
        <bottom style="thin">
          <color theme="9" tint="0.399975585192419"/>
        </bottom>
      </border>
    </dxf>
    <dxf>
      <font>
        <b val="1"/>
        <color theme="1"/>
      </font>
    </dxf>
    <dxf>
      <border>
        <left style="thin">
          <color theme="9" tint="0.399975585192419"/>
        </left>
        <right style="thin">
          <color theme="9" tint="0.399975585192419"/>
        </right>
      </border>
    </dxf>
    <dxf>
      <border>
        <top style="thin">
          <color theme="9" tint="0.399975585192419"/>
        </top>
        <bottom style="thin">
          <color theme="9" tint="0.399975585192419"/>
        </bottom>
        <horizontal style="thin">
          <color theme="9" tint="0.399975585192419"/>
        </horizontal>
      </border>
    </dxf>
    <dxf>
      <font>
        <b val="1"/>
      </font>
      <border>
        <top style="thin">
          <color theme="9" tint="-0.249977111117893"/>
        </top>
        <bottom style="medium">
          <color theme="9" tint="-0.249977111117893"/>
        </bottom>
      </border>
    </dxf>
    <dxf>
      <font>
        <b val="1"/>
        <color theme="0"/>
      </font>
      <fill>
        <patternFill patternType="solid">
          <fgColor theme="9"/>
          <bgColor theme="9"/>
        </patternFill>
      </fill>
      <border>
        <top style="thin">
          <color theme="9"/>
        </top>
      </border>
    </dxf>
    <dxf>
      <font>
        <color theme="1"/>
      </font>
    </dxf>
  </dxfs>
  <tableStyles count="5" defaultTableStyle="TableStyleMedium2" defaultPivotStyle="PivotStyleLight16">
    <tableStyle name="TableStylePreset3_Dark" pivot="0" count="7" xr9:uid="{A23A6A0A-29F2-439B-92E2-2009244044D1}">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 name="PivotTable Style 1" table="0" count="1" xr9:uid="{800D844A-DF60-4EF0-905F-05AA2CA14D11}">
      <tableStyleElement type="wholeTable" dxfId="31"/>
    </tableStyle>
    <tableStyle name="PivotStylePreset2_Dark" table="0" count="10" xr9:uid="{15B19EF5-09D3-4D49-97D3-E915C9EFE2EB}">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 name="PivotStylePreset3_Accent1" table="0" count="10" xr9:uid="{596B0756-EA77-4524-A990-578CE70DFEA9}">
      <tableStyleElement type="wholeTable" dxfId="51"/>
      <tableStyleElement type="headerRow" dxfId="50"/>
      <tableStyleElement type="totalRow" dxfId="49"/>
      <tableStyleElement type="secondRowStripe" dxfId="48"/>
      <tableStyleElement type="secondColumnStripe" dxfId="47"/>
      <tableStyleElement type="firstSubtotalRow" dxfId="46"/>
      <tableStyleElement type="firstRowSubheading" dxfId="45"/>
      <tableStyleElement type="secondRowSubheading" dxfId="44"/>
      <tableStyleElement type="pageFieldLabels" dxfId="43"/>
      <tableStyleElement type="pageFieldValues" dxfId="42"/>
    </tableStyle>
    <tableStyle name="PivotStylePreset3_Accent6" table="0" count="10" xr9:uid="{FCC95046-343D-448E-A98A-9F28F4AB830B}">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RowSubheading" dxfId="55"/>
      <tableStyleElement type="secondRowSubheading" dxfId="54"/>
      <tableStyleElement type="pageFieldLabels" dxfId="53"/>
      <tableStyleElement type="pageFieldValues" dxfId="5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microsoft.com/office/2007/relationships/slicerCache" Target="slicerCaches/slicerCache5.xml"/><Relationship Id="rId14" Type="http://schemas.microsoft.com/office/2007/relationships/slicerCache" Target="slicerCaches/slicerCache4.xml"/><Relationship Id="rId13" Type="http://schemas.microsoft.com/office/2007/relationships/slicerCache" Target="slicerCaches/slicerCache3.xml"/><Relationship Id="rId12" Type="http://schemas.microsoft.com/office/2007/relationships/slicerCache" Target="slicerCaches/slicerCache2.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[RawBusiness_DataSet(1).xlsx]Total revenue !PivotTable1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Total Revenue by Product Line</a:t>
            </a:r>
          </a:p>
        </c:rich>
      </c:tx>
      <c:layout/>
      <c:overlay val="0"/>
      <c:spPr>
        <a:noFill/>
        <a:ln>
          <a:noFill/>
        </a:ln>
        <a:effectLst/>
      </c:spPr>
    </c:title>
    <c:autoTitleDeleted val="0"/>
    <c:plotArea>
      <c:layout>
        <c:manualLayout>
          <c:layoutTarget val="inner"/>
          <c:xMode val="edge"/>
          <c:yMode val="edge"/>
          <c:x val="0.13604228609184"/>
          <c:y val="0.158279390269367"/>
          <c:w val="0.834225305583086"/>
          <c:h val="0.483107120484443"/>
        </c:manualLayout>
      </c:layout>
      <c:barChart>
        <c:barDir val="col"/>
        <c:grouping val="clustered"/>
        <c:varyColors val="0"/>
        <c:ser>
          <c:idx val="0"/>
          <c:order val="0"/>
          <c:tx>
            <c:strRef>
              <c:f>'Total revenue '!$B$3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 revenue '!$A$4:$A$11</c:f>
              <c:strCache>
                <c:ptCount val="7"/>
                <c:pt idx="0">
                  <c:v>Vintage Cars</c:v>
                </c:pt>
                <c:pt idx="1">
                  <c:v>Classic Cars</c:v>
                </c:pt>
                <c:pt idx="2">
                  <c:v>Trucks and Buses</c:v>
                </c:pt>
                <c:pt idx="3">
                  <c:v>Motorcycles</c:v>
                </c:pt>
                <c:pt idx="4">
                  <c:v>Planes</c:v>
                </c:pt>
                <c:pt idx="5">
                  <c:v>Ships</c:v>
                </c:pt>
                <c:pt idx="6">
                  <c:v>Trains</c:v>
                </c:pt>
              </c:strCache>
            </c:strRef>
          </c:cat>
          <c:val>
            <c:numRef>
              <c:f>'Total revenue '!$B$4:$B$11</c:f>
              <c:numCache>
                <c:formatCode>"$"#,##0.00_);[Red]\("$"#,##0.00\)</c:formatCode>
                <c:ptCount val="7"/>
                <c:pt idx="0">
                  <c:v>300475.38</c:v>
                </c:pt>
                <c:pt idx="1">
                  <c:v>287293.32</c:v>
                </c:pt>
                <c:pt idx="2">
                  <c:v>125515.93</c:v>
                </c:pt>
                <c:pt idx="3">
                  <c:v>124374.61</c:v>
                </c:pt>
                <c:pt idx="4">
                  <c:v>99609.61</c:v>
                </c:pt>
                <c:pt idx="5">
                  <c:v>81536.33</c:v>
                </c:pt>
                <c:pt idx="6">
                  <c:v>30074.51</c:v>
                </c:pt>
              </c:numCache>
            </c:numRef>
          </c:val>
        </c:ser>
        <c:dLbls>
          <c:showLegendKey val="0"/>
          <c:showVal val="1"/>
          <c:showCatName val="0"/>
          <c:showSerName val="0"/>
          <c:showPercent val="0"/>
          <c:showBubbleSize val="0"/>
        </c:dLbls>
        <c:gapWidth val="161"/>
        <c:overlap val="-32"/>
        <c:axId val="246941829"/>
        <c:axId val="97135852"/>
      </c:barChart>
      <c:catAx>
        <c:axId val="24694182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latin typeface="Arial Black" panose="020B0A04020102020204" charset="0"/>
                    <a:cs typeface="Arial Black" panose="020B0A04020102020204" charset="0"/>
                  </a:rPr>
                  <a:t>Product Line</a:t>
                </a:r>
                <a:endParaRPr b="1">
                  <a:latin typeface="Arial Black" panose="020B0A04020102020204" charset="0"/>
                  <a:cs typeface="Arial Black" panose="020B0A04020102020204" charset="0"/>
                </a:endParaRPr>
              </a:p>
            </c:rich>
          </c:tx>
          <c:layout>
            <c:manualLayout>
              <c:xMode val="edge"/>
              <c:yMode val="edge"/>
              <c:x val="0.409328207382528"/>
              <c:y val="0.825911349461329"/>
            </c:manualLayout>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7135852"/>
        <c:crosses val="autoZero"/>
        <c:auto val="1"/>
        <c:lblAlgn val="ctr"/>
        <c:lblOffset val="100"/>
        <c:noMultiLvlLbl val="0"/>
      </c:catAx>
      <c:valAx>
        <c:axId val="97135852"/>
        <c:scaling>
          <c:orientation val="minMax"/>
        </c:scaling>
        <c:delete val="1"/>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latin typeface="Arial Black" panose="020B0A04020102020204" charset="0"/>
                    <a:cs typeface="Arial Black" panose="020B0A04020102020204" charset="0"/>
                  </a:rPr>
                  <a:t>Total Revenue</a:t>
                </a:r>
                <a:endParaRPr b="1">
                  <a:latin typeface="Arial Black" panose="020B0A04020102020204" charset="0"/>
                  <a:cs typeface="Arial Black" panose="020B0A04020102020204" charset="0"/>
                </a:endParaRPr>
              </a:p>
            </c:rich>
          </c:tx>
          <c:layout>
            <c:manualLayout>
              <c:xMode val="edge"/>
              <c:yMode val="edge"/>
              <c:x val="0.0766410057366519"/>
              <c:y val="0.230127901123954"/>
            </c:manualLayout>
          </c:layout>
          <c:overlay val="0"/>
          <c:spPr>
            <a:noFill/>
            <a:ln>
              <a:noFill/>
            </a:ln>
            <a:effectLst/>
          </c:spPr>
        </c:title>
        <c:numFmt formatCode="&quot;$&quot;#,##0.00_);[Red]\(&quot;$&quot;#,##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4694182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04427d0c-e5af-4fda-b0f0-28852676ba6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[RawBusiness_DataSet(1).xlsx]Top 10 companies!PivotTable1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Top 10 Companies by Total Revenue</a:t>
            </a:r>
          </a:p>
        </c:rich>
      </c:tx>
      <c:layout/>
      <c:overlay val="0"/>
      <c:spPr>
        <a:noFill/>
        <a:ln>
          <a:noFill/>
        </a:ln>
        <a:effectLst/>
      </c:spPr>
    </c:title>
    <c:autoTitleDeleted val="0"/>
    <c:plotArea>
      <c:layout>
        <c:manualLayout>
          <c:layoutTarget val="inner"/>
          <c:xMode val="edge"/>
          <c:yMode val="edge"/>
          <c:x val="0.298368421052632"/>
          <c:y val="0.177083333333333"/>
          <c:w val="0.585842105263158"/>
          <c:h val="0.771990740740741"/>
        </c:manualLayout>
      </c:layout>
      <c:barChart>
        <c:barDir val="bar"/>
        <c:grouping val="clustered"/>
        <c:varyColors val="0"/>
        <c:ser>
          <c:idx val="0"/>
          <c:order val="0"/>
          <c:tx>
            <c:strRef>
              <c:f>'Top 10 companies'!$B$3</c:f>
              <c:strCache>
                <c:ptCount val="1"/>
                <c:pt idx="0">
                  <c:v>Total</c:v>
                </c:pt>
              </c:strCache>
            </c:strRef>
          </c:tx>
          <c:spPr>
            <a:solidFill>
              <a:schemeClr val="accent6"/>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companies'!$A$4:$A$14</c:f>
              <c:strCache>
                <c:ptCount val="10"/>
                <c:pt idx="0">
                  <c:v>Australian Collectors, Co.</c:v>
                </c:pt>
                <c:pt idx="1">
                  <c:v>AV Stores, Co.</c:v>
                </c:pt>
                <c:pt idx="2">
                  <c:v>Baane Mini Imports</c:v>
                </c:pt>
                <c:pt idx="3">
                  <c:v>Auto Canal Petit</c:v>
                </c:pt>
                <c:pt idx="4">
                  <c:v>Blauer See Auto, Co.</c:v>
                </c:pt>
                <c:pt idx="5">
                  <c:v>Classic Legends Inc.</c:v>
                </c:pt>
                <c:pt idx="6">
                  <c:v>Canadian Gift Exchange Network</c:v>
                </c:pt>
                <c:pt idx="7">
                  <c:v>Classic Gift Ideas, Inc</c:v>
                </c:pt>
                <c:pt idx="8">
                  <c:v>Australian Collectables, Ltd</c:v>
                </c:pt>
                <c:pt idx="9">
                  <c:v>Auto Assoc. &amp; Cie.</c:v>
                </c:pt>
              </c:strCache>
            </c:strRef>
          </c:cat>
          <c:val>
            <c:numRef>
              <c:f>'Top 10 companies'!$B$4:$B$14</c:f>
              <c:numCache>
                <c:formatCode>"$"#,##0;\-"$"#,##0</c:formatCode>
                <c:ptCount val="10"/>
                <c:pt idx="0">
                  <c:v>164575.87</c:v>
                </c:pt>
                <c:pt idx="1">
                  <c:v>133173.25</c:v>
                </c:pt>
                <c:pt idx="2">
                  <c:v>84923.9</c:v>
                </c:pt>
                <c:pt idx="3">
                  <c:v>79857.6</c:v>
                </c:pt>
                <c:pt idx="4">
                  <c:v>66945.37</c:v>
                </c:pt>
                <c:pt idx="5">
                  <c:v>64121.82</c:v>
                </c:pt>
                <c:pt idx="6">
                  <c:v>60597.91</c:v>
                </c:pt>
                <c:pt idx="7">
                  <c:v>56799.98</c:v>
                </c:pt>
                <c:pt idx="8">
                  <c:v>56139.62</c:v>
                </c:pt>
                <c:pt idx="9">
                  <c:v>53364.97</c:v>
                </c:pt>
              </c:numCache>
            </c:numRef>
          </c:val>
        </c:ser>
        <c:dLbls>
          <c:showLegendKey val="0"/>
          <c:showVal val="1"/>
          <c:showCatName val="0"/>
          <c:showSerName val="0"/>
          <c:showPercent val="0"/>
          <c:showBubbleSize val="0"/>
        </c:dLbls>
        <c:gapWidth val="75"/>
        <c:overlap val="-40"/>
        <c:axId val="868992495"/>
        <c:axId val="906801995"/>
      </c:barChart>
      <c:catAx>
        <c:axId val="868992495"/>
        <c:scaling>
          <c:orientation val="maxMin"/>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06801995"/>
        <c:crosses val="autoZero"/>
        <c:auto val="1"/>
        <c:lblAlgn val="ctr"/>
        <c:lblOffset val="100"/>
        <c:noMultiLvlLbl val="0"/>
      </c:catAx>
      <c:valAx>
        <c:axId val="906801995"/>
        <c:scaling>
          <c:orientation val="minMax"/>
        </c:scaling>
        <c:delete val="1"/>
        <c:axPos val="t"/>
        <c:numFmt formatCode="&quot;$&quot;#,##0;\-&quot;$&quot;#,##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68992495"/>
        <c:crosses val="autoZero"/>
        <c:crossBetween val="between"/>
      </c:valAx>
      <c:spPr>
        <a:noFill/>
        <a:ln>
          <a:noFill/>
        </a:ln>
        <a:effectLst/>
      </c:spPr>
    </c:plotArea>
    <c:plotVisOnly val="1"/>
    <c:dispBlanksAs val="gap"/>
    <c:showDLblsOverMax val="0"/>
    <c:extLst>
      <c:ext uri="{0b15fc19-7d7d-44ad-8c2d-2c3a37ce22c3}">
        <chartProps xmlns="https://web.wps.cn/et/2018/main" chartId="{739099c2-92fc-4f4d-8e71-31606c7ff48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[RawBusiness_DataSet(1).xlsx]Revenue by deal size!PivotTable1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Total Revenue by Deal Size</a:t>
            </a:r>
          </a:p>
        </c:rich>
      </c:tx>
      <c:layout>
        <c:manualLayout>
          <c:xMode val="edge"/>
          <c:yMode val="edge"/>
          <c:x val="0.237053507387749"/>
          <c:y val="0.0155889574528035"/>
        </c:manualLayout>
      </c:layout>
      <c:overlay val="0"/>
      <c:spPr>
        <a:noFill/>
        <a:ln>
          <a:noFill/>
        </a:ln>
        <a:effectLst/>
      </c:spPr>
    </c:title>
    <c:autoTitleDeleted val="0"/>
    <c:plotArea>
      <c:layout/>
      <c:pieChart>
        <c:varyColors val="1"/>
        <c:ser>
          <c:idx val="0"/>
          <c:order val="0"/>
          <c:tx>
            <c:strRef>
              <c:f>'Revenue by deal size'!$B$3</c:f>
              <c:strCache>
                <c:ptCount val="1"/>
                <c:pt idx="0">
                  <c:v>Total</c:v>
                </c:pt>
              </c:strCache>
            </c:strRef>
          </c:tx>
          <c:spPr/>
          <c:explosion val="0"/>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400000" scaled="1"/>
                </a:gradFill>
              </a:ln>
              <a:effectLst/>
            </c:spPr>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'Revenue by deal size'!$A$4:$A$7</c:f>
              <c:strCache>
                <c:ptCount val="3"/>
                <c:pt idx="0">
                  <c:v>Medium</c:v>
                </c:pt>
                <c:pt idx="1">
                  <c:v>Small</c:v>
                </c:pt>
                <c:pt idx="2">
                  <c:v>Large</c:v>
                </c:pt>
              </c:strCache>
            </c:strRef>
          </c:cat>
          <c:val>
            <c:numRef>
              <c:f>'Revenue by deal size'!$B$4:$B$7</c:f>
              <c:numCache>
                <c:formatCode>"$"#,##0;\-"$"#,##0</c:formatCode>
                <c:ptCount val="3"/>
                <c:pt idx="0">
                  <c:v>613679.85</c:v>
                </c:pt>
                <c:pt idx="1">
                  <c:v>360799.84</c:v>
                </c:pt>
                <c:pt idx="2">
                  <c:v>74400</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5114b5e-d386-473d-a6b8-4c10e5eca137}"/>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[RawBusiness_DataSet(1).xlsx]Average sale by month!PivotTable1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Average Sales by Month</a:t>
            </a:r>
          </a:p>
        </c:rich>
      </c:tx>
      <c:layout/>
      <c:overlay val="0"/>
      <c:spPr>
        <a:noFill/>
        <a:ln>
          <a:noFill/>
        </a:ln>
        <a:effectLst/>
      </c:spPr>
    </c:title>
    <c:autoTitleDeleted val="0"/>
    <c:plotArea>
      <c:layout>
        <c:manualLayout>
          <c:layoutTarget val="inner"/>
          <c:xMode val="edge"/>
          <c:yMode val="edge"/>
          <c:x val="0.0618421052631579"/>
          <c:y val="0.143518518518519"/>
          <c:w val="0.909210526315789"/>
          <c:h val="0.569537037037037"/>
        </c:manualLayout>
      </c:layout>
      <c:barChart>
        <c:barDir val="col"/>
        <c:grouping val="clustered"/>
        <c:varyColors val="0"/>
        <c:ser>
          <c:idx val="0"/>
          <c:order val="0"/>
          <c:tx>
            <c:strRef>
              <c:f>'Average sale by month'!$B$3</c:f>
              <c:strCache>
                <c:ptCount val="1"/>
                <c:pt idx="0">
                  <c:v>Total</c:v>
                </c:pt>
              </c:strCache>
            </c:strRef>
          </c:tx>
          <c:spPr>
            <a:solidFill>
              <a:schemeClr val="accent6"/>
            </a:solidFill>
            <a:ln>
              <a:gradFill>
                <a:gsLst>
                  <a:gs pos="100000">
                    <a:schemeClr val="accent1">
                      <a:lumMod val="75000"/>
                    </a:schemeClr>
                  </a:gs>
                  <a:gs pos="0">
                    <a:schemeClr val="accent1">
                      <a:lumMod val="75000"/>
                      <a:hueOff val="-1670000"/>
                    </a:schemeClr>
                  </a:gs>
                </a:gsLst>
                <a:lin ang="4620000" scaled="0"/>
              </a:gradFill>
            </a:ln>
            <a:effectLst/>
          </c:spPr>
          <c:invertIfNegative val="0"/>
          <c:dLbls>
            <c:spPr>
              <a:noFill/>
              <a:ln>
                <a:noFill/>
              </a:ln>
              <a:effectLst>
                <a:glow>
                  <a:schemeClr val="tx1"/>
                </a:glow>
                <a:outerShdw blurRad="50800" dist="50800" dir="5400000" algn="ctr" rotWithShape="0">
                  <a:schemeClr val="tx1">
                    <a:alpha val="100000"/>
                  </a:schemeClr>
                </a:outerShdw>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'Average sale by month'!$A$4:$A$15</c:f>
              <c:strCache>
                <c:ptCount val="11"/>
                <c:pt idx="0">
                  <c:v>July</c:v>
                </c:pt>
                <c:pt idx="1">
                  <c:v>June</c:v>
                </c:pt>
                <c:pt idx="2">
                  <c:v>April</c:v>
                </c:pt>
                <c:pt idx="3">
                  <c:v>March</c:v>
                </c:pt>
                <c:pt idx="4">
                  <c:v>February</c:v>
                </c:pt>
                <c:pt idx="5">
                  <c:v>December</c:v>
                </c:pt>
                <c:pt idx="6">
                  <c:v>October</c:v>
                </c:pt>
                <c:pt idx="7">
                  <c:v>November</c:v>
                </c:pt>
                <c:pt idx="8">
                  <c:v>January</c:v>
                </c:pt>
                <c:pt idx="9">
                  <c:v>May</c:v>
                </c:pt>
                <c:pt idx="10">
                  <c:v>September</c:v>
                </c:pt>
              </c:strCache>
            </c:strRef>
          </c:cat>
          <c:val>
            <c:numRef>
              <c:f>'Average sale by month'!$B$4:$B$15</c:f>
              <c:numCache>
                <c:formatCode>"$"#,##0;\-"$"#,##0</c:formatCode>
                <c:ptCount val="11"/>
                <c:pt idx="0">
                  <c:v>4403.9</c:v>
                </c:pt>
                <c:pt idx="1">
                  <c:v>3576.8</c:v>
                </c:pt>
                <c:pt idx="2">
                  <c:v>3296.12652173913</c:v>
                </c:pt>
                <c:pt idx="3">
                  <c:v>3063.9135483871</c:v>
                </c:pt>
                <c:pt idx="4">
                  <c:v>2962.903125</c:v>
                </c:pt>
                <c:pt idx="5">
                  <c:v>2850.76466666667</c:v>
                </c:pt>
                <c:pt idx="6">
                  <c:v>2810.57298701299</c:v>
                </c:pt>
                <c:pt idx="7">
                  <c:v>2809.67676190476</c:v>
                </c:pt>
                <c:pt idx="8">
                  <c:v>2803.0559375</c:v>
                </c:pt>
                <c:pt idx="9">
                  <c:v>2725.6780952381</c:v>
                </c:pt>
                <c:pt idx="10">
                  <c:v>2451.27703703704</c:v>
                </c:pt>
              </c:numCache>
            </c:numRef>
          </c:val>
        </c:ser>
        <c:dLbls>
          <c:showLegendKey val="0"/>
          <c:showVal val="1"/>
          <c:showCatName val="0"/>
          <c:showSerName val="0"/>
          <c:showPercent val="0"/>
          <c:showBubbleSize val="0"/>
        </c:dLbls>
        <c:gapWidth val="208"/>
        <c:overlap val="-54"/>
        <c:axId val="459251677"/>
        <c:axId val="96596616"/>
      </c:barChart>
      <c:catAx>
        <c:axId val="459251677"/>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dk1">
                        <a:lumMod val="65000"/>
                        <a:lumOff val="35000"/>
                      </a:schemeClr>
                    </a:solidFill>
                    <a:latin typeface="+mn-lt"/>
                    <a:ea typeface="+mn-ea"/>
                    <a:cs typeface="+mn-cs"/>
                  </a:defRPr>
                </a:pPr>
                <a:r>
                  <a:rPr b="1"/>
                  <a:t>Months</a:t>
                </a:r>
                <a:endParaRPr b="1"/>
              </a:p>
            </c:rich>
          </c:tx>
          <c:layout>
            <c:manualLayout>
              <c:xMode val="edge"/>
              <c:yMode val="edge"/>
              <c:x val="0.414934210526316"/>
              <c:y val="0.905555555555556"/>
            </c:manualLayout>
          </c:layout>
          <c:overlay val="0"/>
          <c:spPr>
            <a:noFill/>
            <a:ln>
              <a:noFill/>
            </a:ln>
            <a:effectLst/>
          </c:spPr>
        </c:title>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6596616"/>
        <c:crosses val="autoZero"/>
        <c:auto val="1"/>
        <c:lblAlgn val="ctr"/>
        <c:lblOffset val="100"/>
        <c:noMultiLvlLbl val="0"/>
      </c:catAx>
      <c:valAx>
        <c:axId val="96596616"/>
        <c:scaling>
          <c:orientation val="minMax"/>
        </c:scaling>
        <c:delete val="1"/>
        <c:axPos val="l"/>
        <c:title>
          <c:tx>
            <c:rich>
              <a:bodyPr rot="-5400000" spcFirstLastPara="0" vertOverflow="ellipsis" vert="horz" wrap="square" anchor="ctr" anchorCtr="1"/>
              <a:lstStyle/>
              <a:p>
                <a:pPr defTabSz="914400">
                  <a:defRPr lang="en-US" sz="1000" b="0" i="0" u="none" strike="noStrike" kern="1200" baseline="0">
                    <a:solidFill>
                      <a:schemeClr val="dk1">
                        <a:lumMod val="65000"/>
                        <a:lumOff val="35000"/>
                      </a:schemeClr>
                    </a:solidFill>
                    <a:latin typeface="+mn-lt"/>
                    <a:ea typeface="+mn-ea"/>
                    <a:cs typeface="+mn-cs"/>
                  </a:defRPr>
                </a:pPr>
                <a:r>
                  <a:rPr b="1"/>
                  <a:t>Average sales</a:t>
                </a:r>
                <a:endParaRPr b="1"/>
              </a:p>
            </c:rich>
          </c:tx>
          <c:layout/>
          <c:overlay val="0"/>
          <c:spPr>
            <a:noFill/>
            <a:ln>
              <a:noFill/>
            </a:ln>
            <a:effectLst/>
          </c:spPr>
        </c:title>
        <c:numFmt formatCode="&quot;$&quot;#,##0;\-&quot;$&quot;#,##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459251677"/>
        <c:crosses val="autoZero"/>
        <c:crossBetween val="between"/>
      </c:valAx>
      <c:spPr>
        <a:noFill/>
        <a:ln>
          <a:noFill/>
        </a:ln>
        <a:effectLst/>
      </c:spPr>
    </c:plotArea>
    <c:plotVisOnly val="1"/>
    <c:dispBlanksAs val="gap"/>
    <c:showDLblsOverMax val="0"/>
    <c:extLst>
      <c:ext uri="{0b15fc19-7d7d-44ad-8c2d-2c3a37ce22c3}">
        <chartProps xmlns="https://web.wps.cn/et/2018/main" chartId="{2f357528-8d91-4255-8aae-f400a7ae5d41}"/>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[RawBusiness_DataSet(1).xlsx]number of transaction!PivotTable2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Number of Transactions by Year</a:t>
            </a:r>
          </a:p>
        </c:rich>
      </c:tx>
      <c:layout>
        <c:manualLayout>
          <c:xMode val="edge"/>
          <c:yMode val="edge"/>
          <c:x val="0.200668636292956"/>
          <c:y val="0.0347826086956522"/>
        </c:manualLayout>
      </c:layout>
      <c:overlay val="0"/>
      <c:spPr>
        <a:noFill/>
        <a:ln>
          <a:noFill/>
        </a:ln>
        <a:effectLst/>
      </c:spPr>
    </c:title>
    <c:autoTitleDeleted val="0"/>
    <c:plotArea>
      <c:layout/>
      <c:barChart>
        <c:barDir val="col"/>
        <c:grouping val="clustered"/>
        <c:varyColors val="0"/>
        <c:ser>
          <c:idx val="0"/>
          <c:order val="0"/>
          <c:tx>
            <c:strRef>
              <c:f>'number of transaction'!$B$3</c:f>
              <c:strCache>
                <c:ptCount val="1"/>
                <c:pt idx="0">
                  <c:v>Total</c:v>
                </c:pt>
              </c:strCache>
            </c:strRef>
          </c:tx>
          <c:spPr>
            <a:solidFill>
              <a:schemeClr val="accent6"/>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'number of transaction'!$A$4:$A$7</c:f>
              <c:strCache>
                <c:ptCount val="3"/>
                <c:pt idx="0">
                  <c:v>2004</c:v>
                </c:pt>
                <c:pt idx="1">
                  <c:v>2003</c:v>
                </c:pt>
                <c:pt idx="2">
                  <c:v>2005</c:v>
                </c:pt>
              </c:strCache>
            </c:strRef>
          </c:cat>
          <c:val>
            <c:numRef>
              <c:f>'number of transaction'!$B$4:$B$7</c:f>
              <c:numCache>
                <c:formatCode>0</c:formatCode>
                <c:ptCount val="3"/>
                <c:pt idx="0">
                  <c:v>220</c:v>
                </c:pt>
                <c:pt idx="1">
                  <c:v>132</c:v>
                </c:pt>
                <c:pt idx="2">
                  <c:v>15</c:v>
                </c:pt>
              </c:numCache>
            </c:numRef>
          </c:val>
        </c:ser>
        <c:dLbls>
          <c:showLegendKey val="0"/>
          <c:showVal val="1"/>
          <c:showCatName val="0"/>
          <c:showSerName val="0"/>
          <c:showPercent val="0"/>
          <c:showBubbleSize val="0"/>
        </c:dLbls>
        <c:gapWidth val="183"/>
        <c:overlap val="-19"/>
        <c:axId val="986034432"/>
        <c:axId val="279724960"/>
      </c:barChart>
      <c:catAx>
        <c:axId val="986034432"/>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sz="1100" b="1">
                    <a:cs typeface="+mn-lt"/>
                  </a:rPr>
                  <a:t>Year</a:t>
                </a:r>
                <a:endParaRPr sz="1100" b="1">
                  <a:cs typeface="+mn-lt"/>
                </a:endParaRPr>
              </a:p>
            </c:rich>
          </c:tx>
          <c:layout>
            <c:manualLayout>
              <c:xMode val="edge"/>
              <c:yMode val="edge"/>
              <c:x val="0.493518948452421"/>
              <c:y val="0.819969986243695"/>
            </c:manualLayout>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79724960"/>
        <c:crosses val="autoZero"/>
        <c:auto val="1"/>
        <c:lblAlgn val="ctr"/>
        <c:lblOffset val="100"/>
        <c:noMultiLvlLbl val="0"/>
      </c:catAx>
      <c:valAx>
        <c:axId val="279724960"/>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sz="1100" b="1">
                    <a:cs typeface="+mn-lt"/>
                  </a:rPr>
                  <a:t>Number of Transactions</a:t>
                </a:r>
                <a:endParaRPr sz="1100" b="1">
                  <a:cs typeface="+mn-lt"/>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86034432"/>
        <c:crosses val="autoZero"/>
        <c:crossBetween val="between"/>
      </c:valAx>
      <c:spPr>
        <a:noFill/>
        <a:ln>
          <a:noFill/>
        </a:ln>
        <a:effectLst/>
      </c:spPr>
    </c:plotArea>
    <c:plotVisOnly val="1"/>
    <c:dispBlanksAs val="gap"/>
    <c:showDLblsOverMax val="0"/>
    <c:extLst>
      <c:ext uri="{0b15fc19-7d7d-44ad-8c2d-2c3a37ce22c3}">
        <chartProps xmlns="https://web.wps.cn/et/2018/main" chartId="{c71d4778-b4ed-47ba-a897-10de1906d9b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[RawBusiness_DataSet(1).xlsx]Total revenue !PivotTable1</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Total Revenue by Product Line</a:t>
            </a:r>
          </a:p>
        </c:rich>
      </c:tx>
      <c:layout/>
      <c:overlay val="0"/>
      <c:spPr>
        <a:noFill/>
        <a:ln>
          <a:noFill/>
        </a:ln>
        <a:effectLst/>
      </c:spPr>
    </c:title>
    <c:autoTitleDeleted val="0"/>
    <c:plotArea>
      <c:layout>
        <c:manualLayout>
          <c:layoutTarget val="inner"/>
          <c:xMode val="edge"/>
          <c:yMode val="edge"/>
          <c:x val="0.13604228609184"/>
          <c:y val="0.158279390269367"/>
          <c:w val="0.834225305583086"/>
          <c:h val="0.483107120484443"/>
        </c:manualLayout>
      </c:layout>
      <c:barChart>
        <c:barDir val="col"/>
        <c:grouping val="clustered"/>
        <c:varyColors val="0"/>
        <c:ser>
          <c:idx val="0"/>
          <c:order val="0"/>
          <c:tx>
            <c:strRef>
              <c:f>'Total revenue '!$B$3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 revenue '!$A$4:$A$11</c:f>
              <c:strCache>
                <c:ptCount val="7"/>
                <c:pt idx="0">
                  <c:v>Vintage Cars</c:v>
                </c:pt>
                <c:pt idx="1">
                  <c:v>Classic Cars</c:v>
                </c:pt>
                <c:pt idx="2">
                  <c:v>Trucks and Buses</c:v>
                </c:pt>
                <c:pt idx="3">
                  <c:v>Motorcycles</c:v>
                </c:pt>
                <c:pt idx="4">
                  <c:v>Planes</c:v>
                </c:pt>
                <c:pt idx="5">
                  <c:v>Ships</c:v>
                </c:pt>
                <c:pt idx="6">
                  <c:v>Trains</c:v>
                </c:pt>
              </c:strCache>
            </c:strRef>
          </c:cat>
          <c:val>
            <c:numRef>
              <c:f>'Total revenue '!$B$4:$B$11</c:f>
              <c:numCache>
                <c:formatCode>"$"#,##0.00_);[Red]\("$"#,##0.00\)</c:formatCode>
                <c:ptCount val="7"/>
                <c:pt idx="0">
                  <c:v>300475.38</c:v>
                </c:pt>
                <c:pt idx="1">
                  <c:v>287293.32</c:v>
                </c:pt>
                <c:pt idx="2">
                  <c:v>125515.93</c:v>
                </c:pt>
                <c:pt idx="3">
                  <c:v>124374.61</c:v>
                </c:pt>
                <c:pt idx="4">
                  <c:v>99609.61</c:v>
                </c:pt>
                <c:pt idx="5">
                  <c:v>81536.33</c:v>
                </c:pt>
                <c:pt idx="6">
                  <c:v>30074.51</c:v>
                </c:pt>
              </c:numCache>
            </c:numRef>
          </c:val>
        </c:ser>
        <c:dLbls>
          <c:showLegendKey val="0"/>
          <c:showVal val="1"/>
          <c:showCatName val="0"/>
          <c:showSerName val="0"/>
          <c:showPercent val="0"/>
          <c:showBubbleSize val="0"/>
        </c:dLbls>
        <c:gapWidth val="161"/>
        <c:overlap val="-32"/>
        <c:axId val="246941829"/>
        <c:axId val="97135852"/>
      </c:barChart>
      <c:catAx>
        <c:axId val="24694182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latin typeface="Arial Black" panose="020B0A04020102020204" charset="0"/>
                    <a:cs typeface="Arial Black" panose="020B0A04020102020204" charset="0"/>
                  </a:rPr>
                  <a:t>Product Line</a:t>
                </a:r>
                <a:endParaRPr b="1">
                  <a:latin typeface="Arial Black" panose="020B0A04020102020204" charset="0"/>
                  <a:cs typeface="Arial Black" panose="020B0A04020102020204" charset="0"/>
                </a:endParaRPr>
              </a:p>
            </c:rich>
          </c:tx>
          <c:layout>
            <c:manualLayout>
              <c:xMode val="edge"/>
              <c:yMode val="edge"/>
              <c:x val="0.409328207382528"/>
              <c:y val="0.825911349461329"/>
            </c:manualLayout>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7135852"/>
        <c:crosses val="autoZero"/>
        <c:auto val="1"/>
        <c:lblAlgn val="ctr"/>
        <c:lblOffset val="100"/>
        <c:noMultiLvlLbl val="0"/>
      </c:catAx>
      <c:valAx>
        <c:axId val="97135852"/>
        <c:scaling>
          <c:orientation val="minMax"/>
        </c:scaling>
        <c:delete val="1"/>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latin typeface="Arial Black" panose="020B0A04020102020204" charset="0"/>
                    <a:cs typeface="Arial Black" panose="020B0A04020102020204" charset="0"/>
                  </a:rPr>
                  <a:t>Total Revenue</a:t>
                </a:r>
                <a:endParaRPr b="1">
                  <a:latin typeface="Arial Black" panose="020B0A04020102020204" charset="0"/>
                  <a:cs typeface="Arial Black" panose="020B0A04020102020204" charset="0"/>
                </a:endParaRPr>
              </a:p>
            </c:rich>
          </c:tx>
          <c:layout>
            <c:manualLayout>
              <c:xMode val="edge"/>
              <c:yMode val="edge"/>
              <c:x val="0.0766410057366519"/>
              <c:y val="0.230127901123954"/>
            </c:manualLayout>
          </c:layout>
          <c:overlay val="0"/>
          <c:spPr>
            <a:noFill/>
            <a:ln>
              <a:noFill/>
            </a:ln>
            <a:effectLst/>
          </c:spPr>
        </c:title>
        <c:numFmt formatCode="&quot;$&quot;#,##0.00_);[Red]\(&quot;$&quot;#,##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4694182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04427d0c-e5af-4fda-b0f0-28852676ba6a}"/>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[RawBusiness_DataSet(1).xlsx]Top 10 companies!PivotTable1</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Top 10 Companies by Total Revenue</a:t>
            </a:r>
          </a:p>
        </c:rich>
      </c:tx>
      <c:layout/>
      <c:overlay val="0"/>
      <c:spPr>
        <a:noFill/>
        <a:ln>
          <a:noFill/>
        </a:ln>
        <a:effectLst/>
      </c:spPr>
    </c:title>
    <c:autoTitleDeleted val="0"/>
    <c:plotArea>
      <c:layout>
        <c:manualLayout>
          <c:layoutTarget val="inner"/>
          <c:xMode val="edge"/>
          <c:yMode val="edge"/>
          <c:x val="0.298368421052632"/>
          <c:y val="0.177083333333333"/>
          <c:w val="0.585842105263158"/>
          <c:h val="0.771990740740741"/>
        </c:manualLayout>
      </c:layout>
      <c:barChart>
        <c:barDir val="bar"/>
        <c:grouping val="clustered"/>
        <c:varyColors val="0"/>
        <c:ser>
          <c:idx val="0"/>
          <c:order val="0"/>
          <c:tx>
            <c:strRef>
              <c:f>'Top 10 companies'!$B$3</c:f>
              <c:strCache>
                <c:ptCount val="1"/>
                <c:pt idx="0">
                  <c:v>Total</c:v>
                </c:pt>
              </c:strCache>
            </c:strRef>
          </c:tx>
          <c:spPr>
            <a:solidFill>
              <a:schemeClr val="accent6"/>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companies'!$A$4:$A$14</c:f>
              <c:strCache>
                <c:ptCount val="10"/>
                <c:pt idx="0">
                  <c:v>Australian Collectors, Co.</c:v>
                </c:pt>
                <c:pt idx="1">
                  <c:v>AV Stores, Co.</c:v>
                </c:pt>
                <c:pt idx="2">
                  <c:v>Baane Mini Imports</c:v>
                </c:pt>
                <c:pt idx="3">
                  <c:v>Auto Canal Petit</c:v>
                </c:pt>
                <c:pt idx="4">
                  <c:v>Blauer See Auto, Co.</c:v>
                </c:pt>
                <c:pt idx="5">
                  <c:v>Classic Legends Inc.</c:v>
                </c:pt>
                <c:pt idx="6">
                  <c:v>Canadian Gift Exchange Network</c:v>
                </c:pt>
                <c:pt idx="7">
                  <c:v>Classic Gift Ideas, Inc</c:v>
                </c:pt>
                <c:pt idx="8">
                  <c:v>Australian Collectables, Ltd</c:v>
                </c:pt>
                <c:pt idx="9">
                  <c:v>Auto Assoc. &amp; Cie.</c:v>
                </c:pt>
              </c:strCache>
            </c:strRef>
          </c:cat>
          <c:val>
            <c:numRef>
              <c:f>'Top 10 companies'!$B$4:$B$14</c:f>
              <c:numCache>
                <c:formatCode>"$"#,##0;\-"$"#,##0</c:formatCode>
                <c:ptCount val="10"/>
                <c:pt idx="0">
                  <c:v>164575.87</c:v>
                </c:pt>
                <c:pt idx="1">
                  <c:v>133173.25</c:v>
                </c:pt>
                <c:pt idx="2">
                  <c:v>84923.9</c:v>
                </c:pt>
                <c:pt idx="3">
                  <c:v>79857.6</c:v>
                </c:pt>
                <c:pt idx="4">
                  <c:v>66945.37</c:v>
                </c:pt>
                <c:pt idx="5">
                  <c:v>64121.82</c:v>
                </c:pt>
                <c:pt idx="6">
                  <c:v>60597.91</c:v>
                </c:pt>
                <c:pt idx="7">
                  <c:v>56799.98</c:v>
                </c:pt>
                <c:pt idx="8">
                  <c:v>56139.62</c:v>
                </c:pt>
                <c:pt idx="9">
                  <c:v>53364.97</c:v>
                </c:pt>
              </c:numCache>
            </c:numRef>
          </c:val>
        </c:ser>
        <c:dLbls>
          <c:showLegendKey val="0"/>
          <c:showVal val="1"/>
          <c:showCatName val="0"/>
          <c:showSerName val="0"/>
          <c:showPercent val="0"/>
          <c:showBubbleSize val="0"/>
        </c:dLbls>
        <c:gapWidth val="75"/>
        <c:overlap val="-40"/>
        <c:axId val="868992495"/>
        <c:axId val="906801995"/>
      </c:barChart>
      <c:catAx>
        <c:axId val="868992495"/>
        <c:scaling>
          <c:orientation val="maxMin"/>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06801995"/>
        <c:crosses val="autoZero"/>
        <c:auto val="1"/>
        <c:lblAlgn val="ctr"/>
        <c:lblOffset val="100"/>
        <c:noMultiLvlLbl val="0"/>
      </c:catAx>
      <c:valAx>
        <c:axId val="906801995"/>
        <c:scaling>
          <c:orientation val="minMax"/>
        </c:scaling>
        <c:delete val="1"/>
        <c:axPos val="t"/>
        <c:numFmt formatCode="&quot;$&quot;#,##0;\-&quot;$&quot;#,##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68992495"/>
        <c:crosses val="autoZero"/>
        <c:crossBetween val="between"/>
      </c:valAx>
      <c:spPr>
        <a:noFill/>
        <a:ln>
          <a:noFill/>
        </a:ln>
        <a:effectLst/>
      </c:spPr>
    </c:plotArea>
    <c:plotVisOnly val="1"/>
    <c:dispBlanksAs val="gap"/>
    <c:showDLblsOverMax val="0"/>
    <c:extLst>
      <c:ext uri="{0b15fc19-7d7d-44ad-8c2d-2c3a37ce22c3}">
        <chartProps xmlns="https://web.wps.cn/et/2018/main" chartId="{739099c2-92fc-4f4d-8e71-31606c7ff48e}"/>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[RawBusiness_DataSet(1).xlsx]number of transaction!PivotTable2</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Number of Transactions by Year</a:t>
            </a:r>
          </a:p>
        </c:rich>
      </c:tx>
      <c:layout>
        <c:manualLayout>
          <c:xMode val="edge"/>
          <c:yMode val="edge"/>
          <c:x val="0.200668636292956"/>
          <c:y val="0.0347826086956522"/>
        </c:manualLayout>
      </c:layout>
      <c:overlay val="0"/>
      <c:spPr>
        <a:noFill/>
        <a:ln>
          <a:noFill/>
        </a:ln>
        <a:effectLst/>
      </c:spPr>
    </c:title>
    <c:autoTitleDeleted val="0"/>
    <c:plotArea>
      <c:layout/>
      <c:barChart>
        <c:barDir val="col"/>
        <c:grouping val="clustered"/>
        <c:varyColors val="0"/>
        <c:ser>
          <c:idx val="0"/>
          <c:order val="0"/>
          <c:tx>
            <c:strRef>
              <c:f>'number of transaction'!$B$3</c:f>
              <c:strCache>
                <c:ptCount val="1"/>
                <c:pt idx="0">
                  <c:v>Total</c:v>
                </c:pt>
              </c:strCache>
            </c:strRef>
          </c:tx>
          <c:spPr>
            <a:solidFill>
              <a:schemeClr val="accent6"/>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'number of transaction'!$A$4:$A$7</c:f>
              <c:strCache>
                <c:ptCount val="3"/>
                <c:pt idx="0">
                  <c:v>2004</c:v>
                </c:pt>
                <c:pt idx="1">
                  <c:v>2003</c:v>
                </c:pt>
                <c:pt idx="2">
                  <c:v>2005</c:v>
                </c:pt>
              </c:strCache>
            </c:strRef>
          </c:cat>
          <c:val>
            <c:numRef>
              <c:f>'number of transaction'!$B$4:$B$7</c:f>
              <c:numCache>
                <c:formatCode>0</c:formatCode>
                <c:ptCount val="3"/>
                <c:pt idx="0">
                  <c:v>220</c:v>
                </c:pt>
                <c:pt idx="1">
                  <c:v>132</c:v>
                </c:pt>
                <c:pt idx="2">
                  <c:v>15</c:v>
                </c:pt>
              </c:numCache>
            </c:numRef>
          </c:val>
        </c:ser>
        <c:dLbls>
          <c:showLegendKey val="0"/>
          <c:showVal val="1"/>
          <c:showCatName val="0"/>
          <c:showSerName val="0"/>
          <c:showPercent val="0"/>
          <c:showBubbleSize val="0"/>
        </c:dLbls>
        <c:gapWidth val="183"/>
        <c:overlap val="-19"/>
        <c:axId val="986034432"/>
        <c:axId val="279724960"/>
      </c:barChart>
      <c:catAx>
        <c:axId val="986034432"/>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sz="1100" b="1">
                    <a:cs typeface="+mn-lt"/>
                  </a:rPr>
                  <a:t>Year</a:t>
                </a:r>
                <a:endParaRPr sz="1100" b="1">
                  <a:cs typeface="+mn-lt"/>
                </a:endParaRPr>
              </a:p>
            </c:rich>
          </c:tx>
          <c:layout>
            <c:manualLayout>
              <c:xMode val="edge"/>
              <c:yMode val="edge"/>
              <c:x val="0.493518948452421"/>
              <c:y val="0.819969986243695"/>
            </c:manualLayout>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79724960"/>
        <c:crosses val="autoZero"/>
        <c:auto val="1"/>
        <c:lblAlgn val="ctr"/>
        <c:lblOffset val="100"/>
        <c:noMultiLvlLbl val="0"/>
      </c:catAx>
      <c:valAx>
        <c:axId val="279724960"/>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sz="1100" b="1">
                    <a:cs typeface="+mn-lt"/>
                  </a:rPr>
                  <a:t>Number of Transactions</a:t>
                </a:r>
                <a:endParaRPr sz="1100" b="1">
                  <a:cs typeface="+mn-lt"/>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86034432"/>
        <c:crosses val="autoZero"/>
        <c:crossBetween val="between"/>
      </c:valAx>
      <c:spPr>
        <a:noFill/>
        <a:ln>
          <a:noFill/>
        </a:ln>
        <a:effectLst/>
      </c:spPr>
    </c:plotArea>
    <c:plotVisOnly val="1"/>
    <c:dispBlanksAs val="gap"/>
    <c:showDLblsOverMax val="0"/>
    <c:extLst>
      <c:ext uri="{0b15fc19-7d7d-44ad-8c2d-2c3a37ce22c3}">
        <chartProps xmlns="https://web.wps.cn/et/2018/main" chartId="{c71d4778-b4ed-47ba-a897-10de1906d9b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[RawBusiness_DataSet(1).xlsx]Average sale by month!PivotTable1</c:name>
    <c:fmtId val="8"/>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Average Sales by Month</a:t>
            </a:r>
          </a:p>
        </c:rich>
      </c:tx>
      <c:layout/>
      <c:overlay val="0"/>
      <c:spPr>
        <a:noFill/>
        <a:ln>
          <a:noFill/>
        </a:ln>
        <a:effectLst/>
      </c:spPr>
    </c:title>
    <c:autoTitleDeleted val="0"/>
    <c:plotArea>
      <c:layout>
        <c:manualLayout>
          <c:layoutTarget val="inner"/>
          <c:xMode val="edge"/>
          <c:yMode val="edge"/>
          <c:x val="0.0618421052631579"/>
          <c:y val="0.143518518518519"/>
          <c:w val="0.909210526315789"/>
          <c:h val="0.569537037037037"/>
        </c:manualLayout>
      </c:layout>
      <c:barChart>
        <c:barDir val="col"/>
        <c:grouping val="clustered"/>
        <c:varyColors val="0"/>
        <c:ser>
          <c:idx val="0"/>
          <c:order val="0"/>
          <c:tx>
            <c:strRef>
              <c:f>'Average sale by month'!$B$3</c:f>
              <c:strCache>
                <c:ptCount val="1"/>
                <c:pt idx="0">
                  <c:v>Total</c:v>
                </c:pt>
              </c:strCache>
            </c:strRef>
          </c:tx>
          <c:spPr>
            <a:solidFill>
              <a:schemeClr val="accent6"/>
            </a:solidFill>
            <a:ln>
              <a:gradFill>
                <a:gsLst>
                  <a:gs pos="100000">
                    <a:schemeClr val="accent1">
                      <a:lumMod val="75000"/>
                    </a:schemeClr>
                  </a:gs>
                  <a:gs pos="0">
                    <a:schemeClr val="accent1">
                      <a:lumMod val="75000"/>
                      <a:hueOff val="-1670000"/>
                    </a:schemeClr>
                  </a:gs>
                </a:gsLst>
                <a:lin ang="4620000" scaled="0"/>
              </a:gradFill>
            </a:ln>
            <a:effectLst/>
          </c:spPr>
          <c:invertIfNegative val="0"/>
          <c:dLbls>
            <c:spPr>
              <a:noFill/>
              <a:ln>
                <a:noFill/>
              </a:ln>
              <a:effectLst>
                <a:glow>
                  <a:schemeClr val="tx1"/>
                </a:glow>
                <a:outerShdw blurRad="50800" dist="50800" dir="5400000" algn="ctr" rotWithShape="0">
                  <a:schemeClr val="tx1">
                    <a:alpha val="100000"/>
                  </a:schemeClr>
                </a:outerShdw>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'Average sale by month'!$A$4:$A$15</c:f>
              <c:strCache>
                <c:ptCount val="11"/>
                <c:pt idx="0">
                  <c:v>July</c:v>
                </c:pt>
                <c:pt idx="1">
                  <c:v>June</c:v>
                </c:pt>
                <c:pt idx="2">
                  <c:v>April</c:v>
                </c:pt>
                <c:pt idx="3">
                  <c:v>March</c:v>
                </c:pt>
                <c:pt idx="4">
                  <c:v>February</c:v>
                </c:pt>
                <c:pt idx="5">
                  <c:v>December</c:v>
                </c:pt>
                <c:pt idx="6">
                  <c:v>October</c:v>
                </c:pt>
                <c:pt idx="7">
                  <c:v>November</c:v>
                </c:pt>
                <c:pt idx="8">
                  <c:v>January</c:v>
                </c:pt>
                <c:pt idx="9">
                  <c:v>May</c:v>
                </c:pt>
                <c:pt idx="10">
                  <c:v>September</c:v>
                </c:pt>
              </c:strCache>
            </c:strRef>
          </c:cat>
          <c:val>
            <c:numRef>
              <c:f>'Average sale by month'!$B$4:$B$15</c:f>
              <c:numCache>
                <c:formatCode>"$"#,##0;\-"$"#,##0</c:formatCode>
                <c:ptCount val="11"/>
                <c:pt idx="0">
                  <c:v>4403.9</c:v>
                </c:pt>
                <c:pt idx="1">
                  <c:v>3576.8</c:v>
                </c:pt>
                <c:pt idx="2">
                  <c:v>3296.12652173913</c:v>
                </c:pt>
                <c:pt idx="3">
                  <c:v>3063.9135483871</c:v>
                </c:pt>
                <c:pt idx="4">
                  <c:v>2962.903125</c:v>
                </c:pt>
                <c:pt idx="5">
                  <c:v>2850.76466666667</c:v>
                </c:pt>
                <c:pt idx="6">
                  <c:v>2810.57298701299</c:v>
                </c:pt>
                <c:pt idx="7">
                  <c:v>2809.67676190476</c:v>
                </c:pt>
                <c:pt idx="8">
                  <c:v>2803.0559375</c:v>
                </c:pt>
                <c:pt idx="9">
                  <c:v>2725.6780952381</c:v>
                </c:pt>
                <c:pt idx="10">
                  <c:v>2451.27703703704</c:v>
                </c:pt>
              </c:numCache>
            </c:numRef>
          </c:val>
        </c:ser>
        <c:dLbls>
          <c:showLegendKey val="0"/>
          <c:showVal val="1"/>
          <c:showCatName val="0"/>
          <c:showSerName val="0"/>
          <c:showPercent val="0"/>
          <c:showBubbleSize val="0"/>
        </c:dLbls>
        <c:gapWidth val="208"/>
        <c:overlap val="-54"/>
        <c:axId val="459251677"/>
        <c:axId val="96596616"/>
      </c:barChart>
      <c:catAx>
        <c:axId val="459251677"/>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dk1">
                        <a:lumMod val="65000"/>
                        <a:lumOff val="35000"/>
                      </a:schemeClr>
                    </a:solidFill>
                    <a:latin typeface="+mn-lt"/>
                    <a:ea typeface="+mn-ea"/>
                    <a:cs typeface="+mn-cs"/>
                  </a:defRPr>
                </a:pPr>
                <a:r>
                  <a:rPr b="1"/>
                  <a:t>Months</a:t>
                </a:r>
                <a:endParaRPr b="1"/>
              </a:p>
            </c:rich>
          </c:tx>
          <c:layout>
            <c:manualLayout>
              <c:xMode val="edge"/>
              <c:yMode val="edge"/>
              <c:x val="0.414934210526316"/>
              <c:y val="0.905555555555556"/>
            </c:manualLayout>
          </c:layout>
          <c:overlay val="0"/>
          <c:spPr>
            <a:noFill/>
            <a:ln>
              <a:noFill/>
            </a:ln>
            <a:effectLst/>
          </c:spPr>
        </c:title>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6596616"/>
        <c:crosses val="autoZero"/>
        <c:auto val="1"/>
        <c:lblAlgn val="ctr"/>
        <c:lblOffset val="100"/>
        <c:noMultiLvlLbl val="0"/>
      </c:catAx>
      <c:valAx>
        <c:axId val="96596616"/>
        <c:scaling>
          <c:orientation val="minMax"/>
        </c:scaling>
        <c:delete val="1"/>
        <c:axPos val="l"/>
        <c:title>
          <c:tx>
            <c:rich>
              <a:bodyPr rot="-5400000" spcFirstLastPara="0" vertOverflow="ellipsis" vert="horz" wrap="square" anchor="ctr" anchorCtr="1"/>
              <a:lstStyle/>
              <a:p>
                <a:pPr defTabSz="914400">
                  <a:defRPr lang="en-US" sz="1000" b="0" i="0" u="none" strike="noStrike" kern="1200" baseline="0">
                    <a:solidFill>
                      <a:schemeClr val="dk1">
                        <a:lumMod val="65000"/>
                        <a:lumOff val="35000"/>
                      </a:schemeClr>
                    </a:solidFill>
                    <a:latin typeface="+mn-lt"/>
                    <a:ea typeface="+mn-ea"/>
                    <a:cs typeface="+mn-cs"/>
                  </a:defRPr>
                </a:pPr>
                <a:r>
                  <a:rPr b="1"/>
                  <a:t>Average sales</a:t>
                </a:r>
                <a:endParaRPr b="1"/>
              </a:p>
            </c:rich>
          </c:tx>
          <c:layout/>
          <c:overlay val="0"/>
          <c:spPr>
            <a:noFill/>
            <a:ln>
              <a:noFill/>
            </a:ln>
            <a:effectLst/>
          </c:spPr>
        </c:title>
        <c:numFmt formatCode="&quot;$&quot;#,##0;\-&quot;$&quot;#,##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459251677"/>
        <c:crosses val="autoZero"/>
        <c:crossBetween val="between"/>
      </c:valAx>
      <c:spPr>
        <a:noFill/>
        <a:ln>
          <a:noFill/>
        </a:ln>
        <a:effectLst/>
      </c:spPr>
    </c:plotArea>
    <c:plotVisOnly val="1"/>
    <c:dispBlanksAs val="gap"/>
    <c:showDLblsOverMax val="0"/>
    <c:extLst>
      <c:ext uri="{0b15fc19-7d7d-44ad-8c2d-2c3a37ce22c3}">
        <chartProps xmlns="https://web.wps.cn/et/2018/main" chartId="{2f357528-8d91-4255-8aae-f400a7ae5d41}"/>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[RawBusiness_DataSet(1).xlsx]Revenue by deal size!PivotTable1</c:name>
    <c:fmtId val="4"/>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Total Revenue by Deal Size</a:t>
            </a:r>
          </a:p>
        </c:rich>
      </c:tx>
      <c:layout>
        <c:manualLayout>
          <c:xMode val="edge"/>
          <c:yMode val="edge"/>
          <c:x val="0.237053507387749"/>
          <c:y val="0.0155889574528035"/>
        </c:manualLayout>
      </c:layout>
      <c:overlay val="0"/>
      <c:spPr>
        <a:noFill/>
        <a:ln>
          <a:noFill/>
        </a:ln>
        <a:effectLst/>
      </c:spPr>
    </c:title>
    <c:autoTitleDeleted val="0"/>
    <c:plotArea>
      <c:layout/>
      <c:pieChart>
        <c:varyColors val="1"/>
        <c:ser>
          <c:idx val="0"/>
          <c:order val="0"/>
          <c:tx>
            <c:strRef>
              <c:f>'Revenue by deal size'!$B$3</c:f>
              <c:strCache>
                <c:ptCount val="1"/>
                <c:pt idx="0">
                  <c:v>Total</c:v>
                </c:pt>
              </c:strCache>
            </c:strRef>
          </c:tx>
          <c:spPr/>
          <c:explosion val="0"/>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400000" scaled="1"/>
                </a:gradFill>
              </a:ln>
              <a:effectLst/>
            </c:spPr>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'Revenue by deal size'!$A$4:$A$7</c:f>
              <c:strCache>
                <c:ptCount val="3"/>
                <c:pt idx="0">
                  <c:v>Medium</c:v>
                </c:pt>
                <c:pt idx="1">
                  <c:v>Small</c:v>
                </c:pt>
                <c:pt idx="2">
                  <c:v>Large</c:v>
                </c:pt>
              </c:strCache>
            </c:strRef>
          </c:cat>
          <c:val>
            <c:numRef>
              <c:f>'Revenue by deal size'!$B$4:$B$7</c:f>
              <c:numCache>
                <c:formatCode>"$"#,##0;\-"$"#,##0</c:formatCode>
                <c:ptCount val="3"/>
                <c:pt idx="0">
                  <c:v>613679.85</c:v>
                </c:pt>
                <c:pt idx="1">
                  <c:v>360799.84</c:v>
                </c:pt>
                <c:pt idx="2">
                  <c:v>74400</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5114b5e-d386-473d-a6b8-4c10e5eca137}"/>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90">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8">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462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08">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462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90">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5" Type="http://schemas.openxmlformats.org/officeDocument/2006/relationships/chart" Target="../charts/chart10.xml"/><Relationship Id="rId4" Type="http://schemas.openxmlformats.org/officeDocument/2006/relationships/chart" Target="../charts/chart9.xml"/><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68580</xdr:colOff>
      <xdr:row>0</xdr:row>
      <xdr:rowOff>121285</xdr:rowOff>
    </xdr:from>
    <xdr:to>
      <xdr:col>11</xdr:col>
      <xdr:colOff>351155</xdr:colOff>
      <xdr:row>17</xdr:row>
      <xdr:rowOff>1905</xdr:rowOff>
    </xdr:to>
    <xdr:graphicFrame>
      <xdr:nvGraphicFramePr>
        <xdr:cNvPr id="2" name="Chart 1"/>
        <xdr:cNvGraphicFramePr/>
      </xdr:nvGraphicFramePr>
      <xdr:xfrm>
        <a:off x="2494280" y="121285"/>
        <a:ext cx="5768975" cy="30111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511810</xdr:colOff>
      <xdr:row>19</xdr:row>
      <xdr:rowOff>172720</xdr:rowOff>
    </xdr:from>
    <xdr:ext cx="310515" cy="269875"/>
    <xdr:sp>
      <xdr:nvSpPr>
        <xdr:cNvPr id="4" name="Text Box 3"/>
        <xdr:cNvSpPr txBox="1"/>
      </xdr:nvSpPr>
      <xdr:spPr>
        <a:xfrm>
          <a:off x="3547110" y="3671570"/>
          <a:ext cx="310515" cy="26987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endParaRPr lang="en-US" sz="1100"/>
        </a:p>
      </xdr:txBody>
    </xdr:sp>
    <xdr:clientData/>
  </xdr:oneCellAnchor>
  <xdr:twoCellAnchor>
    <xdr:from>
      <xdr:col>2</xdr:col>
      <xdr:colOff>82550</xdr:colOff>
      <xdr:row>17</xdr:row>
      <xdr:rowOff>121285</xdr:rowOff>
    </xdr:from>
    <xdr:to>
      <xdr:col>9</xdr:col>
      <xdr:colOff>412115</xdr:colOff>
      <xdr:row>22</xdr:row>
      <xdr:rowOff>52705</xdr:rowOff>
    </xdr:to>
    <xdr:sp>
      <xdr:nvSpPr>
        <xdr:cNvPr id="7" name="Text Box 6"/>
        <xdr:cNvSpPr txBox="1"/>
      </xdr:nvSpPr>
      <xdr:spPr>
        <a:xfrm>
          <a:off x="2508250" y="3251835"/>
          <a:ext cx="4596765" cy="852170"/>
        </a:xfrm>
        <a:prstGeom prst="rect">
          <a:avLst/>
        </a:prstGeom>
        <a:solidFill>
          <a:schemeClr val="accent1">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000" b="1">
              <a:latin typeface="Arial Black" panose="020B0A04020102020204" charset="0"/>
              <a:cs typeface="Arial Black" panose="020B0A04020102020204" charset="0"/>
            </a:rPr>
            <a:t>Classic </a:t>
          </a:r>
          <a:r>
            <a:rPr lang="en-US" sz="1000" b="1">
              <a:solidFill>
                <a:schemeClr val="tx1"/>
              </a:solidFill>
              <a:latin typeface="Arial Black" panose="020B0A04020102020204" charset="0"/>
              <a:cs typeface="Arial Black" panose="020B0A04020102020204" charset="0"/>
            </a:rPr>
            <a:t>cars generated the highest total revenue, followed by Vintage cars. Trains recorded the lowest. This indicates that Classic cars is the company’s top performing category and likely the main driver of total sales.</a:t>
          </a:r>
          <a:endParaRPr lang="en-US" sz="1000" b="1">
            <a:solidFill>
              <a:schemeClr val="tx1"/>
            </a:solidFill>
            <a:latin typeface="Arial Black" panose="020B0A04020102020204" charset="0"/>
            <a:cs typeface="Arial Black" panose="020B0A04020102020204" charset="0"/>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171450</xdr:colOff>
      <xdr:row>1</xdr:row>
      <xdr:rowOff>31750</xdr:rowOff>
    </xdr:from>
    <xdr:to>
      <xdr:col>10</xdr:col>
      <xdr:colOff>38735</xdr:colOff>
      <xdr:row>16</xdr:row>
      <xdr:rowOff>6350</xdr:rowOff>
    </xdr:to>
    <xdr:graphicFrame>
      <xdr:nvGraphicFramePr>
        <xdr:cNvPr id="4" name="Chart 3"/>
        <xdr:cNvGraphicFramePr/>
      </xdr:nvGraphicFramePr>
      <xdr:xfrm>
        <a:off x="3479800" y="215900"/>
        <a:ext cx="4744085" cy="27368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184150</xdr:colOff>
      <xdr:row>16</xdr:row>
      <xdr:rowOff>88900</xdr:rowOff>
    </xdr:from>
    <xdr:to>
      <xdr:col>10</xdr:col>
      <xdr:colOff>5715</xdr:colOff>
      <xdr:row>20</xdr:row>
      <xdr:rowOff>153035</xdr:rowOff>
    </xdr:to>
    <xdr:sp>
      <xdr:nvSpPr>
        <xdr:cNvPr id="5" name="Text Box 4"/>
        <xdr:cNvSpPr txBox="1"/>
      </xdr:nvSpPr>
      <xdr:spPr>
        <a:xfrm>
          <a:off x="3492500" y="3035300"/>
          <a:ext cx="4698365" cy="800735"/>
        </a:xfrm>
        <a:prstGeom prst="rect">
          <a:avLst/>
        </a:prstGeom>
        <a:solidFill>
          <a:schemeClr val="accent6">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000" b="1">
              <a:latin typeface="Arial Black" panose="020B0A04020102020204" charset="0"/>
              <a:cs typeface="Arial Black" panose="020B0A04020102020204" charset="0"/>
            </a:rPr>
            <a:t>The chart shows the Top 10 companies by total revenue. Euro Shopping Channel generated the highest revenue followed by Mini Gifts Distributors Ltd, contributing significantly to overall business performance.</a:t>
          </a:r>
          <a:endParaRPr lang="en-US" sz="1000" b="1">
            <a:latin typeface="Arial Black" panose="020B0A04020102020204" charset="0"/>
            <a:cs typeface="Arial Black" panose="020B0A0402010202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158750</xdr:colOff>
      <xdr:row>1</xdr:row>
      <xdr:rowOff>146050</xdr:rowOff>
    </xdr:from>
    <xdr:to>
      <xdr:col>8</xdr:col>
      <xdr:colOff>483235</xdr:colOff>
      <xdr:row>14</xdr:row>
      <xdr:rowOff>51435</xdr:rowOff>
    </xdr:to>
    <xdr:graphicFrame>
      <xdr:nvGraphicFramePr>
        <xdr:cNvPr id="2" name="Chart 1"/>
        <xdr:cNvGraphicFramePr/>
      </xdr:nvGraphicFramePr>
      <xdr:xfrm>
        <a:off x="2165350" y="330200"/>
        <a:ext cx="3982085" cy="22993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107950</xdr:colOff>
      <xdr:row>15</xdr:row>
      <xdr:rowOff>31750</xdr:rowOff>
    </xdr:from>
    <xdr:to>
      <xdr:col>8</xdr:col>
      <xdr:colOff>76200</xdr:colOff>
      <xdr:row>20</xdr:row>
      <xdr:rowOff>76835</xdr:rowOff>
    </xdr:to>
    <xdr:sp>
      <xdr:nvSpPr>
        <xdr:cNvPr id="3" name="Text Box 2"/>
        <xdr:cNvSpPr txBox="1"/>
      </xdr:nvSpPr>
      <xdr:spPr>
        <a:xfrm>
          <a:off x="2114550" y="2794000"/>
          <a:ext cx="3625850" cy="965835"/>
        </a:xfrm>
        <a:prstGeom prst="rect">
          <a:avLst/>
        </a:prstGeom>
        <a:solidFill>
          <a:schemeClr val="tx2">
            <a:lumMod val="20000"/>
            <a:lumOff val="80000"/>
          </a:schemeClr>
        </a:solidFill>
        <a:ln w="19050"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000">
              <a:latin typeface="Arial Black" panose="020B0A04020102020204" charset="0"/>
              <a:cs typeface="Arial Black" panose="020B0A04020102020204" charset="0"/>
            </a:rPr>
            <a:t>This analysis shows that Medium deal sizes generated the highest total revenue, followed by small and large. this indicates that medium-sized transactions contribute the most to overall sales performance.</a:t>
          </a:r>
          <a:endParaRPr lang="en-US" sz="1000">
            <a:latin typeface="Arial Black" panose="020B0A04020102020204" charset="0"/>
            <a:cs typeface="Arial Black" panose="020B0A0402010202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196850</xdr:colOff>
      <xdr:row>2</xdr:row>
      <xdr:rowOff>0</xdr:rowOff>
    </xdr:from>
    <xdr:to>
      <xdr:col>10</xdr:col>
      <xdr:colOff>146050</xdr:colOff>
      <xdr:row>16</xdr:row>
      <xdr:rowOff>165100</xdr:rowOff>
    </xdr:to>
    <xdr:graphicFrame>
      <xdr:nvGraphicFramePr>
        <xdr:cNvPr id="2" name="Chart 1"/>
        <xdr:cNvGraphicFramePr/>
      </xdr:nvGraphicFramePr>
      <xdr:xfrm>
        <a:off x="2393950" y="3683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17</xdr:row>
      <xdr:rowOff>139700</xdr:rowOff>
    </xdr:from>
    <xdr:to>
      <xdr:col>8</xdr:col>
      <xdr:colOff>469900</xdr:colOff>
      <xdr:row>21</xdr:row>
      <xdr:rowOff>152400</xdr:rowOff>
    </xdr:to>
    <xdr:sp>
      <xdr:nvSpPr>
        <xdr:cNvPr id="3" name="Text Box 2"/>
        <xdr:cNvSpPr txBox="1"/>
      </xdr:nvSpPr>
      <xdr:spPr>
        <a:xfrm>
          <a:off x="2387600" y="3270250"/>
          <a:ext cx="3937000" cy="749300"/>
        </a:xfrm>
        <a:prstGeom prst="rect">
          <a:avLst/>
        </a:prstGeom>
        <a:solidFill>
          <a:schemeClr val="accent6">
            <a:lumMod val="40000"/>
            <a:lumOff val="6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000" b="1">
              <a:latin typeface="Arial Black" panose="020B0A04020102020204" charset="0"/>
              <a:cs typeface="Arial Black" panose="020B0A04020102020204" charset="0"/>
            </a:rPr>
            <a:t>From the analysis, April recorded the highest average sales, indicating a stronger salesperformance during this period compared to other months.</a:t>
          </a:r>
          <a:endParaRPr lang="en-US" sz="1000" b="1">
            <a:latin typeface="Arial Black" panose="020B0A04020102020204" charset="0"/>
            <a:cs typeface="Arial Black" panose="020B0A04020102020204" charset="0"/>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177800</xdr:colOff>
      <xdr:row>1</xdr:row>
      <xdr:rowOff>171450</xdr:rowOff>
    </xdr:from>
    <xdr:to>
      <xdr:col>8</xdr:col>
      <xdr:colOff>356870</xdr:colOff>
      <xdr:row>12</xdr:row>
      <xdr:rowOff>132715</xdr:rowOff>
    </xdr:to>
    <xdr:graphicFrame>
      <xdr:nvGraphicFramePr>
        <xdr:cNvPr id="2" name="Chart 1"/>
        <xdr:cNvGraphicFramePr/>
      </xdr:nvGraphicFramePr>
      <xdr:xfrm>
        <a:off x="2755900" y="355600"/>
        <a:ext cx="3836670" cy="19869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13</xdr:row>
      <xdr:rowOff>69850</xdr:rowOff>
    </xdr:from>
    <xdr:to>
      <xdr:col>8</xdr:col>
      <xdr:colOff>152400</xdr:colOff>
      <xdr:row>18</xdr:row>
      <xdr:rowOff>63500</xdr:rowOff>
    </xdr:to>
    <xdr:sp>
      <xdr:nvSpPr>
        <xdr:cNvPr id="3" name="Text Box 2"/>
        <xdr:cNvSpPr txBox="1"/>
      </xdr:nvSpPr>
      <xdr:spPr>
        <a:xfrm>
          <a:off x="2692400" y="2463800"/>
          <a:ext cx="3695700" cy="9144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000">
              <a:latin typeface="Arial Black" panose="020B0A04020102020204" charset="0"/>
              <a:cs typeface="Arial Black" panose="020B0A04020102020204" charset="0"/>
            </a:rPr>
            <a:t>The analysis shows that </a:t>
          </a:r>
          <a:r>
            <a:rPr lang="en-US" sz="1000" b="1">
              <a:latin typeface="Arial Black" panose="020B0A04020102020204" charset="0"/>
              <a:cs typeface="Arial Black" panose="020B0A04020102020204" charset="0"/>
            </a:rPr>
            <a:t>2004</a:t>
          </a:r>
          <a:r>
            <a:rPr lang="en-US" sz="1000">
              <a:latin typeface="Arial Black" panose="020B0A04020102020204" charset="0"/>
              <a:cs typeface="Arial Black" panose="020B0A04020102020204" charset="0"/>
            </a:rPr>
            <a:t> recorded the highest number of transactions while </a:t>
          </a:r>
          <a:r>
            <a:rPr lang="en-US" sz="1000" b="1">
              <a:latin typeface="Arial Black" panose="020B0A04020102020204" charset="0"/>
              <a:cs typeface="Arial Black" panose="020B0A04020102020204" charset="0"/>
            </a:rPr>
            <a:t>2005 </a:t>
          </a:r>
          <a:r>
            <a:rPr lang="en-US" sz="1000">
              <a:latin typeface="Arial Black" panose="020B0A04020102020204" charset="0"/>
              <a:cs typeface="Arial Black" panose="020B0A04020102020204" charset="0"/>
            </a:rPr>
            <a:t>had the lowest. This indicates that sales activity peaked in 2004, possibly due to higher demand or effective sales strategies.</a:t>
          </a:r>
          <a:endParaRPr lang="en-US" sz="1000">
            <a:latin typeface="Arial Black" panose="020B0A04020102020204" charset="0"/>
            <a:cs typeface="Arial Black" panose="020B0A04020102020204" charset="0"/>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5</xdr:col>
      <xdr:colOff>205105</xdr:colOff>
      <xdr:row>0</xdr:row>
      <xdr:rowOff>6350</xdr:rowOff>
    </xdr:from>
    <xdr:to>
      <xdr:col>14</xdr:col>
      <xdr:colOff>438150</xdr:colOff>
      <xdr:row>14</xdr:row>
      <xdr:rowOff>91440</xdr:rowOff>
    </xdr:to>
    <xdr:graphicFrame>
      <xdr:nvGraphicFramePr>
        <xdr:cNvPr id="2" name="Chart 1"/>
        <xdr:cNvGraphicFramePr/>
      </xdr:nvGraphicFramePr>
      <xdr:xfrm>
        <a:off x="3253105" y="6350"/>
        <a:ext cx="5719445" cy="26631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554990</xdr:colOff>
      <xdr:row>0</xdr:row>
      <xdr:rowOff>6350</xdr:rowOff>
    </xdr:from>
    <xdr:to>
      <xdr:col>24</xdr:col>
      <xdr:colOff>63500</xdr:colOff>
      <xdr:row>14</xdr:row>
      <xdr:rowOff>83185</xdr:rowOff>
    </xdr:to>
    <xdr:graphicFrame>
      <xdr:nvGraphicFramePr>
        <xdr:cNvPr id="4" name="Chart 3"/>
        <xdr:cNvGraphicFramePr/>
      </xdr:nvGraphicFramePr>
      <xdr:xfrm>
        <a:off x="9089390" y="6350"/>
        <a:ext cx="5604510" cy="26549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93345</xdr:colOff>
      <xdr:row>0</xdr:row>
      <xdr:rowOff>6350</xdr:rowOff>
    </xdr:from>
    <xdr:to>
      <xdr:col>5</xdr:col>
      <xdr:colOff>119380</xdr:colOff>
      <xdr:row>10</xdr:row>
      <xdr:rowOff>126365</xdr:rowOff>
    </xdr:to>
    <mc:AlternateContent xmlns:mc="http://schemas.openxmlformats.org/markup-compatibility/2006">
      <mc:Choice xmlns:a14="http://schemas.microsoft.com/office/drawing/2010/main" Requires="a14">
        <xdr:graphicFrame>
          <xdr:nvGraphicFramePr>
            <xdr:cNvPr id="6" name="PRODUCT_LINE"/>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mlns="">
        <xdr:sp macro="" textlink="">
          <xdr:nvSpPr>
            <xdr:cNvPr id="0" name=""/>
            <xdr:cNvSpPr>
              <a:spLocks noTextEdit="1"/>
            </xdr:cNvSpPr>
          </xdr:nvSpPr>
          <xdr:spPr>
            <a:xfrm>
              <a:off x="1312545" y="6350"/>
              <a:ext cx="1854835" cy="19615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6350</xdr:colOff>
      <xdr:row>0</xdr:row>
      <xdr:rowOff>6350</xdr:rowOff>
    </xdr:from>
    <xdr:to>
      <xdr:col>1</xdr:col>
      <xdr:colOff>592455</xdr:colOff>
      <xdr:row>18</xdr:row>
      <xdr:rowOff>118110</xdr:rowOff>
    </xdr:to>
    <mc:AlternateContent xmlns:mc="http://schemas.openxmlformats.org/markup-compatibility/2006">
      <mc:Choice xmlns:a14="http://schemas.microsoft.com/office/drawing/2010/main" Requires="a14">
        <xdr:graphicFrame>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50" y="6350"/>
              <a:ext cx="1195705" cy="34264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2</xdr:col>
      <xdr:colOff>63500</xdr:colOff>
      <xdr:row>10</xdr:row>
      <xdr:rowOff>135890</xdr:rowOff>
    </xdr:from>
    <xdr:to>
      <xdr:col>5</xdr:col>
      <xdr:colOff>100330</xdr:colOff>
      <xdr:row>35</xdr:row>
      <xdr:rowOff>60960</xdr:rowOff>
    </xdr:to>
    <mc:AlternateContent xmlns:mc="http://schemas.openxmlformats.org/markup-compatibility/2006">
      <mc:Choice xmlns:a14="http://schemas.microsoft.com/office/drawing/2010/main" Requires="a14">
        <xdr:graphicFrame>
          <xdr:nvGraphicFramePr>
            <xdr:cNvPr id="9" name="COMPANIES"/>
            <xdr:cNvGraphicFramePr/>
          </xdr:nvGraphicFramePr>
          <xdr:xfrm>
            <a:off x="0" y="0"/>
            <a:ext cx="0" cy="0"/>
          </xdr:xfrm>
          <a:graphic>
            <a:graphicData uri="http://schemas.microsoft.com/office/drawing/2010/slicer">
              <sle:slicer xmlns:sle="http://schemas.microsoft.com/office/drawing/2010/slicer" name="COMPANIES"/>
            </a:graphicData>
          </a:graphic>
        </xdr:graphicFrame>
      </mc:Choice>
      <mc:Fallback xmlns="">
        <xdr:sp macro="" textlink="">
          <xdr:nvSpPr>
            <xdr:cNvPr id="0" name=""/>
            <xdr:cNvSpPr>
              <a:spLocks noTextEdit="1"/>
            </xdr:cNvSpPr>
          </xdr:nvSpPr>
          <xdr:spPr>
            <a:xfrm>
              <a:off x="1282700" y="1977390"/>
              <a:ext cx="1865630" cy="45288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5</xdr:col>
      <xdr:colOff>257175</xdr:colOff>
      <xdr:row>14</xdr:row>
      <xdr:rowOff>172085</xdr:rowOff>
    </xdr:from>
    <xdr:to>
      <xdr:col>14</xdr:col>
      <xdr:colOff>456565</xdr:colOff>
      <xdr:row>29</xdr:row>
      <xdr:rowOff>100965</xdr:rowOff>
    </xdr:to>
    <xdr:graphicFrame>
      <xdr:nvGraphicFramePr>
        <xdr:cNvPr id="3" name="Chart 2"/>
        <xdr:cNvGraphicFramePr/>
      </xdr:nvGraphicFramePr>
      <xdr:xfrm>
        <a:off x="3305175" y="2750185"/>
        <a:ext cx="5685790" cy="26911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xdr:colOff>
      <xdr:row>18</xdr:row>
      <xdr:rowOff>121920</xdr:rowOff>
    </xdr:from>
    <xdr:to>
      <xdr:col>1</xdr:col>
      <xdr:colOff>578485</xdr:colOff>
      <xdr:row>24</xdr:row>
      <xdr:rowOff>114300</xdr:rowOff>
    </xdr:to>
    <mc:AlternateContent xmlns:mc="http://schemas.openxmlformats.org/markup-compatibility/2006">
      <mc:Choice xmlns:a14="http://schemas.microsoft.com/office/drawing/2010/main" Requires="a14">
        <xdr:graphicFrame>
          <xdr:nvGraphicFramePr>
            <xdr:cNvPr id="10"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50" y="3436620"/>
              <a:ext cx="1181735" cy="10972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24</xdr:col>
      <xdr:colOff>229235</xdr:colOff>
      <xdr:row>0</xdr:row>
      <xdr:rowOff>6350</xdr:rowOff>
    </xdr:from>
    <xdr:to>
      <xdr:col>33</xdr:col>
      <xdr:colOff>372745</xdr:colOff>
      <xdr:row>14</xdr:row>
      <xdr:rowOff>83185</xdr:rowOff>
    </xdr:to>
    <xdr:graphicFrame>
      <xdr:nvGraphicFramePr>
        <xdr:cNvPr id="14" name="Chart 13"/>
        <xdr:cNvGraphicFramePr/>
      </xdr:nvGraphicFramePr>
      <xdr:xfrm>
        <a:off x="14859635" y="6350"/>
        <a:ext cx="5629910" cy="26549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565785</xdr:colOff>
      <xdr:row>14</xdr:row>
      <xdr:rowOff>173355</xdr:rowOff>
    </xdr:from>
    <xdr:to>
      <xdr:col>24</xdr:col>
      <xdr:colOff>27940</xdr:colOff>
      <xdr:row>29</xdr:row>
      <xdr:rowOff>77470</xdr:rowOff>
    </xdr:to>
    <xdr:graphicFrame>
      <xdr:nvGraphicFramePr>
        <xdr:cNvPr id="15" name="Chart 14"/>
        <xdr:cNvGraphicFramePr/>
      </xdr:nvGraphicFramePr>
      <xdr:xfrm>
        <a:off x="9100185" y="2751455"/>
        <a:ext cx="5558155" cy="266636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6350</xdr:colOff>
      <xdr:row>24</xdr:row>
      <xdr:rowOff>133350</xdr:rowOff>
    </xdr:from>
    <xdr:to>
      <xdr:col>1</xdr:col>
      <xdr:colOff>598805</xdr:colOff>
      <xdr:row>30</xdr:row>
      <xdr:rowOff>83185</xdr:rowOff>
    </xdr:to>
    <mc:AlternateContent xmlns:mc="http://schemas.openxmlformats.org/markup-compatibility/2006">
      <mc:Choice xmlns:a14="http://schemas.microsoft.com/office/drawing/2010/main" Requires="a14">
        <xdr:graphicFrame>
          <xdr:nvGraphicFramePr>
            <xdr:cNvPr id="16" name="DEAL_SIZE"/>
            <xdr:cNvGraphicFramePr/>
          </xdr:nvGraphicFramePr>
          <xdr:xfrm>
            <a:off x="0" y="0"/>
            <a:ext cx="0" cy="0"/>
          </xdr:xfrm>
          <a:graphic>
            <a:graphicData uri="http://schemas.microsoft.com/office/drawing/2010/slicer">
              <sle:slicer xmlns:sle="http://schemas.microsoft.com/office/drawing/2010/slicer" name="DEAL_SIZE"/>
            </a:graphicData>
          </a:graphic>
        </xdr:graphicFrame>
      </mc:Choice>
      <mc:Fallback xmlns="">
        <xdr:sp macro="" textlink="">
          <xdr:nvSpPr>
            <xdr:cNvPr id="0" name=""/>
            <xdr:cNvSpPr>
              <a:spLocks noTextEdit="1"/>
            </xdr:cNvSpPr>
          </xdr:nvSpPr>
          <xdr:spPr>
            <a:xfrm>
              <a:off x="6350" y="4552950"/>
              <a:ext cx="1202055" cy="105473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963.6193402778" refreshedBy="LENOVO" recordCount="2781">
  <cacheSource type="worksheet">
    <worksheetSource name="Table2"/>
  </cacheSource>
  <cacheFields count="14">
    <cacheField name="CUSTOMERS FULL NAME" numFmtId="49">
      <sharedItems count="92">
        <s v="Kwai Yu"/>
        <s v="Paul Henriot"/>
        <s v="Daniel Da Cunha"/>
        <s v="Julie Young"/>
        <s v="Julie Brown"/>
        <s v="Juri Hirano"/>
        <s v="Martine Rance"/>
        <s v="Veysel Oeztan"/>
        <s v="Julie Murphy"/>
        <s v="Dominique Perrier"/>
        <s v="Peter Ferguson"/>
        <s v="Michael Frick"/>
        <s v="William Brown"/>
        <s v="Julie King"/>
        <s v="Janine Labrune"/>
        <s v="Marta Hernandez"/>
        <s v="Matti Karttunen"/>
        <s v="Jonas Bergulfsen"/>
        <s v="Kyung Yu"/>
        <s v="Georg Pipps"/>
        <s v="Adrian Huxley"/>
        <s v="Violeta Benitez"/>
        <s v="Elizabeth Devon"/>
        <s v="Diego Freyre"/>
        <s v="Christina Berglund"/>
        <s v="Mart¡n Sommer"/>
        <s v="Eric Natividad"/>
        <s v="Maria Hernandez"/>
        <s v="Tony Calaghan"/>
        <s v="Francisca Cervantes"/>
        <s v="Mary Saveley"/>
        <s v="Yoshi Tannamuri"/>
        <s v="Steve Thompson"/>
        <s v="Kyung Tseng"/>
        <s v="Leslie Murphy"/>
        <s v="Akiko Shimamura"/>
        <s v="Paolo Accorti"/>
        <s v="Maria Larsson"/>
        <s v="Daniel Tonini"/>
        <s v="Valarie Nelson"/>
        <s v="Valarie Young"/>
        <s v="Allen Nelson"/>
        <s v="Anna O'Hara"/>
        <s v="Jean Fresnisre"/>
        <s v="Mory Kentary"/>
        <s v="Rosa Hernandez"/>
        <s v="Carine Schmitt"/>
        <s v="Steve Frick"/>
        <s v="Jytte Petersen"/>
        <s v="Ann Brown"/>
        <s v="Wing C Tam"/>
        <s v="Annette Roulet"/>
        <s v="Thomas Hardy"/>
        <s v="Eduardo Saavedra"/>
        <s v="Michael Chandler"/>
        <s v="Valarie Thompson"/>
        <s v="Catherine Dewey"/>
        <s v="Elizabeth Lincoln"/>
        <s v="Juri Yoshido"/>
        <s v="Helen Bennett"/>
        <s v="Pirkko Koskitalo"/>
        <s v="Sue Frick"/>
        <s v="Marie Bertrand"/>
        <s v="Roland Mendel"/>
        <s v="Valarie Franco"/>
        <s v="Wendy Victorino"/>
        <s v="Arnold Cruz"/>
        <s v="Laurence Lebihan"/>
        <s v="Henriette Pfalzheim"/>
        <s v="Michael Holz"/>
        <s v="Maurizio Moroni"/>
        <s v="Miguel Barajas"/>
        <s v="Roland Keitel"/>
        <s v="Kalle Suominen"/>
        <s v="Jeff Young"/>
        <s v="Dean Cassidy"/>
        <s v="Jesus Fernandez"/>
        <s v="Victoria Ashworth"/>
        <s v="Palle Ibsen"/>
        <s v="Kee Kuo"/>
        <s v="Leslie Young"/>
        <s v="Jose Pedro Roel"/>
        <s v="Sue Taylor"/>
        <s v="Frederique Citeaux"/>
        <s v="Sue King"/>
        <s v="Jan Klaeboe"/>
        <s v="Giovanni Rovelli"/>
        <s v="Sean Connery"/>
        <s v="Dan Lewis"/>
        <s v="Michael Donnermeyer"/>
        <s v="Pascale Cartrain"/>
        <s v="Leslie Taylor"/>
      </sharedItems>
    </cacheField>
    <cacheField name="ORDER_NUMBER" numFmtId="178">
      <sharedItems containsSemiMixedTypes="0" containsString="0" containsNumber="1" containsInteger="1" minValue="0" maxValue="10425" count="307">
        <n v="10107"/>
        <n v="10121"/>
        <n v="10134"/>
        <n v="10145"/>
        <n v="10159"/>
        <n v="10168"/>
        <n v="10180"/>
        <n v="10188"/>
        <n v="10201"/>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33"/>
        <n v="10347"/>
        <n v="10357"/>
        <n v="10369"/>
        <n v="10381"/>
        <n v="10391"/>
        <n v="10411"/>
        <n v="10424"/>
        <n v="10120"/>
        <n v="10210"/>
        <n v="10236"/>
        <n v="10298"/>
        <n v="10308"/>
        <n v="10339"/>
        <n v="10374"/>
        <n v="10402"/>
        <n v="10362"/>
        <n v="10105"/>
        <n v="10119"/>
        <n v="10129"/>
        <n v="10143"/>
        <n v="10155"/>
        <n v="10167"/>
        <n v="10178"/>
        <n v="10186"/>
        <n v="10197"/>
        <n v="10209"/>
        <n v="10222"/>
        <n v="10248"/>
        <n v="10261"/>
        <n v="10273"/>
        <n v="10283"/>
        <n v="10295"/>
        <n v="10307"/>
        <n v="10316"/>
        <n v="10325"/>
        <n v="10337"/>
        <n v="10350"/>
        <n v="10359"/>
        <n v="10373"/>
        <n v="10384"/>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60"/>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11"/>
        <n v="10125"/>
        <n v="10139"/>
        <n v="10149"/>
        <n v="10162"/>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n v="10401"/>
        <n v="10255"/>
        <n v="10421"/>
        <n v="10257"/>
        <n v="10423"/>
        <n v="10269"/>
        <n v="10392"/>
        <n v="10130"/>
        <n v="10128"/>
        <n v="10166"/>
        <n v="10177"/>
        <n v="10221"/>
        <n v="10232"/>
        <n v="10394"/>
        <n v="10326"/>
        <n v="10252"/>
        <n v="10265"/>
        <n v="10290"/>
        <n v="10323"/>
        <n v="10330"/>
        <n v="10355"/>
        <n v="10146"/>
        <n v="10264"/>
        <n v="10286"/>
        <n v="10249"/>
        <n v="10328"/>
        <n v="10415"/>
        <n v="10152"/>
        <n v="10213"/>
        <n v="10315"/>
        <n v="10267"/>
        <n v="10279"/>
        <n v="10158"/>
        <n v="10340"/>
        <n v="10345"/>
        <n v="10190"/>
        <n v="10368"/>
        <n v="10335"/>
        <n v="10154"/>
        <n v="10233"/>
        <n v="10385"/>
        <n v="10242"/>
        <n v="10408"/>
        <n v="10317"/>
        <n v="10387"/>
        <n v="10364"/>
        <n v="10116"/>
        <n v="10144"/>
        <n v="10156"/>
        <n v="10199"/>
        <n v="10397"/>
        <n v="10352"/>
        <n v="10118"/>
        <n v="10294"/>
      </sharedItems>
    </cacheField>
    <cacheField name="QUANTITY_ORDERED" numFmtId="178">
      <sharedItems containsSemiMixedTypes="0" containsString="0" containsNumber="1" containsInteger="1" minValue="0" maxValue="97" count="58">
        <n v="30"/>
        <n v="34"/>
        <n v="41"/>
        <n v="45"/>
        <n v="49"/>
        <n v="36"/>
        <n v="29"/>
        <n v="48"/>
        <n v="22"/>
        <n v="37"/>
        <n v="23"/>
        <n v="28"/>
        <n v="46"/>
        <n v="42"/>
        <n v="20"/>
        <n v="21"/>
        <n v="24"/>
        <n v="66"/>
        <n v="26"/>
        <n v="38"/>
        <n v="47"/>
        <n v="35"/>
        <n v="32"/>
        <n v="40"/>
        <n v="50"/>
        <n v="39"/>
        <n v="27"/>
        <n v="44"/>
        <n v="31"/>
        <n v="33"/>
        <n v="43"/>
        <n v="56"/>
        <n v="25"/>
        <n v="64"/>
        <n v="19"/>
        <n v="12"/>
        <n v="55"/>
        <n v="10"/>
        <n v="54"/>
        <n v="97"/>
        <n v="61"/>
        <n v="51"/>
        <n v="59"/>
        <n v="76"/>
        <n v="6"/>
        <n v="15"/>
        <n v="60"/>
        <n v="65"/>
        <n v="58"/>
        <n v="16"/>
        <n v="70"/>
        <n v="13"/>
        <n v="18"/>
        <n v="52"/>
        <n v="11"/>
        <n v="62"/>
        <n v="85"/>
        <n v="77"/>
      </sharedItems>
    </cacheField>
    <cacheField name="UNIT PRICE" numFmtId="8">
      <sharedItems containsSemiMixedTypes="0" containsString="0" containsNumber="1" minValue="0" maxValue="100" count="1016">
        <n v="95.7"/>
        <n v="81.35"/>
        <n v="94.74"/>
        <n v="83.26"/>
        <n v="100"/>
        <n v="96.66"/>
        <n v="86.13"/>
        <n v="98.57"/>
        <n v="92.83"/>
        <n v="72.55"/>
        <n v="34.91"/>
        <n v="76.36"/>
        <n v="99.91"/>
        <n v="96.34"/>
        <n v="68.92"/>
        <n v="51.15"/>
        <n v="44.51"/>
        <n v="76.67"/>
        <n v="86.77"/>
        <n v="64.93"/>
        <n v="48.05"/>
        <n v="75.47"/>
        <n v="54.68"/>
        <n v="61.99"/>
        <n v="65.63"/>
        <n v="46.9"/>
        <n v="71.47"/>
        <n v="79.65"/>
        <n v="85.39"/>
        <n v="76"/>
        <n v="99.04"/>
        <n v="64"/>
        <n v="57.22"/>
        <n v="52.36"/>
        <n v="69.12"/>
        <n v="99.21"/>
        <n v="63.2"/>
        <n v="78.92"/>
        <n v="54.33"/>
        <n v="55.34"/>
        <n v="99.82"/>
        <n v="83.63"/>
        <n v="95.93"/>
        <n v="96.73"/>
        <n v="72.38"/>
        <n v="63.38"/>
        <n v="62.09"/>
        <n v="95.35"/>
        <n v="89.38"/>
        <n v="63.84"/>
        <n v="75.01"/>
        <n v="73.42"/>
        <n v="81.4"/>
        <n v="64.64"/>
        <n v="82.99"/>
        <n v="92.57"/>
        <n v="77.41"/>
        <n v="74.21"/>
        <n v="90.17"/>
        <n v="76.61"/>
        <n v="83.79"/>
        <n v="69.43"/>
        <n v="93.56"/>
        <n v="81.62"/>
        <n v="67.83"/>
        <n v="70.26"/>
        <n v="99.54"/>
        <n v="97.17"/>
        <n v="58.38"/>
        <n v="64.16"/>
        <n v="35.71"/>
        <n v="66.58"/>
        <n v="97.89"/>
        <n v="93.28"/>
        <n v="64.74"/>
        <n v="75.2"/>
        <n v="88.45"/>
        <n v="99.17"/>
        <n v="93.34"/>
        <n v="96.84"/>
        <n v="98"/>
        <n v="40.25"/>
        <n v="49.6"/>
        <n v="85.1"/>
        <n v="97.6"/>
        <n v="87.06"/>
        <n v="93.77"/>
        <n v="99.66"/>
        <n v="91.44"/>
        <n v="87.33"/>
        <n v="95.55"/>
        <n v="86.3"/>
        <n v="95.13"/>
        <n v="36.11"/>
        <n v="50.18"/>
        <n v="93.16"/>
        <n v="50.14"/>
        <n v="49.06"/>
        <n v="54.99"/>
        <n v="43.13"/>
        <n v="58.22"/>
        <n v="51.21"/>
        <n v="44.21"/>
        <n v="54.45"/>
        <n v="53.37"/>
        <n v="63.61"/>
        <n v="48.52"/>
        <n v="51.75"/>
        <n v="57.68"/>
        <n v="56.07"/>
        <n v="89.89"/>
        <n v="58.95"/>
        <n v="72.41"/>
        <n v="98.63"/>
        <n v="52.83"/>
        <n v="99.55"/>
        <n v="56.3"/>
        <n v="42.64"/>
        <n v="99.52"/>
        <n v="57.55"/>
        <n v="54.57"/>
        <n v="74.04"/>
        <n v="82.39"/>
        <n v="79.31"/>
        <n v="88.55"/>
        <n v="63.14"/>
        <n v="73.92"/>
        <n v="90.86"/>
        <n v="85.47"/>
        <n v="66.99"/>
        <n v="64.68"/>
        <n v="83.93"/>
        <n v="74.69"/>
        <n v="92.4"/>
        <n v="91.63"/>
        <n v="78.54"/>
        <n v="65.45"/>
        <n v="67.76"/>
        <n v="79.22"/>
        <n v="32.47"/>
        <n v="64.69"/>
        <n v="43.05"/>
        <n v="88"/>
        <n v="67.8"/>
        <n v="50.25"/>
        <n v="53.88"/>
        <n v="62.36"/>
        <n v="69.62"/>
        <n v="57.51"/>
        <n v="61.15"/>
        <n v="59.33"/>
        <n v="71.44"/>
        <n v="62.96"/>
        <n v="50.85"/>
        <n v="72.65"/>
        <n v="61.75"/>
        <n v="49.04"/>
        <n v="84.25"/>
        <n v="56.91"/>
        <n v="49.3"/>
        <n v="63.57"/>
        <n v="98.18"/>
        <n v="99.41"/>
        <n v="37.48"/>
        <n v="36.42"/>
        <n v="98.99"/>
        <n v="54.09"/>
        <n v="68.67"/>
        <n v="65.02"/>
        <n v="69.28"/>
        <n v="71.1"/>
        <n v="60.16"/>
        <n v="70.49"/>
        <n v="69.89"/>
        <n v="61.38"/>
        <n v="59.55"/>
        <n v="49.22"/>
        <n v="57.73"/>
        <n v="53.48"/>
        <n v="52.87"/>
        <n v="61.21"/>
        <n v="96.86"/>
        <n v="48.62"/>
        <n v="38.5"/>
        <n v="90.39"/>
        <n v="71.81"/>
        <n v="69.27"/>
        <n v="85.32"/>
        <n v="70.96"/>
        <n v="76.88"/>
        <n v="76.03"/>
        <n v="98.84"/>
        <n v="86.17"/>
        <n v="82.79"/>
        <n v="74.77"/>
        <n v="70.87"/>
        <n v="58.15"/>
        <n v="61.78"/>
        <n v="49.67"/>
        <n v="51.48"/>
        <n v="61.18"/>
        <n v="64.2"/>
        <n v="65.42"/>
        <n v="64.81"/>
        <n v="60.57"/>
        <n v="55.72"/>
        <n v="58.75"/>
        <n v="63.6"/>
        <n v="48.46"/>
        <n v="52.09"/>
        <n v="52.7"/>
        <n v="62.16"/>
        <n v="53.3"/>
        <n v="52.67"/>
        <n v="94.79"/>
        <n v="47.18"/>
        <n v="78.11"/>
        <n v="64.9"/>
        <n v="52.32"/>
        <n v="83.07"/>
        <n v="91.18"/>
        <n v="89.15"/>
        <n v="93.21"/>
        <n v="88.14"/>
        <n v="96.24"/>
        <n v="87.13"/>
        <n v="45.25"/>
        <n v="57.46"/>
        <n v="64.33"/>
        <n v="73.7"/>
        <n v="71.2"/>
        <n v="49.97"/>
        <n v="69.96"/>
        <n v="53.72"/>
        <n v="68.08"/>
        <n v="51.84"/>
        <n v="67.46"/>
        <n v="58.71"/>
        <n v="63.71"/>
        <n v="58.09"/>
        <n v="63.08"/>
        <n v="68.71"/>
        <n v="50.59"/>
        <n v="64.96"/>
        <n v="29.87"/>
        <n v="70.58"/>
        <n v="59.96"/>
        <n v="83.44"/>
        <n v="89.46"/>
        <n v="74.84"/>
        <n v="79.14"/>
        <n v="73.12"/>
        <n v="81.72"/>
        <n v="87.74"/>
        <n v="94.62"/>
        <n v="73.98"/>
        <n v="84.3"/>
        <n v="98.06"/>
        <n v="45.86"/>
        <n v="82.58"/>
        <n v="64.97"/>
        <n v="86.74"/>
        <n v="93.01"/>
        <n v="72.26"/>
        <n v="97.39"/>
        <n v="90.06"/>
        <n v="89.01"/>
        <n v="84.82"/>
        <n v="85.87"/>
        <n v="47.04"/>
        <n v="39.8"/>
        <n v="94.22"/>
        <n v="86.92"/>
        <n v="61.52"/>
        <n v="93.49"/>
        <n v="56.85"/>
        <n v="95.8"/>
        <n v="97.81"/>
        <n v="88.74"/>
        <n v="80.67"/>
        <n v="91.76"/>
        <n v="93.04"/>
        <n v="84.71"/>
        <n v="89.75"/>
        <n v="68.35"/>
        <n v="73.17"/>
        <n v="78"/>
        <n v="86.04"/>
        <n v="81.21"/>
        <n v="70.76"/>
        <n v="82.82"/>
        <n v="94.88"/>
        <n v="95.69"/>
        <n v="76.39"/>
        <n v="86.84"/>
        <n v="78.8"/>
        <n v="80.41"/>
        <n v="59.1"/>
        <n v="66.74"/>
        <n v="60.3"/>
        <n v="82.34"/>
        <n v="94.25"/>
        <n v="95.24"/>
        <n v="86.31"/>
        <n v="79.37"/>
        <n v="87.3"/>
        <n v="84.33"/>
        <n v="89.29"/>
        <n v="96.23"/>
        <n v="91.27"/>
        <n v="73.08"/>
        <n v="96.49"/>
        <n v="67.91"/>
        <n v="84.88"/>
        <n v="70.83"/>
        <n v="67.77"/>
        <n v="49.74"/>
        <n v="50.36"/>
        <n v="67.14"/>
        <n v="64.66"/>
        <n v="68.39"/>
        <n v="72.74"/>
        <n v="58.44"/>
        <n v="52.22"/>
        <n v="52.84"/>
        <n v="54.71"/>
        <n v="57.2"/>
        <n v="55.95"/>
        <n v="59.06"/>
        <n v="69.63"/>
        <n v="53.47"/>
        <n v="89.12"/>
        <n v="85.75"/>
        <n v="84.7"/>
        <n v="86.81"/>
        <n v="60.49"/>
        <n v="86.51"/>
        <n v="89.27"/>
        <n v="85.59"/>
        <n v="75.46"/>
        <n v="97.55"/>
        <n v="90.19"/>
        <n v="80.99"/>
        <n v="81.91"/>
        <n v="62.72"/>
        <n v="92.95"/>
        <n v="82.5"/>
        <n v="97.42"/>
        <n v="92.16"/>
        <n v="70.22"/>
        <n v="83.38"/>
        <n v="73.73"/>
        <n v="74.6"/>
        <n v="77.24"/>
        <n v="87.77"/>
        <n v="89.53"/>
        <n v="75.48"/>
        <n v="71.09"/>
        <n v="90.4"/>
        <n v="86.01"/>
        <n v="86.89"/>
        <n v="58.58"/>
        <n v="99.29"/>
        <n v="57.53"/>
        <n v="47.29"/>
        <n v="49.81"/>
        <n v="53.83"/>
        <n v="43.27"/>
        <n v="42.76"/>
        <n v="44.78"/>
        <n v="53.33"/>
        <n v="45.28"/>
        <n v="59.87"/>
        <n v="58.36"/>
        <n v="51.82"/>
        <n v="79.86"/>
        <n v="58.18"/>
        <n v="61.29"/>
        <n v="81.25"/>
        <n v="80.54"/>
        <n v="71.98"/>
        <n v="69.84"/>
        <n v="76.26"/>
        <n v="83.39"/>
        <n v="75.55"/>
        <n v="60.58"/>
        <n v="73.41"/>
        <n v="72.7"/>
        <n v="63.43"/>
        <n v="85.25"/>
        <n v="77.9"/>
        <n v="60.26"/>
        <n v="72.76"/>
        <n v="75.69"/>
        <n v="74.22"/>
        <n v="69.82"/>
        <n v="62.47"/>
        <n v="82.31"/>
        <n v="76.43"/>
        <n v="80.1"/>
        <n v="74.96"/>
        <n v="66.14"/>
        <n v="72.02"/>
        <n v="87.45"/>
        <n v="70.55"/>
        <n v="56.84"/>
        <n v="59.53"/>
        <n v="60.37"/>
        <n v="64.67"/>
        <n v="55.49"/>
        <n v="69.36"/>
        <n v="60.69"/>
        <n v="65.31"/>
        <n v="68.78"/>
        <n v="60.11"/>
        <n v="66.47"/>
        <n v="46.82"/>
        <n v="52.6"/>
        <n v="53.75"/>
        <n v="61.85"/>
        <n v="53.18"/>
        <n v="69.16"/>
        <n v="47.4"/>
        <n v="60.76"/>
        <n v="97.27"/>
        <n v="50.29"/>
        <n v="98.05"/>
        <n v="93.54"/>
        <n v="90.16"/>
        <n v="91.29"/>
        <n v="87.78"/>
        <n v="84.39"/>
        <n v="96.92"/>
        <n v="59.37"/>
        <n v="48.3"/>
        <n v="51.32"/>
        <n v="42.26"/>
        <n v="87.96"/>
        <n v="36.21"/>
        <n v="88.63"/>
        <n v="94.1"/>
        <n v="87.54"/>
        <n v="98.48"/>
        <n v="96.29"/>
        <n v="97.38"/>
        <n v="95.2"/>
        <n v="50.65"/>
        <n v="71.73"/>
        <n v="41.71"/>
        <n v="31.2"/>
        <n v="35.51"/>
        <n v="37.84"/>
        <n v="33.19"/>
        <n v="27.22"/>
        <n v="31.53"/>
        <n v="36.84"/>
        <n v="29.21"/>
        <n v="37.17"/>
        <n v="34.19"/>
        <n v="29.54"/>
        <n v="28.88"/>
        <n v="38.17"/>
        <n v="30.2"/>
        <n v="35.18"/>
        <n v="36.29"/>
        <n v="70.56"/>
        <n v="26.88"/>
        <n v="83.03"/>
        <n v="67.03"/>
        <n v="75.41"/>
        <n v="68.55"/>
        <n v="91.4"/>
        <n v="73.88"/>
        <n v="61.7"/>
        <n v="69.31"/>
        <n v="87.6"/>
        <n v="62.46"/>
        <n v="79.98"/>
        <n v="70.08"/>
        <n v="65.51"/>
        <n v="63.22"/>
        <n v="86.83"/>
        <n v="94.43"/>
        <n v="71.97"/>
        <n v="50.33"/>
        <n v="53.76"/>
        <n v="44.35"/>
        <n v="49.28"/>
        <n v="41.22"/>
        <n v="36.74"/>
        <n v="50.62"/>
        <n v="38.08"/>
        <n v="47.94"/>
        <n v="48.38"/>
        <n v="45.7"/>
        <n v="47.49"/>
        <n v="39.42"/>
        <n v="37.63"/>
        <n v="85.52"/>
        <n v="31.86"/>
        <n v="30.59"/>
        <n v="58.87"/>
        <n v="61.64"/>
        <n v="60.95"/>
        <n v="80.34"/>
        <n v="74.11"/>
        <n v="72.03"/>
        <n v="76.19"/>
        <n v="63.72"/>
        <n v="65.8"/>
        <n v="65.1"/>
        <n v="75.49"/>
        <n v="59.56"/>
        <n v="66.49"/>
        <n v="56.1"/>
        <n v="81.73"/>
        <n v="81.03"/>
        <n v="70.65"/>
        <n v="61.23"/>
        <n v="65.13"/>
        <n v="78.15"/>
        <n v="73.6"/>
        <n v="74.51"/>
        <n v="83.6"/>
        <n v="96.32"/>
        <n v="94.5"/>
        <n v="87.24"/>
        <n v="79.97"/>
        <n v="80.87"/>
        <n v="93.6"/>
        <n v="86.72"/>
        <n v="37.5"/>
        <n v="39.6"/>
        <n v="30.06"/>
        <n v="38.19"/>
        <n v="42.43"/>
        <n v="40.31"/>
        <n v="31.82"/>
        <n v="31.12"/>
        <n v="28.29"/>
        <n v="29.7"/>
        <n v="32.88"/>
        <n v="36.07"/>
        <n v="33.24"/>
        <n v="41.72"/>
        <n v="40.66"/>
        <n v="31.47"/>
        <n v="37.13"/>
        <n v="82.94"/>
        <n v="38.9"/>
        <n v="74.68"/>
        <n v="59.6"/>
        <n v="60.97"/>
        <n v="72.62"/>
        <n v="69.88"/>
        <n v="80.84"/>
        <n v="69.2"/>
        <n v="67.82"/>
        <n v="82.21"/>
        <n v="81.53"/>
        <n v="65.08"/>
        <n v="73.99"/>
        <n v="71.25"/>
        <n v="75.36"/>
        <n v="58.92"/>
        <n v="70.44"/>
        <n v="55.96"/>
        <n v="61.66"/>
        <n v="93.95"/>
        <n v="98.65"/>
        <n v="96.3"/>
        <n v="32.1"/>
        <n v="30.96"/>
        <n v="35.87"/>
        <n v="42.67"/>
        <n v="37"/>
        <n v="35.49"/>
        <n v="43.42"/>
        <n v="36.63"/>
        <n v="44.56"/>
        <n v="40.4"/>
        <n v="38.89"/>
        <n v="39.65"/>
        <n v="34.36"/>
        <n v="41.91"/>
        <n v="33.23"/>
        <n v="42.24"/>
        <n v="38.52"/>
        <n v="72.58"/>
        <n v="87.62"/>
        <n v="94.71"/>
        <n v="98.25"/>
        <n v="91.17"/>
        <n v="79.66"/>
        <n v="74.35"/>
        <n v="83.2"/>
        <n v="89.4"/>
        <n v="70.81"/>
        <n v="92.94"/>
        <n v="84.97"/>
        <n v="84.08"/>
        <n v="85.85"/>
        <n v="57.32"/>
        <n v="97.87"/>
        <n v="73.62"/>
        <n v="83.04"/>
        <n v="77.05"/>
        <n v="81.33"/>
        <n v="94.17"/>
        <n v="72.77"/>
        <n v="79.62"/>
        <n v="96.74"/>
        <n v="71.06"/>
        <n v="68.49"/>
        <n v="74.48"/>
        <n v="84.75"/>
        <n v="79.06"/>
        <n v="63.07"/>
        <n v="50.21"/>
        <n v="66.13"/>
        <n v="68.58"/>
        <n v="69.8"/>
        <n v="65.52"/>
        <n v="60.01"/>
        <n v="48.98"/>
        <n v="62.45"/>
        <n v="52.66"/>
        <n v="67.97"/>
        <n v="58.78"/>
        <n v="56.94"/>
        <n v="41.54"/>
        <n v="72.98"/>
        <n v="59.18"/>
        <n v="77.59"/>
        <n v="55.89"/>
        <n v="63.12"/>
        <n v="73.64"/>
        <n v="69.04"/>
        <n v="71.67"/>
        <n v="70.35"/>
        <n v="69.7"/>
        <n v="72.33"/>
        <n v="53.92"/>
        <n v="76.93"/>
        <n v="99.69"/>
        <n v="68.38"/>
        <n v="66"/>
        <n v="63.76"/>
        <n v="98.51"/>
        <n v="91.02"/>
        <n v="87.81"/>
        <n v="92.09"/>
        <n v="86.73"/>
        <n v="96.37"/>
        <n v="89.95"/>
        <n v="37.18"/>
        <n v="95.88"/>
        <n v="99.58"/>
        <n v="79.67"/>
        <n v="90.57"/>
        <n v="77.99"/>
        <n v="80.51"/>
        <n v="67.93"/>
        <n v="83.86"/>
        <n v="72.12"/>
        <n v="85.54"/>
        <n v="86.38"/>
        <n v="89.73"/>
        <n v="76.31"/>
        <n v="87.21"/>
        <n v="83.02"/>
        <n v="72.96"/>
        <n v="77.15"/>
        <n v="91.41"/>
        <n v="92.25"/>
        <n v="59.36"/>
        <n v="60.34"/>
        <n v="94.58"/>
        <n v="53.27"/>
        <n v="64.83"/>
        <n v="70.29"/>
        <n v="81.89"/>
        <n v="66.19"/>
        <n v="77.11"/>
        <n v="73.02"/>
        <n v="69.6"/>
        <n v="56.64"/>
        <n v="60.05"/>
        <n v="75.06"/>
        <n v="61.42"/>
        <n v="71.65"/>
        <n v="77.79"/>
        <n v="73"/>
        <n v="73.32"/>
        <n v="68.24"/>
        <n v="34.47"/>
        <n v="38.98"/>
        <n v="41.03"/>
        <n v="34.88"/>
        <n v="43.9"/>
        <n v="36.93"/>
        <n v="41.85"/>
        <n v="40.62"/>
        <n v="40.21"/>
        <n v="35.29"/>
        <n v="97.44"/>
        <n v="37.34"/>
        <n v="95.03"/>
        <n v="43.49"/>
        <n v="96.99"/>
        <n v="99.36"/>
        <n v="50.32"/>
        <n v="93.91"/>
        <n v="86.68"/>
        <n v="91.55"/>
        <n v="78.89"/>
        <n v="50.31"/>
        <n v="85.49"/>
        <n v="77.52"/>
        <n v="84.77"/>
        <n v="78.25"/>
        <n v="71"/>
        <n v="74.62"/>
        <n v="81.14"/>
        <n v="75.35"/>
        <n v="62.31"/>
        <n v="72.45"/>
        <n v="83.32"/>
        <n v="60.86"/>
        <n v="89.9"/>
        <n v="63.34"/>
        <n v="71.14"/>
        <n v="87.31"/>
        <n v="67.1"/>
        <n v="66.29"/>
        <n v="70.33"/>
        <n v="83.27"/>
        <n v="75.18"/>
        <n v="88.12"/>
        <n v="97.01"/>
        <n v="85.69"/>
        <n v="95.39"/>
        <n v="82.42"/>
        <n v="96.31"/>
        <n v="80.9"/>
        <n v="85.72"/>
        <n v="82.83"/>
        <n v="87.64"/>
        <n v="92.9"/>
        <n v="93.9"/>
        <n v="98.89"/>
        <n v="79.91"/>
        <n v="63.91"/>
        <n v="81.17"/>
        <n v="94.9"/>
        <n v="43.45"/>
        <n v="44.66"/>
        <n v="40.23"/>
        <n v="35.8"/>
        <n v="35.4"/>
        <n v="39.83"/>
        <n v="45.46"/>
        <n v="32.99"/>
        <n v="39.43"/>
        <n v="48.28"/>
        <n v="32.59"/>
        <n v="36.61"/>
        <n v="38.22"/>
        <n v="82.46"/>
        <n v="47.62"/>
        <n v="55.73"/>
        <n v="51.95"/>
        <n v="45.99"/>
        <n v="63.85"/>
        <n v="63.31"/>
        <n v="62.77"/>
        <n v="43.29"/>
        <n v="60.06"/>
        <n v="55.19"/>
        <n v="54.11"/>
        <n v="48.7"/>
        <n v="43.83"/>
        <n v="46.53"/>
        <n v="57.9"/>
        <n v="45.45"/>
        <n v="60.6"/>
        <n v="65.87"/>
        <n v="70.84"/>
        <n v="74.57"/>
        <n v="50.95"/>
        <n v="53.44"/>
        <n v="56.55"/>
        <n v="52.82"/>
        <n v="60.9"/>
        <n v="49.71"/>
        <n v="64.63"/>
        <n v="59.65"/>
        <n v="67.73"/>
        <n v="60.28"/>
        <n v="75.63"/>
        <n v="68.52"/>
        <n v="62.7"/>
        <n v="54.94"/>
        <n v="74.98"/>
        <n v="58.82"/>
        <n v="62.05"/>
        <n v="73.04"/>
        <n v="61.41"/>
        <n v="63.35"/>
        <n v="77.57"/>
        <n v="71.75"/>
        <n v="56.24"/>
        <n v="73.69"/>
        <n v="72.92"/>
        <n v="72.23"/>
        <n v="57.1"/>
        <n v="81.86"/>
        <n v="73.61"/>
        <n v="59.16"/>
        <n v="66.04"/>
        <n v="77.73"/>
        <n v="61.22"/>
        <n v="79.11"/>
        <n v="63.97"/>
        <n v="79.8"/>
        <n v="82.26"/>
        <n v="67.41"/>
        <n v="89.8"/>
        <n v="97.97"/>
        <n v="71.02"/>
        <n v="40.15"/>
        <n v="50.19"/>
        <n v="36.66"/>
        <n v="41.02"/>
        <n v="51.93"/>
        <n v="38.4"/>
        <n v="46.26"/>
        <n v="35.35"/>
        <n v="37.97"/>
        <n v="45.39"/>
        <n v="48.44"/>
        <n v="43.64"/>
        <n v="47.57"/>
        <n v="82.59"/>
        <n v="94.92"/>
        <n v="98.39"/>
        <n v="71.4"/>
        <n v="53.31"/>
        <n v="49.21"/>
        <n v="49.79"/>
        <n v="57.41"/>
        <n v="66.78"/>
        <n v="64.44"/>
        <n v="65.61"/>
        <n v="68.54"/>
        <n v="52.14"/>
        <n v="56.82"/>
        <n v="55.07"/>
        <n v="61.51"/>
        <n v="74.85"/>
        <n v="96"/>
        <n v="81.36"/>
        <n v="71.6"/>
        <n v="80.55"/>
        <n v="66.72"/>
        <n v="77.29"/>
        <n v="68.34"/>
        <n v="89.5"/>
        <n v="70.78"/>
        <n v="88.68"/>
        <n v="70.67"/>
        <n v="60"/>
        <n v="75.34"/>
        <n v="54"/>
        <n v="74.67"/>
        <n v="62.67"/>
        <n v="71.34"/>
        <n v="62"/>
        <n v="65.34"/>
        <n v="78.67"/>
        <n v="77.34"/>
        <n v="66.67"/>
        <n v="77.64"/>
        <n v="83.12"/>
        <n v="78.55"/>
        <n v="91.34"/>
        <n v="84.03"/>
        <n v="89.51"/>
        <n v="88.6"/>
        <n v="60.54"/>
        <n v="81.87"/>
        <n v="87.69"/>
        <n v="70.15"/>
        <n v="79.68"/>
        <n v="97"/>
        <n v="84.01"/>
        <n v="87.48"/>
        <n v="88.34"/>
        <n v="94.4"/>
        <n v="86.61"/>
        <n v="71.89"/>
        <n v="91.81"/>
        <n v="76.22"/>
        <n v="70.3"/>
        <n v="94.14"/>
        <n v="85.99"/>
        <n v="91.43"/>
        <n v="99.57"/>
        <n v="90.52"/>
        <n v="88.71"/>
        <n v="95.95"/>
        <n v="97.76"/>
        <n v="93.24"/>
        <n v="84.41"/>
        <n v="85.76"/>
        <n v="87.8"/>
        <n v="82.77"/>
        <n v="87.75"/>
        <n v="99.72"/>
        <n v="88.75"/>
        <n v="90.75"/>
        <n v="83.84"/>
        <n v="86.76"/>
        <n v="65.77"/>
        <n v="85.29"/>
        <n v="70.11"/>
        <n v="76.62"/>
        <n v="57.82"/>
        <n v="78.79"/>
        <n v="74.45"/>
        <n v="80.95"/>
        <n v="82.4"/>
        <n v="75.89"/>
        <n v="58.55"/>
        <n v="75.17"/>
        <n v="66.5"/>
        <n v="81.93"/>
        <n v="85.98"/>
        <n v="86.99"/>
        <n v="80.92"/>
        <n v="99.13"/>
        <n v="54.84"/>
        <n v="99.67"/>
        <n v="96.11"/>
        <n v="68.8"/>
        <n v="72.42"/>
        <n v="66.73"/>
        <n v="74.4"/>
        <n v="86.4"/>
        <n v="67.2"/>
        <n v="92"/>
        <n v="80.8"/>
        <n v="87.2"/>
        <n v="81.95"/>
        <n v="94.34"/>
        <n v="65.6"/>
        <n v="91.15"/>
        <n v="88.15"/>
        <n v="96.16"/>
        <n v="86.15"/>
        <n v="90.15"/>
        <n v="80"/>
        <n v="92.08"/>
        <n v="83.42"/>
        <n v="85.41"/>
        <n v="79.45"/>
        <n v="93.35"/>
        <n v="95.34"/>
        <n v="82.43"/>
        <n v="90.37"/>
        <n v="81.43"/>
        <n v="91.37"/>
        <n v="95.48"/>
        <n v="61.44"/>
        <n v="59.22"/>
        <n v="85.13"/>
        <n v="82.91"/>
        <n v="76.25"/>
        <n v="63.67"/>
        <n v="74.03"/>
        <n v="62.19"/>
        <n v="71.07"/>
        <n v="64.41"/>
        <n v="86.62"/>
        <n v="68.11"/>
        <n v="57.86"/>
        <n v="75.51"/>
        <n v="55.62"/>
        <n v="87.36"/>
        <n v="52.64"/>
        <n v="48.17"/>
        <n v="49.16"/>
        <n v="44.69"/>
        <n v="45.69"/>
        <n v="57.61"/>
        <n v="57.11"/>
        <n v="58.6"/>
        <n v="45.19"/>
        <n v="53.63"/>
        <n v="43.7"/>
        <n v="87.15"/>
        <n v="40.22"/>
        <n v="56.12"/>
        <n v="56.78"/>
        <n v="43.68"/>
        <n v="44.23"/>
        <n v="48.59"/>
        <n v="50.23"/>
        <n v="64.43"/>
        <n v="63.88"/>
        <n v="49.69"/>
        <n v="50.78"/>
        <n v="59.51"/>
        <n v="55.69"/>
        <n v="97.16"/>
        <n v="62.24"/>
      </sharedItems>
    </cacheField>
    <cacheField name="ORDER_DATE" numFmtId="179">
      <sharedItems containsSemiMixedTypes="0" containsString="0" containsNonDate="0" containsDate="1" minDate="2003-01-06T00:00:00" maxDate="2005-05-3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cacheField>
    <cacheField name="ORDER_STATUS" numFmtId="49">
      <sharedItems count="6">
        <s v="Shipped"/>
        <s v="Disputed"/>
        <s v="In Process"/>
        <s v="Cancelled"/>
        <s v="On Hold"/>
        <s v="Resolved"/>
      </sharedItems>
    </cacheField>
    <cacheField name="PRODUCT_LINE" numFmtId="49">
      <sharedItems count="7">
        <s v="Motorcycles"/>
        <s v="Classic Cars"/>
        <s v="Trucks and Buses"/>
        <s v="Vintage Cars"/>
        <s v="Planes"/>
        <s v="Ships"/>
        <s v="Trains"/>
      </sharedItems>
    </cacheField>
    <cacheField name="QUARTER_ID" numFmtId="178">
      <sharedItems containsSemiMixedTypes="0" containsString="0" containsNumber="1" containsInteger="1" minValue="0" maxValue="4" count="4">
        <n v="1"/>
        <n v="2"/>
        <n v="3"/>
        <n v="4"/>
      </sharedItems>
    </cacheField>
    <cacheField name="YEAR_ID" numFmtId="0">
      <sharedItems containsSemiMixedTypes="0" containsString="0" containsNumber="1" containsInteger="1" minValue="0" maxValue="2005" count="3">
        <n v="2003"/>
        <n v="2004"/>
        <n v="2005"/>
      </sharedItems>
    </cacheField>
    <cacheField name="DEAL_SIZE" numFmtId="49">
      <sharedItems count="3">
        <s v="Small"/>
        <s v="Medium"/>
        <s v="Large"/>
      </sharedItems>
    </cacheField>
    <cacheField name="COMPANIES" numFmtId="49">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REVENUE" numFmtId="180">
      <sharedItems containsSemiMixedTypes="0" containsString="0" containsNumber="1" minValue="0" maxValue="9048.16" count="1539">
        <n v="2871"/>
        <n v="2765.9"/>
        <n v="3884.34"/>
        <n v="3746.7"/>
        <n v="4900"/>
        <n v="3479.76"/>
        <n v="2497.77"/>
        <n v="4800"/>
        <n v="2168.54"/>
        <n v="4100"/>
        <n v="3700"/>
        <n v="2300"/>
        <n v="2800"/>
        <n v="3400"/>
        <n v="4177.35"/>
        <n v="3600"/>
        <n v="4358.04"/>
        <n v="4200"/>
        <n v="1451"/>
        <n v="733.11"/>
        <n v="3207.12"/>
        <n v="2400"/>
        <n v="6600"/>
        <n v="2600"/>
        <n v="2900"/>
        <n v="3800"/>
        <n v="4500"/>
        <n v="2100"/>
        <n v="4700"/>
        <n v="3500"/>
        <n v="3200"/>
        <n v="4000"/>
        <n v="3000"/>
        <n v="5000"/>
        <n v="3896.49"/>
        <n v="2793.86"/>
        <n v="2700"/>
        <n v="3660.92"/>
        <n v="2200"/>
        <n v="4400"/>
        <n v="3757.26"/>
        <n v="2000"/>
        <n v="2756.8"/>
        <n v="1329.9"/>
        <n v="3900"/>
        <n v="2225.5"/>
        <n v="4600"/>
        <n v="3100"/>
        <n v="3300"/>
        <n v="4300"/>
        <n v="2990.13"/>
        <n v="1822.17"/>
        <n v="5600"/>
        <n v="2500"/>
        <n v="3051.71"/>
        <n v="1201.25"/>
        <n v="1962.22"/>
        <n v="2624.64"/>
        <n v="6400"/>
        <n v="1900"/>
        <n v="2851.54"/>
        <n v="2297.05"/>
        <n v="1735.3"/>
        <n v="2930.27"/>
        <n v="3584.25"/>
        <n v="2817.87"/>
        <n v="3420"/>
        <n v="2575.04"/>
        <n v="1200"/>
        <n v="2688"/>
        <n v="1888.26"/>
        <n v="2513.28"/>
        <n v="2280.96"/>
        <n v="3273.93"/>
        <n v="2464.8"/>
        <n v="5500"/>
        <n v="3867.08"/>
        <n v="1466.91"/>
        <n v="2711.66"/>
        <n v="3693.34"/>
        <n v="2495.5"/>
        <n v="3846.98"/>
        <n v="4220.92"/>
        <n v="3288.82"/>
        <n v="1809.5"/>
        <n v="1000"/>
        <n v="3105.62"/>
        <n v="3042.41"/>
        <n v="3241.9"/>
        <n v="3485.82"/>
        <n v="2042.88"/>
        <n v="1800.24"/>
        <n v="1340.64"/>
        <n v="1762.08"/>
        <n v="2298.24"/>
        <n v="1628"/>
        <n v="1939.2"/>
        <n v="3651.56"/>
        <n v="2591.96"/>
        <n v="2864.17"/>
        <n v="1484.2"/>
        <n v="2254.25"/>
        <n v="2681.35"/>
        <n v="3184.02"/>
        <n v="2846.63"/>
        <n v="1685.42"/>
        <n v="3988.6"/>
        <n v="2789.96"/>
        <n v="3368.16"/>
        <n v="2775.08"/>
        <n v="1627.92"/>
        <n v="2529.36"/>
        <n v="3065.78"/>
        <n v="3384.36"/>
        <n v="3012.27"/>
        <n v="1517.88"/>
        <n v="2694.72"/>
        <n v="1749.79"/>
        <n v="2130.56"/>
        <n v="5400"/>
        <n v="2838.81"/>
        <n v="3230.37"/>
        <n v="1958.88"/>
        <n v="2524.86"/>
        <n v="4136"/>
        <n v="4068.7"/>
        <n v="9048.16"/>
        <n v="3570.12"/>
        <n v="4480.32"/>
        <n v="2033.64"/>
        <n v="1960.14"/>
        <n v="4164.12"/>
        <n v="4508"/>
        <n v="1167.25"/>
        <n v="2083.2"/>
        <n v="3822"/>
        <n v="4704"/>
        <n v="2467.9"/>
        <n v="4196.8"/>
        <n v="2611.8"/>
        <n v="3375.72"/>
        <n v="6100"/>
        <n v="3288.78"/>
        <n v="4389.12"/>
        <n v="2183.25"/>
        <n v="2413.26"/>
        <n v="3248.7"/>
        <n v="3535.35"/>
        <n v="3843.34"/>
        <n v="3710.9"/>
        <n v="4375.98"/>
        <n v="1516.62"/>
        <n v="2509"/>
        <n v="2515.32"/>
        <n v="4873.05"/>
        <n v="2055.74"/>
        <n v="2354.88"/>
        <n v="2309.58"/>
        <n v="2113.37"/>
        <n v="1746.6"/>
        <n v="2304.45"/>
        <n v="2122.08"/>
        <n v="1742.4"/>
        <n v="2455.02"/>
        <n v="3053.28"/>
        <n v="1423.29"/>
        <n v="1504.12"/>
        <n v="1164.4"/>
        <n v="1500.75"/>
        <n v="1557.36"/>
        <n v="1345.68"/>
        <n v="1795.24"/>
        <n v="1105.25"/>
        <n v="2364.88"/>
        <n v="2427.03"/>
        <n v="1237.95"/>
        <n v="1593.02"/>
        <n v="3156.16"/>
        <n v="1320.75"/>
        <n v="1293.75"/>
        <n v="4380.2"/>
        <n v="2758.7"/>
        <n v="1449.76"/>
        <n v="5900"/>
        <n v="3881.28"/>
        <n v="1611.4"/>
        <n v="1364.25"/>
        <n v="3257.76"/>
        <n v="7600"/>
        <n v="3130.82"/>
        <n v="3112.34"/>
        <n v="3806.88"/>
        <n v="2142.14"/>
        <n v="3364.9"/>
        <n v="1262.8"/>
        <n v="1626.24"/>
        <n v="4088.7"/>
        <n v="3846.15"/>
        <n v="1339.8"/>
        <n v="3039.96"/>
        <n v="3400.32"/>
        <n v="1930.39"/>
        <n v="2464.77"/>
        <n v="2634.94"/>
        <n v="3625.16"/>
        <n v="3788.4"/>
        <n v="1832.6"/>
        <n v="2905.98"/>
        <n v="3599.75"/>
        <n v="2100.56"/>
        <n v="3881.78"/>
        <n v="4509.12"/>
        <n v="3273.27"/>
        <n v="974.1"/>
        <n v="1746.63"/>
        <n v="1463.7"/>
        <n v="3390"/>
        <n v="1608"/>
        <n v="2262.96"/>
        <n v="1496.64"/>
        <n v="1879.74"/>
        <n v="1495.26"/>
        <n v="2323.7"/>
        <n v="2491.86"/>
        <n v="1643.12"/>
        <n v="1322.16"/>
        <n v="1423.8"/>
        <n v="2397.45"/>
        <n v="1574"/>
        <n v="1729"/>
        <n v="2255.84"/>
        <n v="1834.5"/>
        <n v="3201.5"/>
        <n v="2276.4"/>
        <n v="1331.1"/>
        <n v="3051.3"/>
        <n v="2288.52"/>
        <n v="2159.96"/>
        <n v="3379.94"/>
        <n v="1236.84"/>
        <n v="728.4"/>
        <n v="5498.08"/>
        <n v="3777.58"/>
        <n v="2264.15"/>
        <n v="3068.69"/>
        <n v="600"/>
        <n v="1189.98"/>
        <n v="3090.15"/>
        <n v="2795.86"/>
        <n v="2701.92"/>
        <n v="2204.1"/>
        <n v="2840.48"/>
        <n v="2647.04"/>
        <n v="3172.05"/>
        <n v="2585.93"/>
        <n v="2148.3"/>
        <n v="1667.4"/>
        <n v="1859.7"/>
        <n v="1476.6"/>
        <n v="1732"/>
        <n v="1674.17"/>
        <n v="1500.98"/>
        <n v="2192.68"/>
        <n v="1797.58"/>
        <n v="2142.35"/>
        <n v="2086.92"/>
        <n v="2541.59"/>
        <n v="2130.92"/>
        <n v="1701.7"/>
        <n v="1694"/>
        <n v="2913.53"/>
        <n v="935.18"/>
        <n v="3073.26"/>
        <n v="2082.49"/>
        <n v="3394.23"/>
        <n v="2559.6"/>
        <n v="1490.16"/>
        <n v="3844"/>
        <n v="1824.72"/>
        <n v="2668.68"/>
        <n v="2843.61"/>
        <n v="3163.65"/>
        <n v="2226.11"/>
        <n v="2069.75"/>
        <n v="2235.33"/>
        <n v="2909.34"/>
        <n v="1570.17"/>
        <n v="2613.92"/>
        <n v="3193.26"/>
        <n v="1482.6"/>
        <n v="2055.23"/>
        <n v="2674.9"/>
        <n v="1853.4"/>
        <n v="1490.1"/>
        <n v="2162.16"/>
        <n v="2814.28"/>
        <n v="1605"/>
        <n v="2093.44"/>
        <n v="1944.3"/>
        <n v="1986.8"/>
        <n v="1695.96"/>
        <n v="1281.56"/>
        <n v="1774.22"/>
        <n v="1997.5"/>
        <n v="2353.2"/>
        <n v="981.2"/>
        <n v="1550.72"/>
        <n v="1771.06"/>
        <n v="2213.4"/>
        <n v="1864.8"/>
        <n v="1142.41"/>
        <n v="1172.6"/>
        <n v="3064.6"/>
        <n v="2202.48"/>
        <n v="1264.08"/>
        <n v="3033.28"/>
        <n v="990.78"/>
        <n v="2030.86"/>
        <n v="1687.4"/>
        <n v="1308"/>
        <n v="2242.89"/>
        <n v="2795.27"/>
        <n v="4285.46"/>
        <n v="3298.55"/>
        <n v="2609.88"/>
        <n v="3336.29"/>
        <n v="4407"/>
        <n v="2983.44"/>
        <n v="3572.33"/>
        <n v="1448"/>
        <n v="881.4"/>
        <n v="2011.1"/>
        <n v="1801.24"/>
        <n v="3390.2"/>
        <n v="1424"/>
        <n v="1499.1"/>
        <n v="3358.08"/>
        <n v="1504.16"/>
        <n v="2655.12"/>
        <n v="1244.16"/>
        <n v="1888.88"/>
        <n v="1820.01"/>
        <n v="2866.95"/>
        <n v="1394.16"/>
        <n v="2632.28"/>
        <n v="2018.56"/>
        <n v="2954.53"/>
        <n v="1871.83"/>
        <n v="1559.04"/>
        <n v="1880.2"/>
        <n v="1224.67"/>
        <n v="2208.64"/>
        <n v="3458.42"/>
        <n v="1237.88"/>
        <n v="2723.2"/>
        <n v="2218.52"/>
        <n v="1665.32"/>
        <n v="3421.04"/>
        <n v="1878.66"/>
        <n v="3853.6"/>
        <n v="3442.64"/>
        <n v="3482.16"/>
        <n v="3363.52"/>
        <n v="3350.52"/>
        <n v="2862.72"/>
        <n v="4036.04"/>
        <n v="4636.38"/>
        <n v="1553.58"/>
        <n v="2697.6"/>
        <n v="3334.04"/>
        <n v="2059.26"/>
        <n v="2023.14"/>
        <n v="2586.64"/>
        <n v="1987.02"/>
        <n v="1146.5"/>
        <n v="2312.24"/>
        <n v="2793.71"/>
        <n v="1908.28"/>
        <n v="3441.37"/>
        <n v="2023.28"/>
        <n v="2245.2"/>
        <n v="3255.12"/>
        <n v="2921.7"/>
        <n v="1801.2"/>
        <n v="2759.31"/>
        <n v="3138.34"/>
        <n v="2232.62"/>
        <n v="2257.92"/>
        <n v="1592"/>
        <n v="1978.62"/>
        <n v="2520.68"/>
        <n v="1781.22"/>
        <n v="1658.88"/>
        <n v="1476.48"/>
        <n v="2991.68"/>
        <n v="1534.95"/>
        <n v="6000"/>
        <n v="2011.8"/>
        <n v="2151.82"/>
        <n v="2573.46"/>
        <n v="3952.83"/>
        <n v="1855.41"/>
        <n v="4598.4"/>
        <n v="3670.4"/>
        <n v="3814.64"/>
        <n v="2117.75"/>
        <n v="2154"/>
        <n v="1777.1"/>
        <n v="1536.57"/>
        <n v="3510"/>
        <n v="3097.44"/>
        <n v="1705.41"/>
        <n v="2264.32"/>
        <n v="2484.6"/>
        <n v="3415.68"/>
        <n v="2839.32"/>
        <n v="2730"/>
        <n v="3540.53"/>
        <n v="2999.97"/>
        <n v="1527.8"/>
        <n v="3907.8"/>
        <n v="2658.48"/>
        <n v="3042.68"/>
        <n v="3861.2"/>
        <n v="2171.07"/>
        <n v="3403.08"/>
        <n v="2245.8"/>
        <n v="1668.5"/>
        <n v="2773.8"/>
        <n v="3128.92"/>
        <n v="3958.5"/>
        <n v="2761.96"/>
        <n v="2848.23"/>
        <n v="2539.84"/>
        <n v="2444.4"/>
        <n v="3035.88"/>
        <n v="2321.54"/>
        <n v="2501.98"/>
        <n v="3011.91"/>
        <n v="3288.6"/>
        <n v="1875.09"/>
        <n v="4149.07"/>
        <n v="1765.66"/>
        <n v="3734.72"/>
        <n v="2266.56"/>
        <n v="6500"/>
        <n v="2914.11"/>
        <n v="1740.9"/>
        <n v="2266.2"/>
        <n v="3155.58"/>
        <n v="1357.86"/>
        <n v="2598.82"/>
        <n v="1057.56"/>
        <n v="3127.82"/>
        <n v="2488.14"/>
        <n v="2220.72"/>
        <n v="1357.72"/>
        <n v="1638.04"/>
        <n v="2626.08"/>
        <n v="1661.88"/>
        <n v="2173.6"/>
        <n v="2182.05"/>
        <n v="2819.88"/>
        <n v="2598.64"/>
        <n v="2019.27"/>
        <n v="1454.7"/>
        <n v="1657.57"/>
        <n v="2851.84"/>
        <n v="1879.92"/>
        <n v="2687.04"/>
        <n v="3858.75"/>
        <n v="4287.5"/>
        <n v="1863.4"/>
        <n v="4166.88"/>
        <n v="4080.07"/>
        <n v="3024.5"/>
        <n v="1266.1"/>
        <n v="5800"/>
        <n v="5100"/>
        <n v="1903.22"/>
        <n v="2499.56"/>
        <n v="3081.24"/>
        <n v="1584.66"/>
        <n v="2341.2"/>
        <n v="2482.11"/>
        <n v="3602.02"/>
        <n v="3787.98"/>
        <n v="2834.65"/>
        <n v="3392.26"/>
        <n v="3358.31"/>
        <n v="2696.96"/>
        <n v="541.14"/>
        <n v="6134.7"/>
        <n v="3382.5"/>
        <n v="2240.66"/>
        <n v="3962.88"/>
        <n v="1685.28"/>
        <n v="1834.36"/>
        <n v="1916.98"/>
        <n v="2611"/>
        <n v="3630.28"/>
        <n v="3949.65"/>
        <n v="3491.67"/>
        <n v="2059.19"/>
        <n v="3170.16"/>
        <n v="1790.6"/>
        <n v="2345.97"/>
        <n v="3525.6"/>
        <n v="4300.5"/>
        <n v="3562.49"/>
        <n v="1640.24"/>
        <n v="1207.68"/>
        <n v="2482.25"/>
        <n v="2184.38"/>
        <n v="1668.37"/>
        <n v="1938.89"/>
        <n v="2490.5"/>
        <n v="2314.69"/>
        <n v="1254.83"/>
        <n v="1282.8"/>
        <n v="1345.75"/>
        <n v="2194.22"/>
        <n v="1972"/>
        <n v="1835.98"/>
        <n v="1119.93"/>
        <n v="2082.88"/>
        <n v="1569.75"/>
        <n v="2694.15"/>
        <n v="1257.27"/>
        <n v="2567.84"/>
        <n v="2634.28"/>
        <n v="1502.78"/>
        <n v="1676.2"/>
        <n v="2217.15"/>
        <n v="1916.64"/>
        <n v="2095.45"/>
        <n v="1556.62"/>
        <n v="1629.04"/>
        <n v="3289.86"/>
        <n v="2574.18"/>
        <n v="1327.79"/>
        <n v="2356.25"/>
        <n v="2013.5"/>
        <n v="2807.22"/>
        <n v="3072.96"/>
        <n v="1906.5"/>
        <n v="3431.7"/>
        <n v="2084.75"/>
        <n v="2136.01"/>
        <n v="2009.7"/>
        <n v="2719.8"/>
        <n v="1575.08"/>
        <n v="1688.43"/>
        <n v="1672.1"/>
        <n v="1674.75"/>
        <n v="1649.18"/>
        <n v="3751"/>
        <n v="4421.34"/>
        <n v="2078.28"/>
        <n v="3069"/>
        <n v="1713.8"/>
        <n v="1506.5"/>
        <n v="2692.12"/>
        <n v="2422.08"/>
        <n v="3488.34"/>
        <n v="2583.34"/>
        <n v="1249.4"/>
        <n v="3374.71"/>
        <n v="1265.46"/>
        <n v="1681.46"/>
        <n v="3204"/>
        <n v="2398.72"/>
        <n v="2381.04"/>
        <n v="1944.54"/>
        <n v="2273.7"/>
        <n v="2116.5"/>
        <n v="1307.32"/>
        <n v="1726.37"/>
        <n v="1267.77"/>
        <n v="1987.18"/>
        <n v="3880.2"/>
        <n v="1942.15"/>
        <n v="3259.92"/>
        <n v="1213.8"/>
        <n v="1086.6"/>
        <n v="1632.75"/>
        <n v="1734"/>
        <n v="1857.06"/>
        <n v="1863.41"/>
        <n v="2924.68"/>
        <n v="2294.18"/>
        <n v="1457.82"/>
        <n v="1955.88"/>
        <n v="2314.4"/>
        <n v="1310.96"/>
        <n v="2913.3"/>
        <n v="1357.78"/>
        <n v="2150"/>
        <n v="2783.25"/>
        <n v="2339.92"/>
        <n v="2275.2"/>
        <n v="2673.44"/>
        <n v="2431.75"/>
        <n v="2018.72"/>
        <n v="1558.99"/>
        <n v="1104.6"/>
        <n v="2575.1"/>
        <n v="3431.75"/>
        <n v="3273.9"/>
        <n v="4119.4"/>
        <n v="2254"/>
        <n v="2921.28"/>
        <n v="2633.4"/>
        <n v="2278.53"/>
        <n v="4846"/>
        <n v="1721.73"/>
        <n v="2993.5"/>
        <n v="1295.06"/>
        <n v="2671.95"/>
        <n v="1226.59"/>
        <n v="1453.84"/>
        <n v="1830.22"/>
        <n v="2530.01"/>
        <n v="2241.45"/>
        <n v="2399.85"/>
        <n v="1557.72"/>
        <n v="845.25"/>
        <n v="1352.4"/>
        <n v="1584.8"/>
        <n v="2616"/>
        <n v="1129.04"/>
        <n v="2218.5"/>
        <n v="2028.48"/>
        <n v="1759.2"/>
        <n v="977.67"/>
        <n v="1463"/>
        <n v="2576"/>
        <n v="2233.69"/>
        <n v="2481.64"/>
        <n v="3858.1"/>
        <n v="3501.6"/>
        <n v="2658.96"/>
        <n v="2214.67"/>
        <n v="2747.53"/>
        <n v="3310.92"/>
        <n v="2380"/>
        <n v="4114.38"/>
        <n v="1063.65"/>
        <n v="2008.44"/>
        <n v="4328.6"/>
        <n v="1376.43"/>
        <n v="3659.02"/>
        <n v="4165.61"/>
        <n v="1404"/>
        <n v="710.2"/>
        <n v="1702.8"/>
        <n v="1194.84"/>
        <n v="1007.14"/>
        <n v="977.43"/>
        <n v="1436.76"/>
        <n v="759.46"/>
        <n v="1189.44"/>
        <n v="683.8"/>
        <n v="1226.82"/>
        <n v="974.82"/>
        <n v="577.6"/>
        <n v="1106.93"/>
        <n v="694.6"/>
        <n v="1152.06"/>
        <n v="3685.95"/>
        <n v="703.6"/>
        <n v="834.67"/>
        <n v="1801.94"/>
        <n v="1209.6"/>
        <n v="3155.14"/>
        <n v="2848.86"/>
        <n v="3570.29"/>
        <n v="3902.41"/>
        <n v="1474.66"/>
        <n v="2186.89"/>
        <n v="1919.4"/>
        <n v="3656"/>
        <n v="1847"/>
        <n v="1851"/>
        <n v="2633.78"/>
        <n v="3153.6"/>
        <n v="2803.2"/>
        <n v="2311.02"/>
        <n v="2399.4"/>
        <n v="2733.12"/>
        <n v="2096.32"/>
        <n v="2971.34"/>
        <n v="2257.58"/>
        <n v="3493.91"/>
        <n v="4398.9"/>
        <n v="5168.4"/>
        <n v="2087.13"/>
        <n v="1711.22"/>
        <n v="2255.12"/>
        <n v="2472.96"/>
        <n v="1729.65"/>
        <n v="995.5"/>
        <n v="2414.72"/>
        <n v="1560.47"/>
        <n v="1112.94"/>
        <n v="1138.94"/>
        <n v="1012.4"/>
        <n v="913.92"/>
        <n v="2349.06"/>
        <n v="1161.12"/>
        <n v="1764.75"/>
        <n v="1690.9"/>
        <n v="2137.05"/>
        <n v="2177.1"/>
        <n v="1734.48"/>
        <n v="865.49"/>
        <n v="2223.52"/>
        <n v="2311.68"/>
        <n v="828.36"/>
        <n v="856.52"/>
        <n v="1845.45"/>
        <n v="1828"/>
        <n v="7000"/>
        <n v="2060.45"/>
        <n v="2460.16"/>
        <n v="1787.56"/>
        <n v="1645.65"/>
        <n v="2169.18"/>
        <n v="2816.18"/>
        <n v="2521.05"/>
        <n v="3199.98"/>
        <n v="1338.12"/>
        <n v="2972.58"/>
        <n v="2070.9"/>
        <n v="3092.6"/>
        <n v="2408.7"/>
        <n v="3472.54"/>
        <n v="2263.28"/>
        <n v="2194.17"/>
        <n v="1346.4"/>
        <n v="2533.63"/>
        <n v="3403.26"/>
        <n v="2896.65"/>
        <n v="2632.89"/>
        <n v="2279.55"/>
        <n v="2150.55"/>
        <n v="3360.45"/>
        <n v="2326.4"/>
        <n v="1545.6"/>
        <n v="1639.22"/>
        <n v="2649.6"/>
        <n v="3845.6"/>
        <n v="4527.04"/>
        <n v="3966.3"/>
        <n v="4142.58"/>
        <n v="4441.5"/>
        <n v="3315.12"/>
        <n v="3918.53"/>
        <n v="2830.45"/>
        <n v="2620.8"/>
        <n v="2181"/>
        <n v="3382.08"/>
        <n v="1350"/>
        <n v="7182"/>
        <n v="721.44"/>
        <n v="1489.41"/>
        <n v="891.03"/>
        <n v="1209.3"/>
        <n v="859.14"/>
        <n v="1151.44"/>
        <n v="1336.44"/>
        <n v="905.28"/>
        <n v="1247.4"/>
        <n v="846.51"/>
        <n v="1085.04"/>
        <n v="1767.43"/>
        <n v="1030.44"/>
        <n v="1585.36"/>
        <n v="813.2"/>
        <n v="1172.34"/>
        <n v="1510.56"/>
        <n v="1448.07"/>
        <n v="1225.29"/>
        <n v="1336.68"/>
        <n v="2985.84"/>
        <n v="1789.4"/>
        <n v="1082.1"/>
        <n v="3659.32"/>
        <n v="2443.6"/>
        <n v="2349.9"/>
        <n v="1646.19"/>
        <n v="1670.26"/>
        <n v="1467.48"/>
        <n v="2748.56"/>
        <n v="1522.4"/>
        <n v="3255.36"/>
        <n v="3535.03"/>
        <n v="2608.96"/>
        <n v="1356.4"/>
        <n v="1611.36"/>
        <n v="2603.2"/>
        <n v="2219.7"/>
        <n v="1496.25"/>
        <n v="1884"/>
        <n v="2166.14"/>
        <n v="2828.16"/>
        <n v="1867"/>
        <n v="2676.72"/>
        <n v="2182.44"/>
        <n v="1479.84"/>
        <n v="1424.22"/>
        <n v="2348.75"/>
        <n v="2762.2"/>
        <n v="1859.44"/>
        <n v="2093.76"/>
        <n v="1596.76"/>
        <n v="5820.35"/>
        <n v="5296.5"/>
        <n v="930.9"/>
        <n v="1207.44"/>
        <n v="717.4"/>
        <n v="1066.75"/>
        <n v="1554"/>
        <n v="1277.64"/>
        <n v="1578.79"/>
        <n v="917.7"/>
        <n v="777"/>
        <n v="1476.28"/>
        <n v="1538.46"/>
        <n v="891.2"/>
        <n v="1706.8"/>
        <n v="1373.6"/>
        <n v="1205.59"/>
        <n v="1427.4"/>
        <n v="1649.28"/>
        <n v="1383.03"/>
        <n v="1229.51"/>
        <n v="1140.48"/>
        <n v="1575.6"/>
        <n v="1386.72"/>
        <n v="2094.32"/>
        <n v="640.05"/>
        <n v="3193.52"/>
        <n v="3066.7"/>
        <n v="3883.11"/>
        <n v="4814.25"/>
        <n v="2826.27"/>
        <n v="1593.2"/>
        <n v="3266.1"/>
        <n v="2453.55"/>
        <n v="3910.4"/>
        <n v="1788"/>
        <n v="3328.07"/>
        <n v="2005.74"/>
        <n v="3159.96"/>
        <n v="3908.62"/>
        <n v="2606.48"/>
        <n v="2081.76"/>
        <n v="3519.85"/>
        <n v="1891.56"/>
        <n v="4208.41"/>
        <n v="2246.4"/>
        <n v="1987.74"/>
        <n v="4068.96"/>
        <n v="2282.22"/>
        <n v="1541"/>
        <n v="1951.92"/>
        <n v="3107.61"/>
        <n v="2328.64"/>
        <n v="3184.8"/>
        <n v="2149.74"/>
        <n v="2114.58"/>
        <n v="4256.56"/>
        <n v="2344.98"/>
        <n v="2328.66"/>
        <n v="3575.04"/>
        <n v="2076"/>
        <n v="3305.25"/>
        <n v="1538.55"/>
        <n v="3662.52"/>
        <n v="3478.64"/>
        <n v="1057.29"/>
        <n v="3385.9"/>
        <n v="1892.1"/>
        <n v="1707.14"/>
        <n v="1785.51"/>
        <n v="2057.4"/>
        <n v="3490"/>
        <n v="1506.96"/>
        <n v="2880.48"/>
        <n v="2206.6"/>
        <n v="2351.04"/>
        <n v="1205.04"/>
        <n v="2935.15"/>
        <n v="1263.84"/>
        <n v="1224.6"/>
        <n v="1359.4"/>
        <n v="1822.18"/>
        <n v="2163.72"/>
        <n v="1591.98"/>
        <n v="2997.6"/>
        <n v="2747.8"/>
        <n v="1910.84"/>
        <n v="2430.64"/>
        <n v="2896.3"/>
        <n v="1630.6"/>
        <n v="1459.6"/>
        <n v="1716.22"/>
        <n v="2560.47"/>
        <n v="1900.26"/>
        <n v="2019.84"/>
        <n v="1988.28"/>
        <n v="1449.84"/>
        <n v="1935.09"/>
        <n v="2793.24"/>
        <n v="3025.05"/>
        <n v="1742.5"/>
        <n v="3236.1"/>
        <n v="1735.92"/>
        <n v="2795.13"/>
        <n v="1671.52"/>
        <n v="1576.74"/>
        <n v="3615.71"/>
        <n v="2891.01"/>
        <n v="2598.44"/>
        <n v="3036"/>
        <n v="2231.6"/>
        <n v="2436.78"/>
        <n v="1254.6"/>
        <n v="2167.22"/>
        <n v="4368.96"/>
        <n v="4039.26"/>
        <n v="4420.32"/>
        <n v="2341.71"/>
        <n v="2120.14"/>
        <n v="4236.14"/>
        <n v="1888.95"/>
        <n v="1152.58"/>
        <n v="2492.88"/>
        <n v="1991.6"/>
        <n v="3729.39"/>
        <n v="3983.5"/>
        <n v="3169.95"/>
        <n v="3899.5"/>
        <n v="1851.73"/>
        <n v="2513.41"/>
        <n v="2431.94"/>
        <n v="1514.52"/>
        <n v="3079.44"/>
        <n v="1900.36"/>
        <n v="1974.06"/>
        <n v="3703.46"/>
        <n v="1755.13"/>
        <n v="4273.29"/>
        <n v="3984.96"/>
        <n v="2407.68"/>
        <n v="1697.3"/>
        <n v="2011.02"/>
        <n v="2306.25"/>
        <n v="1845"/>
        <n v="2493.12"/>
        <n v="1508.5"/>
        <n v="3164.98"/>
        <n v="3351.09"/>
        <n v="3064.32"/>
        <n v="3891.81"/>
        <n v="2931.98"/>
        <n v="1757.91"/>
        <n v="3241.5"/>
        <n v="1968.12"/>
        <n v="4094.5"/>
        <n v="1853.32"/>
        <n v="3392.84"/>
        <n v="1971.54"/>
        <n v="2169.9"/>
        <n v="2846.17"/>
        <n v="2018.4"/>
        <n v="2718.72"/>
        <n v="1981.65"/>
        <n v="3002.4"/>
        <n v="2948.16"/>
        <n v="3357.49"/>
        <n v="1175.16"/>
        <n v="2292.8"/>
        <n v="3286.49"/>
        <n v="2333.7"/>
        <n v="2675.05"/>
        <n v="4361.4"/>
        <n v="2018.58"/>
        <n v="2847"/>
        <n v="3006.12"/>
        <n v="2797.84"/>
        <n v="3843.2"/>
        <n v="1351.08"/>
        <n v="1689.03"/>
        <n v="1654.56"/>
        <n v="1528.58"/>
        <n v="1013.48"/>
        <n v="1442.26"/>
        <n v="1163.05"/>
        <n v="971.98"/>
        <n v="902.66"/>
        <n v="1295.97"/>
        <n v="1534.72"/>
        <n v="1185.3"/>
        <n v="1698.78"/>
        <n v="1381.05"/>
        <n v="1340.46"/>
        <n v="965.04"/>
        <n v="1093.99"/>
        <n v="3166.84"/>
        <n v="2143.68"/>
        <n v="1717.64"/>
        <n v="4086.29"/>
        <n v="553.95"/>
        <n v="652.35"/>
        <n v="1939.8"/>
        <n v="3784.8"/>
        <n v="2384.64"/>
        <n v="1408.96"/>
        <n v="1972.11"/>
        <n v="2253.68"/>
        <n v="1811.4"/>
        <n v="3845.1"/>
        <n v="3213.87"/>
        <n v="3532.23"/>
        <n v="3467.2"/>
        <n v="3628.94"/>
        <n v="4674.72"/>
        <n v="1656.69"/>
        <n v="1962.09"/>
        <n v="3476.8"/>
        <n v="2208.92"/>
        <n v="1657.76"/>
        <n v="2479.21"/>
        <n v="3565.92"/>
        <n v="2797.41"/>
        <n v="3756"/>
        <n v="2840"/>
        <n v="1716.26"/>
        <n v="3245.6"/>
        <n v="2760.94"/>
        <n v="1808.4"/>
        <n v="1682.37"/>
        <n v="1491"/>
        <n v="1666.35"/>
        <n v="3666.08"/>
        <n v="2916.2"/>
        <n v="2616.98"/>
        <n v="3390.8"/>
        <n v="3146.5"/>
        <n v="1561.5"/>
        <n v="3167"/>
        <n v="3521.25"/>
        <n v="4219.28"/>
        <n v="3581.76"/>
        <n v="2130.01"/>
        <n v="2063.06"/>
        <n v="2008.13"/>
        <n v="2004.77"/>
        <n v="1543.3"/>
        <n v="2269.92"/>
        <n v="1991.92"/>
        <n v="2916.76"/>
        <n v="2027.52"/>
        <n v="3235.18"/>
        <n v="2062.94"/>
        <n v="3317.78"/>
        <n v="3913.69"/>
        <n v="3608.64"/>
        <n v="3524.8"/>
        <n v="2586.88"/>
        <n v="4753.49"/>
        <n v="3684.67"/>
        <n v="2670.92"/>
        <n v="2472.6"/>
        <n v="4141.33"/>
        <n v="3598.99"/>
        <n v="3964.1"/>
        <n v="3900.6"/>
        <n v="2743.04"/>
        <n v="2402.07"/>
        <n v="2178.54"/>
        <n v="2366.28"/>
        <n v="1963.6"/>
        <n v="3553.88"/>
        <n v="1858"/>
        <n v="3098.7"/>
        <n v="4351.16"/>
        <n v="3675.86"/>
        <n v="2477.21"/>
        <n v="1883.93"/>
        <n v="3658.93"/>
        <n v="1917.84"/>
        <n v="2875.95"/>
        <n v="3733.82"/>
        <n v="4175.6"/>
        <n v="1173.15"/>
        <n v="1384.46"/>
        <n v="1327.59"/>
        <n v="1109.8"/>
        <n v="1239"/>
        <n v="1035.58"/>
        <n v="1545.64"/>
        <n v="1517.54"/>
        <n v="1731.84"/>
        <n v="1695.49"/>
        <n v="1045.98"/>
        <n v="1738.08"/>
        <n v="651.8"/>
        <n v="988.47"/>
        <n v="1518.11"/>
        <n v="1013.76"/>
        <n v="1549.8"/>
        <n v="1108.38"/>
        <n v="1513.54"/>
        <n v="2317.44"/>
        <n v="3298.4"/>
        <n v="1826.96"/>
        <n v="1206.9"/>
        <n v="1666.7"/>
        <n v="1560.44"/>
        <n v="2337.75"/>
        <n v="1103.76"/>
        <n v="2617.85"/>
        <n v="2207.52"/>
        <n v="3165.5"/>
        <n v="2071.41"/>
        <n v="1385.28"/>
        <n v="1621.62"/>
        <n v="1931.65"/>
        <n v="1244.53"/>
        <n v="1704.5"/>
        <n v="1753.2"/>
        <n v="1710.89"/>
        <n v="2326.5"/>
        <n v="2316"/>
        <n v="1727.1"/>
        <n v="2424"/>
        <n v="1535.49"/>
        <n v="1329.4"/>
        <n v="1701.76"/>
        <n v="2259.72"/>
        <n v="925.3"/>
        <n v="482.13"/>
        <n v="3227.63"/>
        <n v="1711.26"/>
        <n v="2054.36"/>
        <n v="3131.94"/>
        <n v="1681.35"/>
        <n v="2351.36"/>
        <n v="1408"/>
        <n v="2445.6"/>
        <n v="1804.44"/>
        <n v="2544.75"/>
        <n v="1056.4"/>
        <n v="2801.4"/>
        <n v="1988.4"/>
        <n v="2908.35"/>
        <n v="2147.4"/>
        <n v="2099.63"/>
        <n v="2315.18"/>
        <n v="2327.15"/>
        <n v="2626.01"/>
        <n v="2986.5"/>
        <n v="1587.08"/>
        <n v="1193.04"/>
        <n v="3403.35"/>
        <n v="1575.96"/>
        <n v="1630.2"/>
        <n v="1701.28"/>
        <n v="2850.82"/>
        <n v="2692.06"/>
        <n v="2174.42"/>
        <n v="3167.36"/>
        <n v="2142.66"/>
        <n v="2117.52"/>
        <n v="2419.95"/>
        <n v="2191.2"/>
        <n v="3043.04"/>
        <n v="1228.2"/>
        <n v="1330.35"/>
        <n v="2792.52"/>
        <n v="2296"/>
        <n v="2629.44"/>
        <n v="1912.16"/>
        <n v="2431.77"/>
        <n v="1867.32"/>
        <n v="2702.04"/>
        <n v="2406.36"/>
        <n v="2094.67"/>
        <n v="2797.9"/>
        <n v="1637.2"/>
        <n v="2281.91"/>
        <n v="2307.24"/>
        <n v="1320.8"/>
        <n v="2642.82"/>
        <n v="3061"/>
        <n v="3164.4"/>
        <n v="1791.16"/>
        <n v="4093"/>
        <n v="2234.4"/>
        <n v="3037.84"/>
        <n v="1419.84"/>
        <n v="1948.08"/>
        <n v="1780.4"/>
        <n v="3544.17"/>
        <n v="3619.44"/>
        <n v="1483.02"/>
        <n v="4819.26"/>
        <n v="1591.72"/>
        <n v="2168.5"/>
        <n v="2694"/>
        <n v="3600.24"/>
        <n v="3330.98"/>
        <n v="4235"/>
        <n v="2201.62"/>
        <n v="1565.85"/>
        <n v="2480.38"/>
        <n v="1355.13"/>
        <n v="1246.44"/>
        <n v="820.4"/>
        <n v="2492.64"/>
        <n v="1113.6"/>
        <n v="1763.86"/>
        <n v="1896.66"/>
        <n v="1449.35"/>
        <n v="1869.48"/>
        <n v="1860.53"/>
        <n v="1724.82"/>
        <n v="1713.69"/>
        <n v="1259.44"/>
        <n v="2051.08"/>
        <n v="1617.38"/>
        <n v="1765.62"/>
        <n v="2024.8"/>
        <n v="3288.4"/>
        <n v="2725.47"/>
        <n v="3224.2"/>
        <n v="1796.34"/>
        <n v="1979.6"/>
        <n v="1921.41"/>
        <n v="4556.16"/>
        <n v="2657.76"/>
        <n v="3345.26"/>
        <n v="2714.4"/>
        <n v="1800"/>
        <n v="1705.92"/>
        <n v="1033.41"/>
        <n v="3179.52"/>
        <n v="2091.18"/>
        <n v="1779.71"/>
        <n v="2537.64"/>
        <n v="2448.72"/>
        <n v="972.4"/>
        <n v="2856.14"/>
        <n v="1968.3"/>
        <n v="2056.2"/>
        <n v="2242.02"/>
        <n v="3128.65"/>
        <n v="2443.26"/>
        <n v="2470.86"/>
        <n v="1927.45"/>
        <n v="2051.56"/>
        <n v="2337.38"/>
        <n v="1623.25"/>
        <n v="1405.92"/>
        <n v="2282.28"/>
        <n v="3256.35"/>
        <n v="2821.66"/>
        <n v="3293.4"/>
        <n v="4224"/>
        <n v="3091.68"/>
        <n v="2219.6"/>
        <n v="3866.4"/>
        <n v="1964.76"/>
        <n v="2668.8"/>
        <n v="3222"/>
        <n v="3864.5"/>
        <n v="1366.8"/>
        <n v="3475.68"/>
        <n v="4206.5"/>
        <n v="1486.38"/>
        <n v="3077.88"/>
        <n v="3544.2"/>
        <n v="2483.04"/>
        <n v="3478.05"/>
        <n v="2118.54"/>
        <n v="2897.47"/>
        <n v="1916.75"/>
        <n v="1860"/>
        <n v="2624"/>
        <n v="2780.81"/>
        <n v="3239.62"/>
        <n v="1824"/>
        <n v="1134"/>
        <n v="1487.41"/>
        <n v="2837.46"/>
        <n v="1942.77"/>
        <n v="2544.12"/>
        <n v="2568.24"/>
        <n v="2108"/>
        <n v="1372.14"/>
        <n v="3540.15"/>
        <n v="1958.84"/>
        <n v="2542"/>
        <n v="2340"/>
        <n v="3526.82"/>
        <n v="1933.5"/>
        <n v="2600.13"/>
        <n v="2639.58"/>
        <n v="3863.87"/>
        <n v="1863.36"/>
        <n v="3989.76"/>
        <n v="1649.55"/>
        <n v="2831.54"/>
        <n v="3361.2"/>
        <n v="2864.32"/>
        <n v="1994.88"/>
        <n v="2795.14"/>
        <n v="2658"/>
        <n v="1210.8"/>
        <n v="3029.19"/>
        <n v="4121.43"/>
        <n v="1100"/>
        <n v="2100.82"/>
        <n v="2034.35"/>
        <n v="3027.84"/>
        <n v="3104"/>
        <n v="3612.43"/>
        <n v="2711.88"/>
        <n v="2738.54"/>
        <n v="2832"/>
        <n v="4720"/>
        <n v="2231"/>
        <n v="2296.84"/>
        <n v="3724.23"/>
        <n v="2084.81"/>
        <n v="3488.78"/>
        <n v="1753.06"/>
        <n v="2530.8"/>
        <n v="2577.6"/>
        <n v="2730.06"/>
        <n v="1891.78"/>
        <n v="2925.76"/>
        <n v="3293.24"/>
        <n v="2389.68"/>
        <n v="2172.48"/>
        <n v="2927.43"/>
        <n v="3838"/>
        <n v="4142.16"/>
        <n v="1882.8"/>
        <n v="3323.84"/>
        <n v="4195.8"/>
        <n v="3918.75"/>
        <n v="1089.36"/>
        <n v="2701.12"/>
        <n v="2487.04"/>
        <n v="4038.8"/>
        <n v="3070.4"/>
        <n v="2152.02"/>
        <n v="1930.5"/>
        <n v="2592.72"/>
        <n v="3246.75"/>
        <n v="3372.5"/>
        <n v="2994.75"/>
        <n v="3106.25"/>
        <n v="4826.25"/>
        <n v="3102.08"/>
        <n v="1908.72"/>
        <n v="7543.75"/>
        <n v="2038.87"/>
        <n v="2499.26"/>
        <n v="3838.05"/>
        <n v="2643.99"/>
        <n v="2315.88"/>
        <n v="3225.06"/>
        <n v="2451.84"/>
        <n v="2254.98"/>
        <n v="3939.5"/>
        <n v="3424.7"/>
        <n v="2914.2"/>
        <n v="2389.6"/>
        <n v="2428.48"/>
        <n v="3021.48"/>
        <n v="2610.72"/>
        <n v="3091.19"/>
        <n v="2576.2"/>
        <n v="3232.31"/>
        <n v="3573.6"/>
        <n v="2022.51"/>
        <n v="3717.5"/>
        <n v="2185.15"/>
        <n v="2883.53"/>
        <n v="2352.59"/>
        <n v="3195.27"/>
        <n v="3611.16"/>
        <n v="2000.77"/>
        <n v="2314.26"/>
        <n v="2728"/>
        <n v="3641.4"/>
        <n v="4048"/>
        <n v="2321.46"/>
        <n v="2973.9"/>
        <n v="2650.56"/>
        <n v="1864.56"/>
        <n v="3722.32"/>
        <n v="2691.09"/>
        <n v="2402.75"/>
        <n v="3302.4"/>
        <n v="3186.48"/>
        <n v="1668.25"/>
        <n v="2018.31"/>
        <n v="3273.6"/>
        <n v="3268"/>
        <n v="3715.2"/>
        <n v="4608"/>
        <n v="3131.2"/>
        <n v="2678.4"/>
        <n v="1747.2"/>
        <n v="2944"/>
        <n v="2956.8"/>
        <n v="2052"/>
        <n v="3164.8"/>
        <n v="1740"/>
        <n v="1777.6"/>
        <n v="1831.2"/>
        <n v="3609.6"/>
        <n v="2112"/>
        <n v="3523.85"/>
        <n v="3018.88"/>
        <n v="1902.4"/>
        <n v="7084"/>
        <n v="3164.46"/>
        <n v="3828.3"/>
        <n v="4407.5"/>
        <n v="4055.04"/>
        <n v="2488.32"/>
        <n v="4615.68"/>
        <n v="2203.75"/>
        <n v="3446"/>
        <n v="1939.3"/>
        <n v="2884.8"/>
        <n v="2670.65"/>
        <n v="3440"/>
        <n v="2770.78"/>
        <n v="2397.54"/>
        <n v="3275.56"/>
        <n v="4143.6"/>
        <n v="3753.9"/>
        <n v="2562.3"/>
        <n v="3245.58"/>
        <n v="1747.9"/>
        <n v="3267.25"/>
        <n v="2818.53"/>
        <n v="2955.54"/>
        <n v="2885.05"/>
        <n v="3162.95"/>
        <n v="4071.5"/>
        <n v="3396.44"/>
        <n v="3380.69"/>
        <n v="3204.57"/>
        <n v="2588.04"/>
        <n v="2864.4"/>
        <n v="2439.99"/>
        <n v="2949.12"/>
        <n v="1539.72"/>
        <n v="2213.38"/>
        <n v="2919.58"/>
        <n v="3778.28"/>
        <n v="3233.49"/>
        <n v="3431.25"/>
        <n v="2546.8"/>
        <n v="2953.86"/>
        <n v="3183.29"/>
        <n v="2466.7"/>
        <n v="2363.22"/>
        <n v="2487.45"/>
        <n v="2249.05"/>
        <n v="2061.12"/>
        <n v="4071.14"/>
        <n v="2656.29"/>
        <n v="2736.36"/>
        <n v="3348.93"/>
        <n v="2893"/>
        <n v="1661.22"/>
        <n v="2502.9"/>
        <n v="3801.6"/>
        <n v="3144.96"/>
        <n v="2031.4"/>
        <n v="2674.17"/>
        <n v="2526.72"/>
        <n v="1348.76"/>
        <n v="875.91"/>
        <n v="1874.05"/>
        <n v="1671.44"/>
        <n v="1668.4"/>
        <n v="2301.75"/>
        <n v="1459.92"/>
        <n v="1209.59"/>
        <n v="2145.12"/>
        <n v="1416.39"/>
        <n v="1843.52"/>
        <n v="1199.31"/>
        <n v="1875.2"/>
        <n v="2477.23"/>
        <n v="948.99"/>
        <n v="1823.42"/>
        <n v="1485.8"/>
        <n v="3789.72"/>
        <n v="2060.37"/>
        <n v="2579.36"/>
        <n v="2189.6"/>
        <n v="1624.25"/>
        <n v="4357.5"/>
        <n v="1367.48"/>
        <n v="1122.4"/>
        <n v="2419.62"/>
        <n v="1419.5"/>
        <n v="2184"/>
        <n v="2079.04"/>
        <n v="1724.97"/>
        <n v="3003"/>
        <n v="1846.42"/>
        <n v="2009.2"/>
        <n v="1804.04"/>
        <n v="2109.66"/>
        <n v="2682.96"/>
        <n v="2280.24"/>
        <n v="1192.56"/>
        <n v="1472.62"/>
        <n v="1696.82"/>
        <n v="1693.56"/>
        <n v="1921.92"/>
        <n v="2082.85"/>
        <n v="2227.6"/>
        <n v="3209.38"/>
        <n v="4080.72"/>
        <n v="2116.16"/>
      </sharedItems>
    </cacheField>
    <cacheField name="MONTH" numFmtId="49">
      <sharedItems count="12">
        <s v="February"/>
        <s v="May"/>
        <s v="July"/>
        <s v="August"/>
        <s v="October"/>
        <s v="November"/>
        <s v="December"/>
        <s v="January"/>
        <s v="April"/>
        <s v="June"/>
        <s v="September"/>
        <s v="March"/>
      </sharedItems>
    </cacheField>
    <cacheField name="YEAR" numFmtId="0">
      <sharedItems containsSemiMixedTypes="0" containsString="0" containsNumber="1" containsInteger="1" minValue="0" maxValue="2005" count="3">
        <n v="2003"/>
        <n v="2004"/>
        <n v="200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81">
  <r>
    <x v="0"/>
    <x v="0"/>
    <x v="0"/>
    <x v="0"/>
    <x v="0"/>
    <x v="0"/>
    <x v="0"/>
    <x v="0"/>
    <x v="0"/>
    <x v="0"/>
    <x v="0"/>
    <x v="0"/>
    <x v="0"/>
    <x v="0"/>
  </r>
  <r>
    <x v="1"/>
    <x v="1"/>
    <x v="1"/>
    <x v="1"/>
    <x v="1"/>
    <x v="0"/>
    <x v="0"/>
    <x v="1"/>
    <x v="0"/>
    <x v="0"/>
    <x v="1"/>
    <x v="1"/>
    <x v="1"/>
    <x v="0"/>
  </r>
  <r>
    <x v="2"/>
    <x v="2"/>
    <x v="2"/>
    <x v="2"/>
    <x v="2"/>
    <x v="0"/>
    <x v="0"/>
    <x v="2"/>
    <x v="0"/>
    <x v="1"/>
    <x v="2"/>
    <x v="2"/>
    <x v="2"/>
    <x v="0"/>
  </r>
  <r>
    <x v="3"/>
    <x v="3"/>
    <x v="3"/>
    <x v="3"/>
    <x v="3"/>
    <x v="0"/>
    <x v="0"/>
    <x v="2"/>
    <x v="0"/>
    <x v="1"/>
    <x v="3"/>
    <x v="3"/>
    <x v="3"/>
    <x v="0"/>
  </r>
  <r>
    <x v="4"/>
    <x v="4"/>
    <x v="4"/>
    <x v="4"/>
    <x v="4"/>
    <x v="0"/>
    <x v="0"/>
    <x v="3"/>
    <x v="0"/>
    <x v="1"/>
    <x v="4"/>
    <x v="4"/>
    <x v="4"/>
    <x v="0"/>
  </r>
  <r>
    <x v="5"/>
    <x v="5"/>
    <x v="5"/>
    <x v="5"/>
    <x v="5"/>
    <x v="0"/>
    <x v="0"/>
    <x v="3"/>
    <x v="0"/>
    <x v="1"/>
    <x v="5"/>
    <x v="5"/>
    <x v="4"/>
    <x v="0"/>
  </r>
  <r>
    <x v="6"/>
    <x v="6"/>
    <x v="6"/>
    <x v="6"/>
    <x v="6"/>
    <x v="0"/>
    <x v="0"/>
    <x v="3"/>
    <x v="0"/>
    <x v="0"/>
    <x v="6"/>
    <x v="6"/>
    <x v="5"/>
    <x v="0"/>
  </r>
  <r>
    <x v="7"/>
    <x v="7"/>
    <x v="7"/>
    <x v="4"/>
    <x v="7"/>
    <x v="0"/>
    <x v="0"/>
    <x v="3"/>
    <x v="0"/>
    <x v="1"/>
    <x v="7"/>
    <x v="7"/>
    <x v="5"/>
    <x v="0"/>
  </r>
  <r>
    <x v="8"/>
    <x v="8"/>
    <x v="8"/>
    <x v="7"/>
    <x v="8"/>
    <x v="0"/>
    <x v="0"/>
    <x v="3"/>
    <x v="0"/>
    <x v="0"/>
    <x v="8"/>
    <x v="8"/>
    <x v="6"/>
    <x v="0"/>
  </r>
  <r>
    <x v="9"/>
    <x v="9"/>
    <x v="2"/>
    <x v="4"/>
    <x v="9"/>
    <x v="0"/>
    <x v="0"/>
    <x v="0"/>
    <x v="1"/>
    <x v="1"/>
    <x v="9"/>
    <x v="9"/>
    <x v="7"/>
    <x v="1"/>
  </r>
  <r>
    <x v="10"/>
    <x v="10"/>
    <x v="9"/>
    <x v="4"/>
    <x v="10"/>
    <x v="0"/>
    <x v="0"/>
    <x v="0"/>
    <x v="1"/>
    <x v="1"/>
    <x v="10"/>
    <x v="10"/>
    <x v="0"/>
    <x v="1"/>
  </r>
  <r>
    <x v="11"/>
    <x v="11"/>
    <x v="10"/>
    <x v="4"/>
    <x v="11"/>
    <x v="0"/>
    <x v="0"/>
    <x v="1"/>
    <x v="1"/>
    <x v="0"/>
    <x v="11"/>
    <x v="11"/>
    <x v="8"/>
    <x v="1"/>
  </r>
  <r>
    <x v="12"/>
    <x v="12"/>
    <x v="11"/>
    <x v="4"/>
    <x v="12"/>
    <x v="0"/>
    <x v="0"/>
    <x v="1"/>
    <x v="1"/>
    <x v="1"/>
    <x v="12"/>
    <x v="12"/>
    <x v="1"/>
    <x v="1"/>
  </r>
  <r>
    <x v="13"/>
    <x v="13"/>
    <x v="1"/>
    <x v="4"/>
    <x v="13"/>
    <x v="0"/>
    <x v="0"/>
    <x v="1"/>
    <x v="1"/>
    <x v="1"/>
    <x v="13"/>
    <x v="13"/>
    <x v="9"/>
    <x v="1"/>
  </r>
  <r>
    <x v="14"/>
    <x v="14"/>
    <x v="3"/>
    <x v="8"/>
    <x v="14"/>
    <x v="0"/>
    <x v="0"/>
    <x v="2"/>
    <x v="1"/>
    <x v="1"/>
    <x v="14"/>
    <x v="14"/>
    <x v="2"/>
    <x v="1"/>
  </r>
  <r>
    <x v="15"/>
    <x v="15"/>
    <x v="5"/>
    <x v="4"/>
    <x v="15"/>
    <x v="0"/>
    <x v="0"/>
    <x v="2"/>
    <x v="1"/>
    <x v="1"/>
    <x v="15"/>
    <x v="15"/>
    <x v="3"/>
    <x v="1"/>
  </r>
  <r>
    <x v="16"/>
    <x v="16"/>
    <x v="10"/>
    <x v="4"/>
    <x v="16"/>
    <x v="0"/>
    <x v="0"/>
    <x v="2"/>
    <x v="1"/>
    <x v="0"/>
    <x v="16"/>
    <x v="11"/>
    <x v="10"/>
    <x v="1"/>
  </r>
  <r>
    <x v="17"/>
    <x v="17"/>
    <x v="2"/>
    <x v="4"/>
    <x v="17"/>
    <x v="0"/>
    <x v="0"/>
    <x v="3"/>
    <x v="1"/>
    <x v="1"/>
    <x v="17"/>
    <x v="9"/>
    <x v="4"/>
    <x v="1"/>
  </r>
  <r>
    <x v="18"/>
    <x v="18"/>
    <x v="12"/>
    <x v="2"/>
    <x v="18"/>
    <x v="0"/>
    <x v="0"/>
    <x v="3"/>
    <x v="1"/>
    <x v="1"/>
    <x v="18"/>
    <x v="16"/>
    <x v="5"/>
    <x v="1"/>
  </r>
  <r>
    <x v="0"/>
    <x v="19"/>
    <x v="13"/>
    <x v="4"/>
    <x v="19"/>
    <x v="0"/>
    <x v="0"/>
    <x v="3"/>
    <x v="1"/>
    <x v="1"/>
    <x v="0"/>
    <x v="17"/>
    <x v="5"/>
    <x v="1"/>
  </r>
  <r>
    <x v="19"/>
    <x v="20"/>
    <x v="2"/>
    <x v="4"/>
    <x v="20"/>
    <x v="0"/>
    <x v="0"/>
    <x v="3"/>
    <x v="1"/>
    <x v="2"/>
    <x v="19"/>
    <x v="9"/>
    <x v="5"/>
    <x v="1"/>
  </r>
  <r>
    <x v="20"/>
    <x v="21"/>
    <x v="14"/>
    <x v="9"/>
    <x v="21"/>
    <x v="0"/>
    <x v="0"/>
    <x v="3"/>
    <x v="1"/>
    <x v="0"/>
    <x v="20"/>
    <x v="18"/>
    <x v="6"/>
    <x v="1"/>
  </r>
  <r>
    <x v="14"/>
    <x v="22"/>
    <x v="15"/>
    <x v="10"/>
    <x v="22"/>
    <x v="0"/>
    <x v="0"/>
    <x v="0"/>
    <x v="2"/>
    <x v="0"/>
    <x v="14"/>
    <x v="19"/>
    <x v="0"/>
    <x v="2"/>
  </r>
  <r>
    <x v="21"/>
    <x v="23"/>
    <x v="13"/>
    <x v="11"/>
    <x v="23"/>
    <x v="0"/>
    <x v="0"/>
    <x v="0"/>
    <x v="2"/>
    <x v="1"/>
    <x v="21"/>
    <x v="20"/>
    <x v="11"/>
    <x v="2"/>
  </r>
  <r>
    <x v="22"/>
    <x v="24"/>
    <x v="16"/>
    <x v="4"/>
    <x v="24"/>
    <x v="0"/>
    <x v="0"/>
    <x v="1"/>
    <x v="2"/>
    <x v="0"/>
    <x v="22"/>
    <x v="21"/>
    <x v="8"/>
    <x v="2"/>
  </r>
  <r>
    <x v="23"/>
    <x v="25"/>
    <x v="17"/>
    <x v="4"/>
    <x v="25"/>
    <x v="1"/>
    <x v="0"/>
    <x v="1"/>
    <x v="2"/>
    <x v="2"/>
    <x v="23"/>
    <x v="22"/>
    <x v="1"/>
    <x v="2"/>
  </r>
  <r>
    <x v="17"/>
    <x v="26"/>
    <x v="18"/>
    <x v="4"/>
    <x v="26"/>
    <x v="0"/>
    <x v="1"/>
    <x v="0"/>
    <x v="0"/>
    <x v="1"/>
    <x v="17"/>
    <x v="23"/>
    <x v="7"/>
    <x v="0"/>
  </r>
  <r>
    <x v="24"/>
    <x v="27"/>
    <x v="6"/>
    <x v="4"/>
    <x v="27"/>
    <x v="0"/>
    <x v="1"/>
    <x v="0"/>
    <x v="0"/>
    <x v="2"/>
    <x v="24"/>
    <x v="24"/>
    <x v="11"/>
    <x v="0"/>
  </r>
  <r>
    <x v="25"/>
    <x v="28"/>
    <x v="19"/>
    <x v="4"/>
    <x v="28"/>
    <x v="0"/>
    <x v="1"/>
    <x v="1"/>
    <x v="0"/>
    <x v="2"/>
    <x v="25"/>
    <x v="25"/>
    <x v="1"/>
    <x v="0"/>
  </r>
  <r>
    <x v="5"/>
    <x v="29"/>
    <x v="9"/>
    <x v="4"/>
    <x v="29"/>
    <x v="0"/>
    <x v="1"/>
    <x v="2"/>
    <x v="0"/>
    <x v="2"/>
    <x v="5"/>
    <x v="10"/>
    <x v="2"/>
    <x v="0"/>
  </r>
  <r>
    <x v="26"/>
    <x v="30"/>
    <x v="3"/>
    <x v="4"/>
    <x v="30"/>
    <x v="0"/>
    <x v="1"/>
    <x v="2"/>
    <x v="0"/>
    <x v="2"/>
    <x v="26"/>
    <x v="26"/>
    <x v="10"/>
    <x v="0"/>
  </r>
  <r>
    <x v="27"/>
    <x v="31"/>
    <x v="15"/>
    <x v="4"/>
    <x v="31"/>
    <x v="0"/>
    <x v="1"/>
    <x v="3"/>
    <x v="0"/>
    <x v="1"/>
    <x v="27"/>
    <x v="27"/>
    <x v="4"/>
    <x v="0"/>
  </r>
  <r>
    <x v="28"/>
    <x v="32"/>
    <x v="1"/>
    <x v="4"/>
    <x v="32"/>
    <x v="0"/>
    <x v="1"/>
    <x v="3"/>
    <x v="0"/>
    <x v="2"/>
    <x v="28"/>
    <x v="13"/>
    <x v="5"/>
    <x v="0"/>
  </r>
  <r>
    <x v="29"/>
    <x v="33"/>
    <x v="10"/>
    <x v="4"/>
    <x v="33"/>
    <x v="0"/>
    <x v="1"/>
    <x v="3"/>
    <x v="0"/>
    <x v="1"/>
    <x v="29"/>
    <x v="11"/>
    <x v="5"/>
    <x v="0"/>
  </r>
  <r>
    <x v="30"/>
    <x v="34"/>
    <x v="13"/>
    <x v="4"/>
    <x v="34"/>
    <x v="0"/>
    <x v="1"/>
    <x v="3"/>
    <x v="0"/>
    <x v="2"/>
    <x v="30"/>
    <x v="17"/>
    <x v="5"/>
    <x v="0"/>
  </r>
  <r>
    <x v="31"/>
    <x v="35"/>
    <x v="20"/>
    <x v="4"/>
    <x v="35"/>
    <x v="0"/>
    <x v="1"/>
    <x v="3"/>
    <x v="0"/>
    <x v="2"/>
    <x v="31"/>
    <x v="28"/>
    <x v="6"/>
    <x v="0"/>
  </r>
  <r>
    <x v="32"/>
    <x v="36"/>
    <x v="21"/>
    <x v="4"/>
    <x v="36"/>
    <x v="0"/>
    <x v="1"/>
    <x v="0"/>
    <x v="1"/>
    <x v="1"/>
    <x v="32"/>
    <x v="29"/>
    <x v="7"/>
    <x v="1"/>
  </r>
  <r>
    <x v="33"/>
    <x v="37"/>
    <x v="6"/>
    <x v="4"/>
    <x v="37"/>
    <x v="0"/>
    <x v="1"/>
    <x v="0"/>
    <x v="1"/>
    <x v="1"/>
    <x v="33"/>
    <x v="24"/>
    <x v="11"/>
    <x v="1"/>
  </r>
  <r>
    <x v="34"/>
    <x v="38"/>
    <x v="1"/>
    <x v="4"/>
    <x v="38"/>
    <x v="0"/>
    <x v="1"/>
    <x v="1"/>
    <x v="1"/>
    <x v="1"/>
    <x v="34"/>
    <x v="13"/>
    <x v="1"/>
    <x v="1"/>
  </r>
  <r>
    <x v="35"/>
    <x v="39"/>
    <x v="22"/>
    <x v="4"/>
    <x v="39"/>
    <x v="0"/>
    <x v="1"/>
    <x v="1"/>
    <x v="1"/>
    <x v="2"/>
    <x v="35"/>
    <x v="30"/>
    <x v="9"/>
    <x v="1"/>
  </r>
  <r>
    <x v="20"/>
    <x v="40"/>
    <x v="15"/>
    <x v="4"/>
    <x v="40"/>
    <x v="0"/>
    <x v="1"/>
    <x v="2"/>
    <x v="1"/>
    <x v="1"/>
    <x v="20"/>
    <x v="27"/>
    <x v="2"/>
    <x v="1"/>
  </r>
  <r>
    <x v="36"/>
    <x v="41"/>
    <x v="1"/>
    <x v="4"/>
    <x v="41"/>
    <x v="0"/>
    <x v="1"/>
    <x v="2"/>
    <x v="1"/>
    <x v="2"/>
    <x v="36"/>
    <x v="13"/>
    <x v="3"/>
    <x v="1"/>
  </r>
  <r>
    <x v="37"/>
    <x v="42"/>
    <x v="9"/>
    <x v="4"/>
    <x v="42"/>
    <x v="0"/>
    <x v="1"/>
    <x v="2"/>
    <x v="1"/>
    <x v="2"/>
    <x v="37"/>
    <x v="10"/>
    <x v="10"/>
    <x v="1"/>
  </r>
  <r>
    <x v="38"/>
    <x v="43"/>
    <x v="20"/>
    <x v="4"/>
    <x v="43"/>
    <x v="0"/>
    <x v="1"/>
    <x v="3"/>
    <x v="1"/>
    <x v="2"/>
    <x v="38"/>
    <x v="28"/>
    <x v="4"/>
    <x v="1"/>
  </r>
  <r>
    <x v="39"/>
    <x v="44"/>
    <x v="7"/>
    <x v="4"/>
    <x v="44"/>
    <x v="0"/>
    <x v="1"/>
    <x v="3"/>
    <x v="1"/>
    <x v="2"/>
    <x v="39"/>
    <x v="7"/>
    <x v="4"/>
    <x v="1"/>
  </r>
  <r>
    <x v="40"/>
    <x v="45"/>
    <x v="23"/>
    <x v="4"/>
    <x v="45"/>
    <x v="0"/>
    <x v="1"/>
    <x v="3"/>
    <x v="1"/>
    <x v="1"/>
    <x v="40"/>
    <x v="31"/>
    <x v="5"/>
    <x v="1"/>
  </r>
  <r>
    <x v="8"/>
    <x v="46"/>
    <x v="18"/>
    <x v="4"/>
    <x v="46"/>
    <x v="0"/>
    <x v="1"/>
    <x v="3"/>
    <x v="1"/>
    <x v="1"/>
    <x v="8"/>
    <x v="23"/>
    <x v="5"/>
    <x v="1"/>
  </r>
  <r>
    <x v="10"/>
    <x v="47"/>
    <x v="0"/>
    <x v="4"/>
    <x v="47"/>
    <x v="0"/>
    <x v="1"/>
    <x v="3"/>
    <x v="1"/>
    <x v="1"/>
    <x v="10"/>
    <x v="32"/>
    <x v="5"/>
    <x v="1"/>
  </r>
  <r>
    <x v="39"/>
    <x v="48"/>
    <x v="22"/>
    <x v="4"/>
    <x v="48"/>
    <x v="0"/>
    <x v="1"/>
    <x v="3"/>
    <x v="1"/>
    <x v="1"/>
    <x v="39"/>
    <x v="30"/>
    <x v="6"/>
    <x v="1"/>
  </r>
  <r>
    <x v="41"/>
    <x v="49"/>
    <x v="2"/>
    <x v="4"/>
    <x v="49"/>
    <x v="0"/>
    <x v="1"/>
    <x v="0"/>
    <x v="2"/>
    <x v="1"/>
    <x v="41"/>
    <x v="9"/>
    <x v="7"/>
    <x v="2"/>
  </r>
  <r>
    <x v="4"/>
    <x v="50"/>
    <x v="5"/>
    <x v="4"/>
    <x v="50"/>
    <x v="0"/>
    <x v="1"/>
    <x v="0"/>
    <x v="2"/>
    <x v="2"/>
    <x v="4"/>
    <x v="15"/>
    <x v="0"/>
    <x v="2"/>
  </r>
  <r>
    <x v="42"/>
    <x v="51"/>
    <x v="16"/>
    <x v="4"/>
    <x v="51"/>
    <x v="0"/>
    <x v="1"/>
    <x v="0"/>
    <x v="2"/>
    <x v="0"/>
    <x v="42"/>
    <x v="21"/>
    <x v="11"/>
    <x v="2"/>
  </r>
  <r>
    <x v="43"/>
    <x v="52"/>
    <x v="10"/>
    <x v="4"/>
    <x v="52"/>
    <x v="0"/>
    <x v="1"/>
    <x v="1"/>
    <x v="2"/>
    <x v="1"/>
    <x v="43"/>
    <x v="11"/>
    <x v="1"/>
    <x v="2"/>
  </r>
  <r>
    <x v="23"/>
    <x v="53"/>
    <x v="24"/>
    <x v="4"/>
    <x v="53"/>
    <x v="2"/>
    <x v="1"/>
    <x v="1"/>
    <x v="2"/>
    <x v="2"/>
    <x v="23"/>
    <x v="33"/>
    <x v="1"/>
    <x v="2"/>
  </r>
  <r>
    <x v="0"/>
    <x v="0"/>
    <x v="25"/>
    <x v="12"/>
    <x v="0"/>
    <x v="0"/>
    <x v="0"/>
    <x v="0"/>
    <x v="0"/>
    <x v="1"/>
    <x v="0"/>
    <x v="34"/>
    <x v="0"/>
    <x v="0"/>
  </r>
  <r>
    <x v="10"/>
    <x v="54"/>
    <x v="6"/>
    <x v="13"/>
    <x v="54"/>
    <x v="0"/>
    <x v="0"/>
    <x v="1"/>
    <x v="0"/>
    <x v="0"/>
    <x v="10"/>
    <x v="35"/>
    <x v="8"/>
    <x v="0"/>
  </r>
  <r>
    <x v="2"/>
    <x v="2"/>
    <x v="26"/>
    <x v="4"/>
    <x v="2"/>
    <x v="0"/>
    <x v="0"/>
    <x v="2"/>
    <x v="0"/>
    <x v="1"/>
    <x v="2"/>
    <x v="36"/>
    <x v="2"/>
    <x v="0"/>
  </r>
  <r>
    <x v="3"/>
    <x v="3"/>
    <x v="9"/>
    <x v="4"/>
    <x v="3"/>
    <x v="0"/>
    <x v="0"/>
    <x v="2"/>
    <x v="0"/>
    <x v="1"/>
    <x v="3"/>
    <x v="10"/>
    <x v="3"/>
    <x v="0"/>
  </r>
  <r>
    <x v="4"/>
    <x v="4"/>
    <x v="9"/>
    <x v="4"/>
    <x v="4"/>
    <x v="0"/>
    <x v="0"/>
    <x v="3"/>
    <x v="0"/>
    <x v="1"/>
    <x v="4"/>
    <x v="10"/>
    <x v="4"/>
    <x v="0"/>
  </r>
  <r>
    <x v="5"/>
    <x v="5"/>
    <x v="26"/>
    <x v="4"/>
    <x v="5"/>
    <x v="0"/>
    <x v="0"/>
    <x v="3"/>
    <x v="0"/>
    <x v="1"/>
    <x v="5"/>
    <x v="36"/>
    <x v="4"/>
    <x v="0"/>
  </r>
  <r>
    <x v="6"/>
    <x v="6"/>
    <x v="13"/>
    <x v="4"/>
    <x v="6"/>
    <x v="0"/>
    <x v="0"/>
    <x v="3"/>
    <x v="0"/>
    <x v="1"/>
    <x v="6"/>
    <x v="17"/>
    <x v="5"/>
    <x v="0"/>
  </r>
  <r>
    <x v="7"/>
    <x v="7"/>
    <x v="19"/>
    <x v="13"/>
    <x v="7"/>
    <x v="0"/>
    <x v="0"/>
    <x v="3"/>
    <x v="0"/>
    <x v="1"/>
    <x v="7"/>
    <x v="37"/>
    <x v="5"/>
    <x v="0"/>
  </r>
  <r>
    <x v="8"/>
    <x v="8"/>
    <x v="16"/>
    <x v="4"/>
    <x v="8"/>
    <x v="0"/>
    <x v="0"/>
    <x v="3"/>
    <x v="0"/>
    <x v="1"/>
    <x v="8"/>
    <x v="21"/>
    <x v="6"/>
    <x v="0"/>
  </r>
  <r>
    <x v="44"/>
    <x v="55"/>
    <x v="10"/>
    <x v="4"/>
    <x v="55"/>
    <x v="0"/>
    <x v="0"/>
    <x v="0"/>
    <x v="1"/>
    <x v="1"/>
    <x v="44"/>
    <x v="11"/>
    <x v="7"/>
    <x v="1"/>
  </r>
  <r>
    <x v="10"/>
    <x v="10"/>
    <x v="20"/>
    <x v="4"/>
    <x v="10"/>
    <x v="0"/>
    <x v="0"/>
    <x v="0"/>
    <x v="1"/>
    <x v="1"/>
    <x v="10"/>
    <x v="28"/>
    <x v="0"/>
    <x v="1"/>
  </r>
  <r>
    <x v="45"/>
    <x v="56"/>
    <x v="8"/>
    <x v="4"/>
    <x v="56"/>
    <x v="0"/>
    <x v="0"/>
    <x v="1"/>
    <x v="1"/>
    <x v="0"/>
    <x v="45"/>
    <x v="38"/>
    <x v="8"/>
    <x v="1"/>
  </r>
  <r>
    <x v="12"/>
    <x v="12"/>
    <x v="27"/>
    <x v="4"/>
    <x v="12"/>
    <x v="0"/>
    <x v="0"/>
    <x v="1"/>
    <x v="1"/>
    <x v="1"/>
    <x v="12"/>
    <x v="39"/>
    <x v="1"/>
    <x v="1"/>
  </r>
  <r>
    <x v="13"/>
    <x v="13"/>
    <x v="23"/>
    <x v="4"/>
    <x v="13"/>
    <x v="0"/>
    <x v="0"/>
    <x v="1"/>
    <x v="1"/>
    <x v="1"/>
    <x v="13"/>
    <x v="31"/>
    <x v="9"/>
    <x v="1"/>
  </r>
  <r>
    <x v="14"/>
    <x v="14"/>
    <x v="8"/>
    <x v="4"/>
    <x v="14"/>
    <x v="0"/>
    <x v="0"/>
    <x v="2"/>
    <x v="1"/>
    <x v="0"/>
    <x v="14"/>
    <x v="38"/>
    <x v="2"/>
    <x v="1"/>
  </r>
  <r>
    <x v="15"/>
    <x v="15"/>
    <x v="20"/>
    <x v="4"/>
    <x v="15"/>
    <x v="0"/>
    <x v="0"/>
    <x v="2"/>
    <x v="1"/>
    <x v="1"/>
    <x v="15"/>
    <x v="28"/>
    <x v="3"/>
    <x v="1"/>
  </r>
  <r>
    <x v="46"/>
    <x v="57"/>
    <x v="25"/>
    <x v="13"/>
    <x v="57"/>
    <x v="0"/>
    <x v="0"/>
    <x v="2"/>
    <x v="1"/>
    <x v="1"/>
    <x v="46"/>
    <x v="40"/>
    <x v="10"/>
    <x v="1"/>
  </r>
  <r>
    <x v="47"/>
    <x v="58"/>
    <x v="1"/>
    <x v="4"/>
    <x v="17"/>
    <x v="0"/>
    <x v="0"/>
    <x v="3"/>
    <x v="1"/>
    <x v="1"/>
    <x v="47"/>
    <x v="13"/>
    <x v="4"/>
    <x v="1"/>
  </r>
  <r>
    <x v="18"/>
    <x v="18"/>
    <x v="3"/>
    <x v="4"/>
    <x v="18"/>
    <x v="0"/>
    <x v="0"/>
    <x v="3"/>
    <x v="1"/>
    <x v="1"/>
    <x v="18"/>
    <x v="26"/>
    <x v="5"/>
    <x v="1"/>
  </r>
  <r>
    <x v="0"/>
    <x v="19"/>
    <x v="14"/>
    <x v="4"/>
    <x v="19"/>
    <x v="0"/>
    <x v="0"/>
    <x v="3"/>
    <x v="1"/>
    <x v="1"/>
    <x v="0"/>
    <x v="41"/>
    <x v="5"/>
    <x v="1"/>
  </r>
  <r>
    <x v="35"/>
    <x v="59"/>
    <x v="23"/>
    <x v="14"/>
    <x v="58"/>
    <x v="0"/>
    <x v="0"/>
    <x v="3"/>
    <x v="1"/>
    <x v="0"/>
    <x v="35"/>
    <x v="42"/>
    <x v="5"/>
    <x v="1"/>
  </r>
  <r>
    <x v="20"/>
    <x v="21"/>
    <x v="18"/>
    <x v="15"/>
    <x v="21"/>
    <x v="0"/>
    <x v="0"/>
    <x v="3"/>
    <x v="1"/>
    <x v="0"/>
    <x v="20"/>
    <x v="43"/>
    <x v="6"/>
    <x v="1"/>
  </r>
  <r>
    <x v="28"/>
    <x v="60"/>
    <x v="25"/>
    <x v="4"/>
    <x v="59"/>
    <x v="0"/>
    <x v="0"/>
    <x v="0"/>
    <x v="2"/>
    <x v="1"/>
    <x v="28"/>
    <x v="44"/>
    <x v="0"/>
    <x v="2"/>
  </r>
  <r>
    <x v="21"/>
    <x v="23"/>
    <x v="24"/>
    <x v="16"/>
    <x v="23"/>
    <x v="0"/>
    <x v="0"/>
    <x v="0"/>
    <x v="2"/>
    <x v="0"/>
    <x v="21"/>
    <x v="45"/>
    <x v="11"/>
    <x v="2"/>
  </r>
  <r>
    <x v="9"/>
    <x v="61"/>
    <x v="3"/>
    <x v="4"/>
    <x v="60"/>
    <x v="0"/>
    <x v="0"/>
    <x v="1"/>
    <x v="2"/>
    <x v="1"/>
    <x v="9"/>
    <x v="26"/>
    <x v="8"/>
    <x v="2"/>
  </r>
  <r>
    <x v="23"/>
    <x v="25"/>
    <x v="3"/>
    <x v="4"/>
    <x v="25"/>
    <x v="1"/>
    <x v="0"/>
    <x v="1"/>
    <x v="2"/>
    <x v="1"/>
    <x v="23"/>
    <x v="26"/>
    <x v="1"/>
    <x v="2"/>
  </r>
  <r>
    <x v="0"/>
    <x v="0"/>
    <x v="26"/>
    <x v="4"/>
    <x v="0"/>
    <x v="0"/>
    <x v="0"/>
    <x v="0"/>
    <x v="0"/>
    <x v="1"/>
    <x v="0"/>
    <x v="36"/>
    <x v="0"/>
    <x v="0"/>
  </r>
  <r>
    <x v="10"/>
    <x v="54"/>
    <x v="12"/>
    <x v="4"/>
    <x v="54"/>
    <x v="0"/>
    <x v="0"/>
    <x v="1"/>
    <x v="0"/>
    <x v="2"/>
    <x v="10"/>
    <x v="46"/>
    <x v="8"/>
    <x v="0"/>
  </r>
  <r>
    <x v="2"/>
    <x v="2"/>
    <x v="28"/>
    <x v="4"/>
    <x v="2"/>
    <x v="0"/>
    <x v="0"/>
    <x v="2"/>
    <x v="0"/>
    <x v="2"/>
    <x v="2"/>
    <x v="47"/>
    <x v="2"/>
    <x v="0"/>
  </r>
  <r>
    <x v="3"/>
    <x v="3"/>
    <x v="29"/>
    <x v="4"/>
    <x v="3"/>
    <x v="0"/>
    <x v="0"/>
    <x v="2"/>
    <x v="0"/>
    <x v="1"/>
    <x v="3"/>
    <x v="48"/>
    <x v="3"/>
    <x v="0"/>
  </r>
  <r>
    <x v="4"/>
    <x v="4"/>
    <x v="8"/>
    <x v="4"/>
    <x v="4"/>
    <x v="0"/>
    <x v="0"/>
    <x v="3"/>
    <x v="0"/>
    <x v="1"/>
    <x v="4"/>
    <x v="38"/>
    <x v="4"/>
    <x v="0"/>
  </r>
  <r>
    <x v="5"/>
    <x v="5"/>
    <x v="14"/>
    <x v="4"/>
    <x v="5"/>
    <x v="0"/>
    <x v="0"/>
    <x v="3"/>
    <x v="0"/>
    <x v="1"/>
    <x v="5"/>
    <x v="41"/>
    <x v="4"/>
    <x v="0"/>
  </r>
  <r>
    <x v="6"/>
    <x v="6"/>
    <x v="2"/>
    <x v="4"/>
    <x v="6"/>
    <x v="0"/>
    <x v="0"/>
    <x v="3"/>
    <x v="0"/>
    <x v="2"/>
    <x v="6"/>
    <x v="9"/>
    <x v="5"/>
    <x v="0"/>
  </r>
  <r>
    <x v="7"/>
    <x v="7"/>
    <x v="3"/>
    <x v="4"/>
    <x v="7"/>
    <x v="0"/>
    <x v="0"/>
    <x v="3"/>
    <x v="0"/>
    <x v="2"/>
    <x v="7"/>
    <x v="26"/>
    <x v="5"/>
    <x v="0"/>
  </r>
  <r>
    <x v="8"/>
    <x v="8"/>
    <x v="4"/>
    <x v="4"/>
    <x v="8"/>
    <x v="0"/>
    <x v="0"/>
    <x v="3"/>
    <x v="0"/>
    <x v="2"/>
    <x v="8"/>
    <x v="4"/>
    <x v="6"/>
    <x v="0"/>
  </r>
  <r>
    <x v="44"/>
    <x v="55"/>
    <x v="1"/>
    <x v="4"/>
    <x v="55"/>
    <x v="0"/>
    <x v="0"/>
    <x v="0"/>
    <x v="1"/>
    <x v="1"/>
    <x v="44"/>
    <x v="13"/>
    <x v="7"/>
    <x v="1"/>
  </r>
  <r>
    <x v="10"/>
    <x v="10"/>
    <x v="4"/>
    <x v="4"/>
    <x v="10"/>
    <x v="0"/>
    <x v="0"/>
    <x v="0"/>
    <x v="1"/>
    <x v="2"/>
    <x v="10"/>
    <x v="4"/>
    <x v="0"/>
    <x v="1"/>
  </r>
  <r>
    <x v="11"/>
    <x v="11"/>
    <x v="25"/>
    <x v="4"/>
    <x v="11"/>
    <x v="0"/>
    <x v="0"/>
    <x v="1"/>
    <x v="1"/>
    <x v="2"/>
    <x v="11"/>
    <x v="44"/>
    <x v="8"/>
    <x v="1"/>
  </r>
  <r>
    <x v="12"/>
    <x v="12"/>
    <x v="30"/>
    <x v="4"/>
    <x v="12"/>
    <x v="0"/>
    <x v="0"/>
    <x v="1"/>
    <x v="1"/>
    <x v="2"/>
    <x v="12"/>
    <x v="49"/>
    <x v="1"/>
    <x v="1"/>
  </r>
  <r>
    <x v="13"/>
    <x v="13"/>
    <x v="2"/>
    <x v="4"/>
    <x v="13"/>
    <x v="0"/>
    <x v="0"/>
    <x v="1"/>
    <x v="1"/>
    <x v="2"/>
    <x v="13"/>
    <x v="9"/>
    <x v="9"/>
    <x v="1"/>
  </r>
  <r>
    <x v="14"/>
    <x v="14"/>
    <x v="5"/>
    <x v="4"/>
    <x v="14"/>
    <x v="0"/>
    <x v="0"/>
    <x v="2"/>
    <x v="1"/>
    <x v="1"/>
    <x v="14"/>
    <x v="15"/>
    <x v="2"/>
    <x v="1"/>
  </r>
  <r>
    <x v="15"/>
    <x v="15"/>
    <x v="26"/>
    <x v="4"/>
    <x v="15"/>
    <x v="0"/>
    <x v="0"/>
    <x v="2"/>
    <x v="1"/>
    <x v="1"/>
    <x v="15"/>
    <x v="36"/>
    <x v="3"/>
    <x v="1"/>
  </r>
  <r>
    <x v="16"/>
    <x v="16"/>
    <x v="6"/>
    <x v="4"/>
    <x v="16"/>
    <x v="0"/>
    <x v="0"/>
    <x v="2"/>
    <x v="1"/>
    <x v="1"/>
    <x v="16"/>
    <x v="24"/>
    <x v="10"/>
    <x v="1"/>
  </r>
  <r>
    <x v="47"/>
    <x v="58"/>
    <x v="14"/>
    <x v="4"/>
    <x v="17"/>
    <x v="0"/>
    <x v="0"/>
    <x v="3"/>
    <x v="1"/>
    <x v="1"/>
    <x v="47"/>
    <x v="41"/>
    <x v="4"/>
    <x v="1"/>
  </r>
  <r>
    <x v="18"/>
    <x v="18"/>
    <x v="9"/>
    <x v="4"/>
    <x v="18"/>
    <x v="0"/>
    <x v="0"/>
    <x v="3"/>
    <x v="1"/>
    <x v="2"/>
    <x v="18"/>
    <x v="10"/>
    <x v="5"/>
    <x v="1"/>
  </r>
  <r>
    <x v="0"/>
    <x v="19"/>
    <x v="18"/>
    <x v="4"/>
    <x v="19"/>
    <x v="0"/>
    <x v="0"/>
    <x v="3"/>
    <x v="1"/>
    <x v="1"/>
    <x v="0"/>
    <x v="23"/>
    <x v="5"/>
    <x v="1"/>
  </r>
  <r>
    <x v="35"/>
    <x v="59"/>
    <x v="25"/>
    <x v="17"/>
    <x v="58"/>
    <x v="0"/>
    <x v="0"/>
    <x v="3"/>
    <x v="1"/>
    <x v="0"/>
    <x v="35"/>
    <x v="50"/>
    <x v="5"/>
    <x v="1"/>
  </r>
  <r>
    <x v="5"/>
    <x v="62"/>
    <x v="8"/>
    <x v="4"/>
    <x v="61"/>
    <x v="0"/>
    <x v="0"/>
    <x v="0"/>
    <x v="2"/>
    <x v="1"/>
    <x v="5"/>
    <x v="38"/>
    <x v="7"/>
    <x v="2"/>
  </r>
  <r>
    <x v="28"/>
    <x v="60"/>
    <x v="8"/>
    <x v="4"/>
    <x v="59"/>
    <x v="0"/>
    <x v="0"/>
    <x v="0"/>
    <x v="2"/>
    <x v="1"/>
    <x v="28"/>
    <x v="38"/>
    <x v="0"/>
    <x v="2"/>
  </r>
  <r>
    <x v="21"/>
    <x v="23"/>
    <x v="15"/>
    <x v="18"/>
    <x v="23"/>
    <x v="0"/>
    <x v="0"/>
    <x v="0"/>
    <x v="2"/>
    <x v="0"/>
    <x v="21"/>
    <x v="51"/>
    <x v="11"/>
    <x v="2"/>
  </r>
  <r>
    <x v="22"/>
    <x v="24"/>
    <x v="17"/>
    <x v="4"/>
    <x v="24"/>
    <x v="0"/>
    <x v="0"/>
    <x v="1"/>
    <x v="2"/>
    <x v="2"/>
    <x v="22"/>
    <x v="22"/>
    <x v="8"/>
    <x v="2"/>
  </r>
  <r>
    <x v="23"/>
    <x v="25"/>
    <x v="31"/>
    <x v="4"/>
    <x v="25"/>
    <x v="1"/>
    <x v="0"/>
    <x v="1"/>
    <x v="2"/>
    <x v="2"/>
    <x v="23"/>
    <x v="52"/>
    <x v="1"/>
    <x v="2"/>
  </r>
  <r>
    <x v="48"/>
    <x v="63"/>
    <x v="24"/>
    <x v="4"/>
    <x v="62"/>
    <x v="0"/>
    <x v="1"/>
    <x v="0"/>
    <x v="0"/>
    <x v="2"/>
    <x v="48"/>
    <x v="33"/>
    <x v="0"/>
    <x v="0"/>
  </r>
  <r>
    <x v="19"/>
    <x v="64"/>
    <x v="12"/>
    <x v="4"/>
    <x v="63"/>
    <x v="0"/>
    <x v="1"/>
    <x v="1"/>
    <x v="0"/>
    <x v="1"/>
    <x v="19"/>
    <x v="46"/>
    <x v="8"/>
    <x v="0"/>
  </r>
  <r>
    <x v="49"/>
    <x v="65"/>
    <x v="29"/>
    <x v="4"/>
    <x v="64"/>
    <x v="0"/>
    <x v="1"/>
    <x v="1"/>
    <x v="0"/>
    <x v="1"/>
    <x v="49"/>
    <x v="48"/>
    <x v="9"/>
    <x v="0"/>
  </r>
  <r>
    <x v="50"/>
    <x v="66"/>
    <x v="4"/>
    <x v="4"/>
    <x v="65"/>
    <x v="0"/>
    <x v="1"/>
    <x v="2"/>
    <x v="0"/>
    <x v="1"/>
    <x v="50"/>
    <x v="4"/>
    <x v="3"/>
    <x v="0"/>
  </r>
  <r>
    <x v="16"/>
    <x v="67"/>
    <x v="22"/>
    <x v="4"/>
    <x v="66"/>
    <x v="0"/>
    <x v="1"/>
    <x v="3"/>
    <x v="0"/>
    <x v="1"/>
    <x v="16"/>
    <x v="30"/>
    <x v="4"/>
    <x v="0"/>
  </r>
  <r>
    <x v="37"/>
    <x v="68"/>
    <x v="27"/>
    <x v="4"/>
    <x v="67"/>
    <x v="3"/>
    <x v="1"/>
    <x v="3"/>
    <x v="0"/>
    <x v="1"/>
    <x v="37"/>
    <x v="39"/>
    <x v="4"/>
    <x v="0"/>
  </r>
  <r>
    <x v="51"/>
    <x v="69"/>
    <x v="16"/>
    <x v="4"/>
    <x v="68"/>
    <x v="0"/>
    <x v="1"/>
    <x v="3"/>
    <x v="0"/>
    <x v="1"/>
    <x v="51"/>
    <x v="21"/>
    <x v="5"/>
    <x v="0"/>
  </r>
  <r>
    <x v="52"/>
    <x v="70"/>
    <x v="18"/>
    <x v="4"/>
    <x v="69"/>
    <x v="0"/>
    <x v="1"/>
    <x v="3"/>
    <x v="0"/>
    <x v="1"/>
    <x v="52"/>
    <x v="23"/>
    <x v="5"/>
    <x v="0"/>
  </r>
  <r>
    <x v="53"/>
    <x v="71"/>
    <x v="3"/>
    <x v="4"/>
    <x v="70"/>
    <x v="0"/>
    <x v="1"/>
    <x v="3"/>
    <x v="0"/>
    <x v="1"/>
    <x v="53"/>
    <x v="26"/>
    <x v="5"/>
    <x v="0"/>
  </r>
  <r>
    <x v="54"/>
    <x v="72"/>
    <x v="25"/>
    <x v="4"/>
    <x v="71"/>
    <x v="0"/>
    <x v="1"/>
    <x v="0"/>
    <x v="1"/>
    <x v="1"/>
    <x v="54"/>
    <x v="44"/>
    <x v="7"/>
    <x v="1"/>
  </r>
  <r>
    <x v="55"/>
    <x v="73"/>
    <x v="4"/>
    <x v="4"/>
    <x v="72"/>
    <x v="0"/>
    <x v="1"/>
    <x v="0"/>
    <x v="1"/>
    <x v="1"/>
    <x v="55"/>
    <x v="4"/>
    <x v="0"/>
    <x v="1"/>
  </r>
  <r>
    <x v="0"/>
    <x v="74"/>
    <x v="14"/>
    <x v="4"/>
    <x v="73"/>
    <x v="3"/>
    <x v="1"/>
    <x v="1"/>
    <x v="1"/>
    <x v="0"/>
    <x v="0"/>
    <x v="41"/>
    <x v="1"/>
    <x v="1"/>
  </r>
  <r>
    <x v="43"/>
    <x v="75"/>
    <x v="26"/>
    <x v="4"/>
    <x v="74"/>
    <x v="0"/>
    <x v="1"/>
    <x v="1"/>
    <x v="1"/>
    <x v="1"/>
    <x v="43"/>
    <x v="36"/>
    <x v="9"/>
    <x v="1"/>
  </r>
  <r>
    <x v="56"/>
    <x v="76"/>
    <x v="0"/>
    <x v="4"/>
    <x v="75"/>
    <x v="0"/>
    <x v="1"/>
    <x v="2"/>
    <x v="1"/>
    <x v="1"/>
    <x v="56"/>
    <x v="32"/>
    <x v="2"/>
    <x v="1"/>
  </r>
  <r>
    <x v="57"/>
    <x v="77"/>
    <x v="32"/>
    <x v="4"/>
    <x v="76"/>
    <x v="0"/>
    <x v="1"/>
    <x v="2"/>
    <x v="1"/>
    <x v="0"/>
    <x v="57"/>
    <x v="53"/>
    <x v="3"/>
    <x v="1"/>
  </r>
  <r>
    <x v="58"/>
    <x v="78"/>
    <x v="16"/>
    <x v="4"/>
    <x v="77"/>
    <x v="0"/>
    <x v="1"/>
    <x v="2"/>
    <x v="1"/>
    <x v="1"/>
    <x v="58"/>
    <x v="21"/>
    <x v="10"/>
    <x v="1"/>
  </r>
  <r>
    <x v="29"/>
    <x v="79"/>
    <x v="8"/>
    <x v="4"/>
    <x v="78"/>
    <x v="0"/>
    <x v="1"/>
    <x v="3"/>
    <x v="1"/>
    <x v="0"/>
    <x v="29"/>
    <x v="38"/>
    <x v="4"/>
    <x v="1"/>
  </r>
  <r>
    <x v="59"/>
    <x v="80"/>
    <x v="29"/>
    <x v="4"/>
    <x v="79"/>
    <x v="0"/>
    <x v="1"/>
    <x v="3"/>
    <x v="1"/>
    <x v="1"/>
    <x v="59"/>
    <x v="48"/>
    <x v="5"/>
    <x v="1"/>
  </r>
  <r>
    <x v="17"/>
    <x v="81"/>
    <x v="20"/>
    <x v="19"/>
    <x v="80"/>
    <x v="0"/>
    <x v="1"/>
    <x v="3"/>
    <x v="1"/>
    <x v="1"/>
    <x v="17"/>
    <x v="54"/>
    <x v="5"/>
    <x v="1"/>
  </r>
  <r>
    <x v="27"/>
    <x v="82"/>
    <x v="32"/>
    <x v="20"/>
    <x v="81"/>
    <x v="0"/>
    <x v="1"/>
    <x v="3"/>
    <x v="1"/>
    <x v="0"/>
    <x v="27"/>
    <x v="55"/>
    <x v="5"/>
    <x v="1"/>
  </r>
  <r>
    <x v="23"/>
    <x v="83"/>
    <x v="18"/>
    <x v="21"/>
    <x v="82"/>
    <x v="0"/>
    <x v="1"/>
    <x v="3"/>
    <x v="1"/>
    <x v="0"/>
    <x v="23"/>
    <x v="56"/>
    <x v="6"/>
    <x v="1"/>
  </r>
  <r>
    <x v="1"/>
    <x v="84"/>
    <x v="7"/>
    <x v="22"/>
    <x v="83"/>
    <x v="0"/>
    <x v="1"/>
    <x v="3"/>
    <x v="1"/>
    <x v="0"/>
    <x v="1"/>
    <x v="57"/>
    <x v="6"/>
    <x v="1"/>
  </r>
  <r>
    <x v="60"/>
    <x v="85"/>
    <x v="25"/>
    <x v="4"/>
    <x v="84"/>
    <x v="0"/>
    <x v="1"/>
    <x v="0"/>
    <x v="2"/>
    <x v="1"/>
    <x v="60"/>
    <x v="44"/>
    <x v="7"/>
    <x v="2"/>
  </r>
  <r>
    <x v="4"/>
    <x v="86"/>
    <x v="1"/>
    <x v="4"/>
    <x v="85"/>
    <x v="0"/>
    <x v="1"/>
    <x v="0"/>
    <x v="2"/>
    <x v="1"/>
    <x v="4"/>
    <x v="13"/>
    <x v="0"/>
    <x v="2"/>
  </r>
  <r>
    <x v="2"/>
    <x v="87"/>
    <x v="22"/>
    <x v="4"/>
    <x v="86"/>
    <x v="0"/>
    <x v="1"/>
    <x v="0"/>
    <x v="2"/>
    <x v="1"/>
    <x v="2"/>
    <x v="30"/>
    <x v="11"/>
    <x v="2"/>
  </r>
  <r>
    <x v="61"/>
    <x v="88"/>
    <x v="33"/>
    <x v="4"/>
    <x v="87"/>
    <x v="0"/>
    <x v="1"/>
    <x v="1"/>
    <x v="2"/>
    <x v="2"/>
    <x v="61"/>
    <x v="58"/>
    <x v="8"/>
    <x v="2"/>
  </r>
  <r>
    <x v="58"/>
    <x v="89"/>
    <x v="34"/>
    <x v="4"/>
    <x v="88"/>
    <x v="4"/>
    <x v="1"/>
    <x v="1"/>
    <x v="2"/>
    <x v="0"/>
    <x v="58"/>
    <x v="59"/>
    <x v="1"/>
    <x v="2"/>
  </r>
  <r>
    <x v="17"/>
    <x v="26"/>
    <x v="13"/>
    <x v="4"/>
    <x v="26"/>
    <x v="0"/>
    <x v="1"/>
    <x v="0"/>
    <x v="0"/>
    <x v="1"/>
    <x v="17"/>
    <x v="17"/>
    <x v="7"/>
    <x v="0"/>
  </r>
  <r>
    <x v="62"/>
    <x v="90"/>
    <x v="28"/>
    <x v="4"/>
    <x v="89"/>
    <x v="0"/>
    <x v="1"/>
    <x v="1"/>
    <x v="0"/>
    <x v="1"/>
    <x v="62"/>
    <x v="47"/>
    <x v="8"/>
    <x v="0"/>
  </r>
  <r>
    <x v="25"/>
    <x v="28"/>
    <x v="8"/>
    <x v="4"/>
    <x v="28"/>
    <x v="0"/>
    <x v="1"/>
    <x v="1"/>
    <x v="0"/>
    <x v="1"/>
    <x v="25"/>
    <x v="38"/>
    <x v="1"/>
    <x v="0"/>
  </r>
  <r>
    <x v="5"/>
    <x v="29"/>
    <x v="18"/>
    <x v="4"/>
    <x v="29"/>
    <x v="0"/>
    <x v="1"/>
    <x v="2"/>
    <x v="0"/>
    <x v="1"/>
    <x v="5"/>
    <x v="23"/>
    <x v="2"/>
    <x v="0"/>
  </r>
  <r>
    <x v="26"/>
    <x v="30"/>
    <x v="14"/>
    <x v="4"/>
    <x v="30"/>
    <x v="0"/>
    <x v="1"/>
    <x v="2"/>
    <x v="0"/>
    <x v="1"/>
    <x v="26"/>
    <x v="41"/>
    <x v="10"/>
    <x v="0"/>
  </r>
  <r>
    <x v="63"/>
    <x v="91"/>
    <x v="15"/>
    <x v="4"/>
    <x v="90"/>
    <x v="5"/>
    <x v="1"/>
    <x v="3"/>
    <x v="0"/>
    <x v="1"/>
    <x v="63"/>
    <x v="27"/>
    <x v="4"/>
    <x v="0"/>
  </r>
  <r>
    <x v="49"/>
    <x v="92"/>
    <x v="29"/>
    <x v="4"/>
    <x v="32"/>
    <x v="0"/>
    <x v="1"/>
    <x v="3"/>
    <x v="0"/>
    <x v="1"/>
    <x v="49"/>
    <x v="48"/>
    <x v="5"/>
    <x v="0"/>
  </r>
  <r>
    <x v="29"/>
    <x v="33"/>
    <x v="11"/>
    <x v="4"/>
    <x v="33"/>
    <x v="0"/>
    <x v="1"/>
    <x v="3"/>
    <x v="0"/>
    <x v="1"/>
    <x v="29"/>
    <x v="12"/>
    <x v="5"/>
    <x v="0"/>
  </r>
  <r>
    <x v="30"/>
    <x v="34"/>
    <x v="18"/>
    <x v="4"/>
    <x v="34"/>
    <x v="0"/>
    <x v="1"/>
    <x v="3"/>
    <x v="0"/>
    <x v="1"/>
    <x v="30"/>
    <x v="23"/>
    <x v="5"/>
    <x v="0"/>
  </r>
  <r>
    <x v="64"/>
    <x v="93"/>
    <x v="28"/>
    <x v="4"/>
    <x v="91"/>
    <x v="0"/>
    <x v="1"/>
    <x v="3"/>
    <x v="0"/>
    <x v="1"/>
    <x v="64"/>
    <x v="47"/>
    <x v="6"/>
    <x v="0"/>
  </r>
  <r>
    <x v="65"/>
    <x v="94"/>
    <x v="7"/>
    <x v="4"/>
    <x v="92"/>
    <x v="0"/>
    <x v="1"/>
    <x v="0"/>
    <x v="1"/>
    <x v="2"/>
    <x v="65"/>
    <x v="7"/>
    <x v="0"/>
    <x v="1"/>
  </r>
  <r>
    <x v="39"/>
    <x v="95"/>
    <x v="24"/>
    <x v="4"/>
    <x v="93"/>
    <x v="0"/>
    <x v="1"/>
    <x v="0"/>
    <x v="1"/>
    <x v="1"/>
    <x v="39"/>
    <x v="33"/>
    <x v="11"/>
    <x v="1"/>
  </r>
  <r>
    <x v="34"/>
    <x v="38"/>
    <x v="11"/>
    <x v="4"/>
    <x v="38"/>
    <x v="0"/>
    <x v="1"/>
    <x v="1"/>
    <x v="1"/>
    <x v="1"/>
    <x v="34"/>
    <x v="12"/>
    <x v="1"/>
    <x v="1"/>
  </r>
  <r>
    <x v="65"/>
    <x v="96"/>
    <x v="18"/>
    <x v="4"/>
    <x v="39"/>
    <x v="0"/>
    <x v="1"/>
    <x v="1"/>
    <x v="1"/>
    <x v="1"/>
    <x v="65"/>
    <x v="23"/>
    <x v="9"/>
    <x v="1"/>
  </r>
  <r>
    <x v="20"/>
    <x v="40"/>
    <x v="22"/>
    <x v="4"/>
    <x v="40"/>
    <x v="0"/>
    <x v="1"/>
    <x v="2"/>
    <x v="1"/>
    <x v="1"/>
    <x v="20"/>
    <x v="30"/>
    <x v="2"/>
    <x v="1"/>
  </r>
  <r>
    <x v="18"/>
    <x v="97"/>
    <x v="27"/>
    <x v="4"/>
    <x v="94"/>
    <x v="0"/>
    <x v="1"/>
    <x v="2"/>
    <x v="1"/>
    <x v="2"/>
    <x v="18"/>
    <x v="39"/>
    <x v="3"/>
    <x v="1"/>
  </r>
  <r>
    <x v="37"/>
    <x v="42"/>
    <x v="0"/>
    <x v="4"/>
    <x v="42"/>
    <x v="0"/>
    <x v="1"/>
    <x v="2"/>
    <x v="1"/>
    <x v="1"/>
    <x v="37"/>
    <x v="32"/>
    <x v="10"/>
    <x v="1"/>
  </r>
  <r>
    <x v="15"/>
    <x v="98"/>
    <x v="19"/>
    <x v="4"/>
    <x v="95"/>
    <x v="0"/>
    <x v="1"/>
    <x v="3"/>
    <x v="1"/>
    <x v="1"/>
    <x v="15"/>
    <x v="25"/>
    <x v="4"/>
    <x v="1"/>
  </r>
  <r>
    <x v="31"/>
    <x v="99"/>
    <x v="23"/>
    <x v="4"/>
    <x v="96"/>
    <x v="0"/>
    <x v="1"/>
    <x v="3"/>
    <x v="1"/>
    <x v="1"/>
    <x v="31"/>
    <x v="31"/>
    <x v="4"/>
    <x v="1"/>
  </r>
  <r>
    <x v="40"/>
    <x v="45"/>
    <x v="12"/>
    <x v="23"/>
    <x v="45"/>
    <x v="0"/>
    <x v="1"/>
    <x v="3"/>
    <x v="1"/>
    <x v="0"/>
    <x v="40"/>
    <x v="60"/>
    <x v="5"/>
    <x v="1"/>
  </r>
  <r>
    <x v="24"/>
    <x v="100"/>
    <x v="18"/>
    <x v="4"/>
    <x v="97"/>
    <x v="4"/>
    <x v="1"/>
    <x v="3"/>
    <x v="1"/>
    <x v="1"/>
    <x v="24"/>
    <x v="23"/>
    <x v="5"/>
    <x v="1"/>
  </r>
  <r>
    <x v="10"/>
    <x v="47"/>
    <x v="26"/>
    <x v="4"/>
    <x v="47"/>
    <x v="0"/>
    <x v="1"/>
    <x v="3"/>
    <x v="1"/>
    <x v="1"/>
    <x v="10"/>
    <x v="36"/>
    <x v="5"/>
    <x v="1"/>
  </r>
  <r>
    <x v="39"/>
    <x v="48"/>
    <x v="30"/>
    <x v="4"/>
    <x v="48"/>
    <x v="0"/>
    <x v="1"/>
    <x v="3"/>
    <x v="1"/>
    <x v="1"/>
    <x v="39"/>
    <x v="49"/>
    <x v="6"/>
    <x v="1"/>
  </r>
  <r>
    <x v="42"/>
    <x v="101"/>
    <x v="21"/>
    <x v="24"/>
    <x v="49"/>
    <x v="0"/>
    <x v="1"/>
    <x v="0"/>
    <x v="2"/>
    <x v="0"/>
    <x v="42"/>
    <x v="61"/>
    <x v="7"/>
    <x v="2"/>
  </r>
  <r>
    <x v="4"/>
    <x v="50"/>
    <x v="9"/>
    <x v="4"/>
    <x v="50"/>
    <x v="0"/>
    <x v="1"/>
    <x v="0"/>
    <x v="2"/>
    <x v="1"/>
    <x v="4"/>
    <x v="10"/>
    <x v="0"/>
    <x v="2"/>
  </r>
  <r>
    <x v="42"/>
    <x v="51"/>
    <x v="9"/>
    <x v="25"/>
    <x v="51"/>
    <x v="0"/>
    <x v="1"/>
    <x v="0"/>
    <x v="2"/>
    <x v="0"/>
    <x v="42"/>
    <x v="62"/>
    <x v="11"/>
    <x v="2"/>
  </r>
  <r>
    <x v="43"/>
    <x v="52"/>
    <x v="26"/>
    <x v="4"/>
    <x v="52"/>
    <x v="0"/>
    <x v="1"/>
    <x v="1"/>
    <x v="2"/>
    <x v="1"/>
    <x v="43"/>
    <x v="36"/>
    <x v="1"/>
    <x v="2"/>
  </r>
  <r>
    <x v="14"/>
    <x v="102"/>
    <x v="19"/>
    <x v="4"/>
    <x v="53"/>
    <x v="2"/>
    <x v="1"/>
    <x v="1"/>
    <x v="2"/>
    <x v="1"/>
    <x v="14"/>
    <x v="25"/>
    <x v="1"/>
    <x v="2"/>
  </r>
  <r>
    <x v="66"/>
    <x v="103"/>
    <x v="29"/>
    <x v="4"/>
    <x v="98"/>
    <x v="0"/>
    <x v="1"/>
    <x v="0"/>
    <x v="0"/>
    <x v="1"/>
    <x v="66"/>
    <x v="48"/>
    <x v="11"/>
    <x v="0"/>
  </r>
  <r>
    <x v="67"/>
    <x v="104"/>
    <x v="13"/>
    <x v="4"/>
    <x v="99"/>
    <x v="0"/>
    <x v="1"/>
    <x v="1"/>
    <x v="0"/>
    <x v="2"/>
    <x v="67"/>
    <x v="17"/>
    <x v="1"/>
    <x v="0"/>
  </r>
  <r>
    <x v="39"/>
    <x v="105"/>
    <x v="13"/>
    <x v="4"/>
    <x v="100"/>
    <x v="0"/>
    <x v="1"/>
    <x v="2"/>
    <x v="0"/>
    <x v="2"/>
    <x v="39"/>
    <x v="17"/>
    <x v="2"/>
    <x v="0"/>
  </r>
  <r>
    <x v="41"/>
    <x v="106"/>
    <x v="7"/>
    <x v="4"/>
    <x v="101"/>
    <x v="0"/>
    <x v="1"/>
    <x v="2"/>
    <x v="0"/>
    <x v="2"/>
    <x v="41"/>
    <x v="7"/>
    <x v="10"/>
    <x v="0"/>
  </r>
  <r>
    <x v="4"/>
    <x v="4"/>
    <x v="2"/>
    <x v="4"/>
    <x v="4"/>
    <x v="0"/>
    <x v="1"/>
    <x v="3"/>
    <x v="0"/>
    <x v="2"/>
    <x v="4"/>
    <x v="9"/>
    <x v="4"/>
    <x v="0"/>
  </r>
  <r>
    <x v="42"/>
    <x v="107"/>
    <x v="0"/>
    <x v="4"/>
    <x v="102"/>
    <x v="0"/>
    <x v="1"/>
    <x v="3"/>
    <x v="0"/>
    <x v="1"/>
    <x v="42"/>
    <x v="32"/>
    <x v="5"/>
    <x v="0"/>
  </r>
  <r>
    <x v="7"/>
    <x v="108"/>
    <x v="26"/>
    <x v="4"/>
    <x v="103"/>
    <x v="0"/>
    <x v="1"/>
    <x v="3"/>
    <x v="0"/>
    <x v="1"/>
    <x v="7"/>
    <x v="36"/>
    <x v="5"/>
    <x v="0"/>
  </r>
  <r>
    <x v="68"/>
    <x v="109"/>
    <x v="15"/>
    <x v="4"/>
    <x v="104"/>
    <x v="0"/>
    <x v="1"/>
    <x v="3"/>
    <x v="0"/>
    <x v="1"/>
    <x v="68"/>
    <x v="27"/>
    <x v="5"/>
    <x v="0"/>
  </r>
  <r>
    <x v="23"/>
    <x v="110"/>
    <x v="14"/>
    <x v="4"/>
    <x v="105"/>
    <x v="0"/>
    <x v="1"/>
    <x v="3"/>
    <x v="0"/>
    <x v="1"/>
    <x v="23"/>
    <x v="41"/>
    <x v="6"/>
    <x v="0"/>
  </r>
  <r>
    <x v="9"/>
    <x v="9"/>
    <x v="2"/>
    <x v="4"/>
    <x v="9"/>
    <x v="0"/>
    <x v="1"/>
    <x v="0"/>
    <x v="1"/>
    <x v="2"/>
    <x v="9"/>
    <x v="9"/>
    <x v="7"/>
    <x v="1"/>
  </r>
  <r>
    <x v="69"/>
    <x v="111"/>
    <x v="26"/>
    <x v="4"/>
    <x v="106"/>
    <x v="0"/>
    <x v="1"/>
    <x v="0"/>
    <x v="1"/>
    <x v="1"/>
    <x v="69"/>
    <x v="36"/>
    <x v="0"/>
    <x v="1"/>
  </r>
  <r>
    <x v="48"/>
    <x v="112"/>
    <x v="11"/>
    <x v="4"/>
    <x v="107"/>
    <x v="0"/>
    <x v="1"/>
    <x v="1"/>
    <x v="1"/>
    <x v="1"/>
    <x v="48"/>
    <x v="12"/>
    <x v="8"/>
    <x v="1"/>
  </r>
  <r>
    <x v="22"/>
    <x v="113"/>
    <x v="16"/>
    <x v="4"/>
    <x v="108"/>
    <x v="3"/>
    <x v="1"/>
    <x v="1"/>
    <x v="1"/>
    <x v="1"/>
    <x v="22"/>
    <x v="21"/>
    <x v="9"/>
    <x v="1"/>
  </r>
  <r>
    <x v="70"/>
    <x v="114"/>
    <x v="27"/>
    <x v="4"/>
    <x v="109"/>
    <x v="0"/>
    <x v="1"/>
    <x v="2"/>
    <x v="1"/>
    <x v="2"/>
    <x v="70"/>
    <x v="39"/>
    <x v="2"/>
    <x v="1"/>
  </r>
  <r>
    <x v="71"/>
    <x v="115"/>
    <x v="24"/>
    <x v="4"/>
    <x v="110"/>
    <x v="0"/>
    <x v="1"/>
    <x v="2"/>
    <x v="1"/>
    <x v="2"/>
    <x v="71"/>
    <x v="33"/>
    <x v="3"/>
    <x v="1"/>
  </r>
  <r>
    <x v="69"/>
    <x v="116"/>
    <x v="15"/>
    <x v="4"/>
    <x v="111"/>
    <x v="0"/>
    <x v="1"/>
    <x v="2"/>
    <x v="1"/>
    <x v="1"/>
    <x v="69"/>
    <x v="27"/>
    <x v="3"/>
    <x v="1"/>
  </r>
  <r>
    <x v="72"/>
    <x v="117"/>
    <x v="29"/>
    <x v="4"/>
    <x v="112"/>
    <x v="0"/>
    <x v="1"/>
    <x v="3"/>
    <x v="0"/>
    <x v="1"/>
    <x v="72"/>
    <x v="48"/>
    <x v="4"/>
    <x v="0"/>
  </r>
  <r>
    <x v="68"/>
    <x v="118"/>
    <x v="29"/>
    <x v="4"/>
    <x v="113"/>
    <x v="0"/>
    <x v="1"/>
    <x v="3"/>
    <x v="1"/>
    <x v="1"/>
    <x v="68"/>
    <x v="48"/>
    <x v="4"/>
    <x v="1"/>
  </r>
  <r>
    <x v="24"/>
    <x v="119"/>
    <x v="28"/>
    <x v="4"/>
    <x v="114"/>
    <x v="0"/>
    <x v="1"/>
    <x v="3"/>
    <x v="1"/>
    <x v="1"/>
    <x v="24"/>
    <x v="47"/>
    <x v="5"/>
    <x v="1"/>
  </r>
  <r>
    <x v="0"/>
    <x v="19"/>
    <x v="2"/>
    <x v="26"/>
    <x v="19"/>
    <x v="0"/>
    <x v="1"/>
    <x v="3"/>
    <x v="1"/>
    <x v="0"/>
    <x v="0"/>
    <x v="63"/>
    <x v="5"/>
    <x v="1"/>
  </r>
  <r>
    <x v="19"/>
    <x v="20"/>
    <x v="3"/>
    <x v="27"/>
    <x v="20"/>
    <x v="0"/>
    <x v="1"/>
    <x v="3"/>
    <x v="1"/>
    <x v="1"/>
    <x v="19"/>
    <x v="64"/>
    <x v="5"/>
    <x v="1"/>
  </r>
  <r>
    <x v="73"/>
    <x v="120"/>
    <x v="29"/>
    <x v="28"/>
    <x v="115"/>
    <x v="0"/>
    <x v="1"/>
    <x v="0"/>
    <x v="2"/>
    <x v="0"/>
    <x v="73"/>
    <x v="65"/>
    <x v="7"/>
    <x v="2"/>
  </r>
  <r>
    <x v="14"/>
    <x v="22"/>
    <x v="3"/>
    <x v="29"/>
    <x v="22"/>
    <x v="0"/>
    <x v="1"/>
    <x v="0"/>
    <x v="2"/>
    <x v="1"/>
    <x v="14"/>
    <x v="66"/>
    <x v="0"/>
    <x v="2"/>
  </r>
  <r>
    <x v="37"/>
    <x v="121"/>
    <x v="18"/>
    <x v="30"/>
    <x v="23"/>
    <x v="0"/>
    <x v="1"/>
    <x v="0"/>
    <x v="2"/>
    <x v="0"/>
    <x v="37"/>
    <x v="67"/>
    <x v="11"/>
    <x v="2"/>
  </r>
  <r>
    <x v="19"/>
    <x v="122"/>
    <x v="35"/>
    <x v="4"/>
    <x v="116"/>
    <x v="0"/>
    <x v="1"/>
    <x v="1"/>
    <x v="2"/>
    <x v="0"/>
    <x v="19"/>
    <x v="68"/>
    <x v="1"/>
    <x v="2"/>
  </r>
  <r>
    <x v="48"/>
    <x v="63"/>
    <x v="2"/>
    <x v="4"/>
    <x v="62"/>
    <x v="0"/>
    <x v="1"/>
    <x v="0"/>
    <x v="0"/>
    <x v="2"/>
    <x v="48"/>
    <x v="9"/>
    <x v="0"/>
    <x v="0"/>
  </r>
  <r>
    <x v="26"/>
    <x v="123"/>
    <x v="29"/>
    <x v="4"/>
    <x v="117"/>
    <x v="0"/>
    <x v="1"/>
    <x v="1"/>
    <x v="0"/>
    <x v="1"/>
    <x v="26"/>
    <x v="48"/>
    <x v="8"/>
    <x v="0"/>
  </r>
  <r>
    <x v="74"/>
    <x v="124"/>
    <x v="12"/>
    <x v="4"/>
    <x v="118"/>
    <x v="0"/>
    <x v="1"/>
    <x v="1"/>
    <x v="0"/>
    <x v="2"/>
    <x v="74"/>
    <x v="46"/>
    <x v="9"/>
    <x v="0"/>
  </r>
  <r>
    <x v="39"/>
    <x v="125"/>
    <x v="29"/>
    <x v="4"/>
    <x v="119"/>
    <x v="0"/>
    <x v="1"/>
    <x v="2"/>
    <x v="0"/>
    <x v="2"/>
    <x v="39"/>
    <x v="48"/>
    <x v="3"/>
    <x v="0"/>
  </r>
  <r>
    <x v="23"/>
    <x v="126"/>
    <x v="14"/>
    <x v="4"/>
    <x v="120"/>
    <x v="0"/>
    <x v="1"/>
    <x v="2"/>
    <x v="0"/>
    <x v="1"/>
    <x v="23"/>
    <x v="41"/>
    <x v="10"/>
    <x v="0"/>
  </r>
  <r>
    <x v="26"/>
    <x v="127"/>
    <x v="27"/>
    <x v="4"/>
    <x v="121"/>
    <x v="0"/>
    <x v="1"/>
    <x v="3"/>
    <x v="0"/>
    <x v="2"/>
    <x v="26"/>
    <x v="39"/>
    <x v="4"/>
    <x v="0"/>
  </r>
  <r>
    <x v="70"/>
    <x v="128"/>
    <x v="29"/>
    <x v="4"/>
    <x v="32"/>
    <x v="0"/>
    <x v="1"/>
    <x v="3"/>
    <x v="0"/>
    <x v="2"/>
    <x v="70"/>
    <x v="48"/>
    <x v="5"/>
    <x v="0"/>
  </r>
  <r>
    <x v="50"/>
    <x v="129"/>
    <x v="15"/>
    <x v="4"/>
    <x v="69"/>
    <x v="0"/>
    <x v="1"/>
    <x v="3"/>
    <x v="0"/>
    <x v="1"/>
    <x v="50"/>
    <x v="27"/>
    <x v="5"/>
    <x v="0"/>
  </r>
  <r>
    <x v="34"/>
    <x v="130"/>
    <x v="20"/>
    <x v="4"/>
    <x v="70"/>
    <x v="0"/>
    <x v="1"/>
    <x v="3"/>
    <x v="0"/>
    <x v="2"/>
    <x v="34"/>
    <x v="28"/>
    <x v="5"/>
    <x v="0"/>
  </r>
  <r>
    <x v="30"/>
    <x v="131"/>
    <x v="12"/>
    <x v="4"/>
    <x v="122"/>
    <x v="0"/>
    <x v="1"/>
    <x v="0"/>
    <x v="1"/>
    <x v="2"/>
    <x v="30"/>
    <x v="46"/>
    <x v="7"/>
    <x v="1"/>
  </r>
  <r>
    <x v="75"/>
    <x v="132"/>
    <x v="22"/>
    <x v="4"/>
    <x v="123"/>
    <x v="0"/>
    <x v="1"/>
    <x v="0"/>
    <x v="1"/>
    <x v="2"/>
    <x v="75"/>
    <x v="30"/>
    <x v="0"/>
    <x v="1"/>
  </r>
  <r>
    <x v="76"/>
    <x v="133"/>
    <x v="13"/>
    <x v="4"/>
    <x v="124"/>
    <x v="0"/>
    <x v="1"/>
    <x v="0"/>
    <x v="1"/>
    <x v="2"/>
    <x v="76"/>
    <x v="17"/>
    <x v="11"/>
    <x v="1"/>
  </r>
  <r>
    <x v="73"/>
    <x v="134"/>
    <x v="27"/>
    <x v="4"/>
    <x v="125"/>
    <x v="0"/>
    <x v="1"/>
    <x v="1"/>
    <x v="1"/>
    <x v="2"/>
    <x v="73"/>
    <x v="39"/>
    <x v="1"/>
    <x v="1"/>
  </r>
  <r>
    <x v="18"/>
    <x v="135"/>
    <x v="21"/>
    <x v="4"/>
    <x v="126"/>
    <x v="0"/>
    <x v="1"/>
    <x v="2"/>
    <x v="1"/>
    <x v="1"/>
    <x v="18"/>
    <x v="29"/>
    <x v="2"/>
    <x v="1"/>
  </r>
  <r>
    <x v="39"/>
    <x v="136"/>
    <x v="2"/>
    <x v="4"/>
    <x v="76"/>
    <x v="0"/>
    <x v="1"/>
    <x v="2"/>
    <x v="1"/>
    <x v="2"/>
    <x v="39"/>
    <x v="9"/>
    <x v="3"/>
    <x v="1"/>
  </r>
  <r>
    <x v="36"/>
    <x v="137"/>
    <x v="12"/>
    <x v="4"/>
    <x v="127"/>
    <x v="0"/>
    <x v="1"/>
    <x v="2"/>
    <x v="1"/>
    <x v="2"/>
    <x v="36"/>
    <x v="46"/>
    <x v="10"/>
    <x v="1"/>
  </r>
  <r>
    <x v="77"/>
    <x v="138"/>
    <x v="28"/>
    <x v="4"/>
    <x v="78"/>
    <x v="0"/>
    <x v="1"/>
    <x v="3"/>
    <x v="1"/>
    <x v="1"/>
    <x v="77"/>
    <x v="47"/>
    <x v="4"/>
    <x v="1"/>
  </r>
  <r>
    <x v="78"/>
    <x v="139"/>
    <x v="19"/>
    <x v="4"/>
    <x v="96"/>
    <x v="0"/>
    <x v="1"/>
    <x v="3"/>
    <x v="1"/>
    <x v="2"/>
    <x v="78"/>
    <x v="25"/>
    <x v="4"/>
    <x v="1"/>
  </r>
  <r>
    <x v="17"/>
    <x v="81"/>
    <x v="13"/>
    <x v="31"/>
    <x v="80"/>
    <x v="0"/>
    <x v="1"/>
    <x v="3"/>
    <x v="1"/>
    <x v="0"/>
    <x v="17"/>
    <x v="69"/>
    <x v="5"/>
    <x v="1"/>
  </r>
  <r>
    <x v="62"/>
    <x v="140"/>
    <x v="29"/>
    <x v="32"/>
    <x v="128"/>
    <x v="0"/>
    <x v="1"/>
    <x v="3"/>
    <x v="1"/>
    <x v="0"/>
    <x v="62"/>
    <x v="70"/>
    <x v="5"/>
    <x v="1"/>
  </r>
  <r>
    <x v="25"/>
    <x v="141"/>
    <x v="7"/>
    <x v="33"/>
    <x v="79"/>
    <x v="0"/>
    <x v="1"/>
    <x v="3"/>
    <x v="1"/>
    <x v="0"/>
    <x v="25"/>
    <x v="71"/>
    <x v="5"/>
    <x v="1"/>
  </r>
  <r>
    <x v="1"/>
    <x v="84"/>
    <x v="13"/>
    <x v="4"/>
    <x v="83"/>
    <x v="0"/>
    <x v="1"/>
    <x v="3"/>
    <x v="1"/>
    <x v="1"/>
    <x v="1"/>
    <x v="17"/>
    <x v="6"/>
    <x v="1"/>
  </r>
  <r>
    <x v="39"/>
    <x v="142"/>
    <x v="22"/>
    <x v="4"/>
    <x v="129"/>
    <x v="0"/>
    <x v="1"/>
    <x v="0"/>
    <x v="2"/>
    <x v="1"/>
    <x v="39"/>
    <x v="30"/>
    <x v="7"/>
    <x v="2"/>
  </r>
  <r>
    <x v="39"/>
    <x v="143"/>
    <x v="1"/>
    <x v="4"/>
    <x v="50"/>
    <x v="0"/>
    <x v="1"/>
    <x v="0"/>
    <x v="2"/>
    <x v="1"/>
    <x v="39"/>
    <x v="13"/>
    <x v="0"/>
    <x v="2"/>
  </r>
  <r>
    <x v="2"/>
    <x v="87"/>
    <x v="29"/>
    <x v="34"/>
    <x v="86"/>
    <x v="0"/>
    <x v="1"/>
    <x v="0"/>
    <x v="2"/>
    <x v="0"/>
    <x v="2"/>
    <x v="72"/>
    <x v="11"/>
    <x v="2"/>
  </r>
  <r>
    <x v="13"/>
    <x v="144"/>
    <x v="5"/>
    <x v="4"/>
    <x v="130"/>
    <x v="0"/>
    <x v="1"/>
    <x v="1"/>
    <x v="2"/>
    <x v="2"/>
    <x v="13"/>
    <x v="15"/>
    <x v="1"/>
    <x v="2"/>
  </r>
  <r>
    <x v="17"/>
    <x v="26"/>
    <x v="26"/>
    <x v="4"/>
    <x v="26"/>
    <x v="0"/>
    <x v="2"/>
    <x v="0"/>
    <x v="0"/>
    <x v="1"/>
    <x v="17"/>
    <x v="36"/>
    <x v="7"/>
    <x v="0"/>
  </r>
  <r>
    <x v="39"/>
    <x v="145"/>
    <x v="15"/>
    <x v="4"/>
    <x v="131"/>
    <x v="0"/>
    <x v="2"/>
    <x v="0"/>
    <x v="0"/>
    <x v="1"/>
    <x v="39"/>
    <x v="27"/>
    <x v="11"/>
    <x v="0"/>
  </r>
  <r>
    <x v="25"/>
    <x v="28"/>
    <x v="15"/>
    <x v="4"/>
    <x v="28"/>
    <x v="0"/>
    <x v="2"/>
    <x v="1"/>
    <x v="0"/>
    <x v="0"/>
    <x v="25"/>
    <x v="27"/>
    <x v="1"/>
    <x v="0"/>
  </r>
  <r>
    <x v="5"/>
    <x v="29"/>
    <x v="19"/>
    <x v="4"/>
    <x v="29"/>
    <x v="0"/>
    <x v="2"/>
    <x v="2"/>
    <x v="0"/>
    <x v="1"/>
    <x v="5"/>
    <x v="25"/>
    <x v="2"/>
    <x v="0"/>
  </r>
  <r>
    <x v="26"/>
    <x v="30"/>
    <x v="0"/>
    <x v="4"/>
    <x v="30"/>
    <x v="0"/>
    <x v="2"/>
    <x v="2"/>
    <x v="0"/>
    <x v="1"/>
    <x v="26"/>
    <x v="32"/>
    <x v="10"/>
    <x v="0"/>
  </r>
  <r>
    <x v="63"/>
    <x v="91"/>
    <x v="4"/>
    <x v="4"/>
    <x v="90"/>
    <x v="5"/>
    <x v="2"/>
    <x v="3"/>
    <x v="0"/>
    <x v="1"/>
    <x v="63"/>
    <x v="4"/>
    <x v="4"/>
    <x v="0"/>
  </r>
  <r>
    <x v="28"/>
    <x v="32"/>
    <x v="30"/>
    <x v="4"/>
    <x v="32"/>
    <x v="0"/>
    <x v="2"/>
    <x v="3"/>
    <x v="0"/>
    <x v="1"/>
    <x v="28"/>
    <x v="49"/>
    <x v="5"/>
    <x v="0"/>
  </r>
  <r>
    <x v="29"/>
    <x v="33"/>
    <x v="2"/>
    <x v="4"/>
    <x v="33"/>
    <x v="0"/>
    <x v="2"/>
    <x v="3"/>
    <x v="0"/>
    <x v="1"/>
    <x v="29"/>
    <x v="9"/>
    <x v="5"/>
    <x v="0"/>
  </r>
  <r>
    <x v="30"/>
    <x v="34"/>
    <x v="19"/>
    <x v="4"/>
    <x v="34"/>
    <x v="0"/>
    <x v="2"/>
    <x v="3"/>
    <x v="0"/>
    <x v="1"/>
    <x v="30"/>
    <x v="25"/>
    <x v="5"/>
    <x v="0"/>
  </r>
  <r>
    <x v="31"/>
    <x v="35"/>
    <x v="11"/>
    <x v="4"/>
    <x v="35"/>
    <x v="0"/>
    <x v="2"/>
    <x v="3"/>
    <x v="0"/>
    <x v="1"/>
    <x v="31"/>
    <x v="12"/>
    <x v="6"/>
    <x v="0"/>
  </r>
  <r>
    <x v="38"/>
    <x v="146"/>
    <x v="30"/>
    <x v="4"/>
    <x v="132"/>
    <x v="0"/>
    <x v="2"/>
    <x v="0"/>
    <x v="1"/>
    <x v="1"/>
    <x v="38"/>
    <x v="49"/>
    <x v="0"/>
    <x v="1"/>
  </r>
  <r>
    <x v="39"/>
    <x v="95"/>
    <x v="32"/>
    <x v="4"/>
    <x v="93"/>
    <x v="0"/>
    <x v="2"/>
    <x v="0"/>
    <x v="1"/>
    <x v="1"/>
    <x v="39"/>
    <x v="53"/>
    <x v="11"/>
    <x v="1"/>
  </r>
  <r>
    <x v="34"/>
    <x v="38"/>
    <x v="19"/>
    <x v="4"/>
    <x v="38"/>
    <x v="0"/>
    <x v="2"/>
    <x v="1"/>
    <x v="1"/>
    <x v="1"/>
    <x v="34"/>
    <x v="25"/>
    <x v="1"/>
    <x v="1"/>
  </r>
  <r>
    <x v="35"/>
    <x v="39"/>
    <x v="2"/>
    <x v="4"/>
    <x v="39"/>
    <x v="0"/>
    <x v="2"/>
    <x v="1"/>
    <x v="1"/>
    <x v="1"/>
    <x v="35"/>
    <x v="9"/>
    <x v="9"/>
    <x v="1"/>
  </r>
  <r>
    <x v="20"/>
    <x v="40"/>
    <x v="11"/>
    <x v="4"/>
    <x v="40"/>
    <x v="0"/>
    <x v="2"/>
    <x v="2"/>
    <x v="1"/>
    <x v="1"/>
    <x v="20"/>
    <x v="12"/>
    <x v="2"/>
    <x v="1"/>
  </r>
  <r>
    <x v="18"/>
    <x v="97"/>
    <x v="32"/>
    <x v="4"/>
    <x v="94"/>
    <x v="0"/>
    <x v="2"/>
    <x v="2"/>
    <x v="1"/>
    <x v="0"/>
    <x v="18"/>
    <x v="53"/>
    <x v="3"/>
    <x v="1"/>
  </r>
  <r>
    <x v="37"/>
    <x v="42"/>
    <x v="2"/>
    <x v="4"/>
    <x v="42"/>
    <x v="0"/>
    <x v="2"/>
    <x v="2"/>
    <x v="1"/>
    <x v="1"/>
    <x v="37"/>
    <x v="9"/>
    <x v="10"/>
    <x v="1"/>
  </r>
  <r>
    <x v="38"/>
    <x v="43"/>
    <x v="25"/>
    <x v="4"/>
    <x v="43"/>
    <x v="0"/>
    <x v="2"/>
    <x v="3"/>
    <x v="1"/>
    <x v="1"/>
    <x v="38"/>
    <x v="44"/>
    <x v="4"/>
    <x v="1"/>
  </r>
  <r>
    <x v="31"/>
    <x v="99"/>
    <x v="15"/>
    <x v="4"/>
    <x v="96"/>
    <x v="0"/>
    <x v="2"/>
    <x v="3"/>
    <x v="1"/>
    <x v="0"/>
    <x v="31"/>
    <x v="27"/>
    <x v="4"/>
    <x v="1"/>
  </r>
  <r>
    <x v="40"/>
    <x v="45"/>
    <x v="26"/>
    <x v="4"/>
    <x v="45"/>
    <x v="0"/>
    <x v="2"/>
    <x v="3"/>
    <x v="1"/>
    <x v="1"/>
    <x v="40"/>
    <x v="36"/>
    <x v="5"/>
    <x v="1"/>
  </r>
  <r>
    <x v="8"/>
    <x v="46"/>
    <x v="29"/>
    <x v="35"/>
    <x v="46"/>
    <x v="0"/>
    <x v="2"/>
    <x v="3"/>
    <x v="1"/>
    <x v="1"/>
    <x v="8"/>
    <x v="73"/>
    <x v="5"/>
    <x v="1"/>
  </r>
  <r>
    <x v="10"/>
    <x v="47"/>
    <x v="6"/>
    <x v="4"/>
    <x v="47"/>
    <x v="0"/>
    <x v="2"/>
    <x v="3"/>
    <x v="1"/>
    <x v="1"/>
    <x v="10"/>
    <x v="24"/>
    <x v="5"/>
    <x v="1"/>
  </r>
  <r>
    <x v="39"/>
    <x v="48"/>
    <x v="4"/>
    <x v="4"/>
    <x v="48"/>
    <x v="0"/>
    <x v="2"/>
    <x v="3"/>
    <x v="1"/>
    <x v="1"/>
    <x v="39"/>
    <x v="4"/>
    <x v="6"/>
    <x v="1"/>
  </r>
  <r>
    <x v="42"/>
    <x v="101"/>
    <x v="4"/>
    <x v="4"/>
    <x v="49"/>
    <x v="0"/>
    <x v="2"/>
    <x v="0"/>
    <x v="2"/>
    <x v="2"/>
    <x v="42"/>
    <x v="4"/>
    <x v="7"/>
    <x v="2"/>
  </r>
  <r>
    <x v="4"/>
    <x v="50"/>
    <x v="14"/>
    <x v="4"/>
    <x v="50"/>
    <x v="0"/>
    <x v="2"/>
    <x v="0"/>
    <x v="2"/>
    <x v="0"/>
    <x v="4"/>
    <x v="41"/>
    <x v="0"/>
    <x v="2"/>
  </r>
  <r>
    <x v="42"/>
    <x v="51"/>
    <x v="25"/>
    <x v="36"/>
    <x v="51"/>
    <x v="0"/>
    <x v="2"/>
    <x v="0"/>
    <x v="2"/>
    <x v="0"/>
    <x v="42"/>
    <x v="74"/>
    <x v="11"/>
    <x v="2"/>
  </r>
  <r>
    <x v="43"/>
    <x v="52"/>
    <x v="23"/>
    <x v="4"/>
    <x v="52"/>
    <x v="0"/>
    <x v="2"/>
    <x v="1"/>
    <x v="2"/>
    <x v="1"/>
    <x v="43"/>
    <x v="31"/>
    <x v="1"/>
    <x v="2"/>
  </r>
  <r>
    <x v="23"/>
    <x v="53"/>
    <x v="4"/>
    <x v="4"/>
    <x v="53"/>
    <x v="2"/>
    <x v="2"/>
    <x v="1"/>
    <x v="2"/>
    <x v="2"/>
    <x v="23"/>
    <x v="4"/>
    <x v="1"/>
    <x v="2"/>
  </r>
  <r>
    <x v="0"/>
    <x v="0"/>
    <x v="15"/>
    <x v="4"/>
    <x v="0"/>
    <x v="0"/>
    <x v="0"/>
    <x v="0"/>
    <x v="0"/>
    <x v="1"/>
    <x v="0"/>
    <x v="27"/>
    <x v="0"/>
    <x v="0"/>
  </r>
  <r>
    <x v="1"/>
    <x v="1"/>
    <x v="24"/>
    <x v="4"/>
    <x v="1"/>
    <x v="0"/>
    <x v="0"/>
    <x v="1"/>
    <x v="0"/>
    <x v="2"/>
    <x v="1"/>
    <x v="33"/>
    <x v="1"/>
    <x v="0"/>
  </r>
  <r>
    <x v="2"/>
    <x v="2"/>
    <x v="14"/>
    <x v="4"/>
    <x v="2"/>
    <x v="0"/>
    <x v="0"/>
    <x v="2"/>
    <x v="0"/>
    <x v="0"/>
    <x v="2"/>
    <x v="41"/>
    <x v="2"/>
    <x v="0"/>
  </r>
  <r>
    <x v="3"/>
    <x v="3"/>
    <x v="4"/>
    <x v="4"/>
    <x v="3"/>
    <x v="0"/>
    <x v="0"/>
    <x v="2"/>
    <x v="0"/>
    <x v="2"/>
    <x v="3"/>
    <x v="4"/>
    <x v="3"/>
    <x v="0"/>
  </r>
  <r>
    <x v="4"/>
    <x v="4"/>
    <x v="19"/>
    <x v="4"/>
    <x v="4"/>
    <x v="0"/>
    <x v="0"/>
    <x v="3"/>
    <x v="0"/>
    <x v="1"/>
    <x v="4"/>
    <x v="25"/>
    <x v="4"/>
    <x v="0"/>
  </r>
  <r>
    <x v="42"/>
    <x v="107"/>
    <x v="21"/>
    <x v="4"/>
    <x v="102"/>
    <x v="0"/>
    <x v="0"/>
    <x v="3"/>
    <x v="0"/>
    <x v="1"/>
    <x v="42"/>
    <x v="29"/>
    <x v="5"/>
    <x v="0"/>
  </r>
  <r>
    <x v="6"/>
    <x v="6"/>
    <x v="23"/>
    <x v="4"/>
    <x v="6"/>
    <x v="0"/>
    <x v="0"/>
    <x v="3"/>
    <x v="0"/>
    <x v="1"/>
    <x v="6"/>
    <x v="31"/>
    <x v="5"/>
    <x v="0"/>
  </r>
  <r>
    <x v="3"/>
    <x v="147"/>
    <x v="11"/>
    <x v="4"/>
    <x v="7"/>
    <x v="0"/>
    <x v="0"/>
    <x v="3"/>
    <x v="0"/>
    <x v="1"/>
    <x v="3"/>
    <x v="12"/>
    <x v="5"/>
    <x v="0"/>
  </r>
  <r>
    <x v="8"/>
    <x v="8"/>
    <x v="32"/>
    <x v="4"/>
    <x v="8"/>
    <x v="0"/>
    <x v="0"/>
    <x v="3"/>
    <x v="0"/>
    <x v="1"/>
    <x v="8"/>
    <x v="53"/>
    <x v="6"/>
    <x v="0"/>
  </r>
  <r>
    <x v="9"/>
    <x v="9"/>
    <x v="5"/>
    <x v="4"/>
    <x v="9"/>
    <x v="0"/>
    <x v="0"/>
    <x v="0"/>
    <x v="1"/>
    <x v="1"/>
    <x v="9"/>
    <x v="15"/>
    <x v="7"/>
    <x v="1"/>
  </r>
  <r>
    <x v="6"/>
    <x v="148"/>
    <x v="30"/>
    <x v="4"/>
    <x v="133"/>
    <x v="0"/>
    <x v="0"/>
    <x v="0"/>
    <x v="1"/>
    <x v="1"/>
    <x v="6"/>
    <x v="49"/>
    <x v="0"/>
    <x v="1"/>
  </r>
  <r>
    <x v="11"/>
    <x v="11"/>
    <x v="22"/>
    <x v="4"/>
    <x v="11"/>
    <x v="0"/>
    <x v="0"/>
    <x v="1"/>
    <x v="1"/>
    <x v="1"/>
    <x v="11"/>
    <x v="30"/>
    <x v="8"/>
    <x v="1"/>
  </r>
  <r>
    <x v="12"/>
    <x v="12"/>
    <x v="12"/>
    <x v="4"/>
    <x v="12"/>
    <x v="0"/>
    <x v="0"/>
    <x v="1"/>
    <x v="1"/>
    <x v="2"/>
    <x v="12"/>
    <x v="46"/>
    <x v="1"/>
    <x v="1"/>
  </r>
  <r>
    <x v="13"/>
    <x v="13"/>
    <x v="7"/>
    <x v="4"/>
    <x v="13"/>
    <x v="0"/>
    <x v="0"/>
    <x v="1"/>
    <x v="1"/>
    <x v="1"/>
    <x v="13"/>
    <x v="7"/>
    <x v="9"/>
    <x v="1"/>
  </r>
  <r>
    <x v="71"/>
    <x v="115"/>
    <x v="30"/>
    <x v="4"/>
    <x v="110"/>
    <x v="0"/>
    <x v="0"/>
    <x v="2"/>
    <x v="1"/>
    <x v="1"/>
    <x v="71"/>
    <x v="49"/>
    <x v="3"/>
    <x v="1"/>
  </r>
  <r>
    <x v="15"/>
    <x v="15"/>
    <x v="4"/>
    <x v="4"/>
    <x v="15"/>
    <x v="0"/>
    <x v="0"/>
    <x v="2"/>
    <x v="1"/>
    <x v="1"/>
    <x v="15"/>
    <x v="4"/>
    <x v="3"/>
    <x v="1"/>
  </r>
  <r>
    <x v="16"/>
    <x v="16"/>
    <x v="16"/>
    <x v="4"/>
    <x v="16"/>
    <x v="0"/>
    <x v="0"/>
    <x v="2"/>
    <x v="1"/>
    <x v="1"/>
    <x v="16"/>
    <x v="21"/>
    <x v="10"/>
    <x v="1"/>
  </r>
  <r>
    <x v="17"/>
    <x v="17"/>
    <x v="18"/>
    <x v="4"/>
    <x v="17"/>
    <x v="0"/>
    <x v="0"/>
    <x v="3"/>
    <x v="1"/>
    <x v="1"/>
    <x v="17"/>
    <x v="23"/>
    <x v="4"/>
    <x v="1"/>
  </r>
  <r>
    <x v="79"/>
    <x v="149"/>
    <x v="0"/>
    <x v="4"/>
    <x v="114"/>
    <x v="0"/>
    <x v="0"/>
    <x v="3"/>
    <x v="1"/>
    <x v="1"/>
    <x v="79"/>
    <x v="32"/>
    <x v="5"/>
    <x v="1"/>
  </r>
  <r>
    <x v="0"/>
    <x v="19"/>
    <x v="16"/>
    <x v="4"/>
    <x v="19"/>
    <x v="0"/>
    <x v="0"/>
    <x v="3"/>
    <x v="1"/>
    <x v="1"/>
    <x v="0"/>
    <x v="21"/>
    <x v="5"/>
    <x v="1"/>
  </r>
  <r>
    <x v="19"/>
    <x v="20"/>
    <x v="36"/>
    <x v="4"/>
    <x v="20"/>
    <x v="0"/>
    <x v="0"/>
    <x v="3"/>
    <x v="1"/>
    <x v="2"/>
    <x v="19"/>
    <x v="75"/>
    <x v="5"/>
    <x v="1"/>
  </r>
  <r>
    <x v="14"/>
    <x v="22"/>
    <x v="4"/>
    <x v="37"/>
    <x v="22"/>
    <x v="0"/>
    <x v="0"/>
    <x v="0"/>
    <x v="2"/>
    <x v="1"/>
    <x v="14"/>
    <x v="76"/>
    <x v="0"/>
    <x v="2"/>
  </r>
  <r>
    <x v="21"/>
    <x v="23"/>
    <x v="27"/>
    <x v="4"/>
    <x v="23"/>
    <x v="0"/>
    <x v="0"/>
    <x v="0"/>
    <x v="2"/>
    <x v="1"/>
    <x v="21"/>
    <x v="39"/>
    <x v="11"/>
    <x v="2"/>
  </r>
  <r>
    <x v="23"/>
    <x v="25"/>
    <x v="15"/>
    <x v="4"/>
    <x v="25"/>
    <x v="1"/>
    <x v="0"/>
    <x v="1"/>
    <x v="2"/>
    <x v="1"/>
    <x v="23"/>
    <x v="27"/>
    <x v="1"/>
    <x v="2"/>
  </r>
  <r>
    <x v="23"/>
    <x v="150"/>
    <x v="1"/>
    <x v="4"/>
    <x v="134"/>
    <x v="0"/>
    <x v="1"/>
    <x v="0"/>
    <x v="0"/>
    <x v="1"/>
    <x v="23"/>
    <x v="13"/>
    <x v="7"/>
    <x v="0"/>
  </r>
  <r>
    <x v="26"/>
    <x v="123"/>
    <x v="30"/>
    <x v="4"/>
    <x v="117"/>
    <x v="0"/>
    <x v="1"/>
    <x v="1"/>
    <x v="0"/>
    <x v="1"/>
    <x v="26"/>
    <x v="49"/>
    <x v="8"/>
    <x v="0"/>
  </r>
  <r>
    <x v="39"/>
    <x v="125"/>
    <x v="29"/>
    <x v="4"/>
    <x v="119"/>
    <x v="0"/>
    <x v="1"/>
    <x v="2"/>
    <x v="0"/>
    <x v="1"/>
    <x v="39"/>
    <x v="48"/>
    <x v="3"/>
    <x v="0"/>
  </r>
  <r>
    <x v="23"/>
    <x v="126"/>
    <x v="13"/>
    <x v="4"/>
    <x v="120"/>
    <x v="0"/>
    <x v="1"/>
    <x v="2"/>
    <x v="0"/>
    <x v="1"/>
    <x v="23"/>
    <x v="17"/>
    <x v="10"/>
    <x v="0"/>
  </r>
  <r>
    <x v="26"/>
    <x v="127"/>
    <x v="1"/>
    <x v="4"/>
    <x v="121"/>
    <x v="0"/>
    <x v="1"/>
    <x v="3"/>
    <x v="0"/>
    <x v="1"/>
    <x v="26"/>
    <x v="13"/>
    <x v="4"/>
    <x v="0"/>
  </r>
  <r>
    <x v="70"/>
    <x v="128"/>
    <x v="20"/>
    <x v="4"/>
    <x v="32"/>
    <x v="0"/>
    <x v="1"/>
    <x v="3"/>
    <x v="0"/>
    <x v="2"/>
    <x v="70"/>
    <x v="28"/>
    <x v="5"/>
    <x v="0"/>
  </r>
  <r>
    <x v="50"/>
    <x v="129"/>
    <x v="29"/>
    <x v="4"/>
    <x v="69"/>
    <x v="0"/>
    <x v="1"/>
    <x v="3"/>
    <x v="0"/>
    <x v="1"/>
    <x v="50"/>
    <x v="48"/>
    <x v="5"/>
    <x v="0"/>
  </r>
  <r>
    <x v="34"/>
    <x v="130"/>
    <x v="16"/>
    <x v="4"/>
    <x v="70"/>
    <x v="0"/>
    <x v="1"/>
    <x v="3"/>
    <x v="0"/>
    <x v="1"/>
    <x v="34"/>
    <x v="21"/>
    <x v="5"/>
    <x v="0"/>
  </r>
  <r>
    <x v="30"/>
    <x v="131"/>
    <x v="18"/>
    <x v="4"/>
    <x v="122"/>
    <x v="0"/>
    <x v="1"/>
    <x v="0"/>
    <x v="1"/>
    <x v="1"/>
    <x v="30"/>
    <x v="23"/>
    <x v="7"/>
    <x v="1"/>
  </r>
  <r>
    <x v="75"/>
    <x v="132"/>
    <x v="0"/>
    <x v="4"/>
    <x v="123"/>
    <x v="0"/>
    <x v="1"/>
    <x v="0"/>
    <x v="1"/>
    <x v="1"/>
    <x v="75"/>
    <x v="32"/>
    <x v="0"/>
    <x v="1"/>
  </r>
  <r>
    <x v="72"/>
    <x v="151"/>
    <x v="30"/>
    <x v="4"/>
    <x v="135"/>
    <x v="0"/>
    <x v="1"/>
    <x v="0"/>
    <x v="1"/>
    <x v="2"/>
    <x v="72"/>
    <x v="49"/>
    <x v="11"/>
    <x v="1"/>
  </r>
  <r>
    <x v="73"/>
    <x v="134"/>
    <x v="32"/>
    <x v="4"/>
    <x v="125"/>
    <x v="0"/>
    <x v="1"/>
    <x v="1"/>
    <x v="1"/>
    <x v="1"/>
    <x v="73"/>
    <x v="53"/>
    <x v="1"/>
    <x v="1"/>
  </r>
  <r>
    <x v="18"/>
    <x v="135"/>
    <x v="26"/>
    <x v="4"/>
    <x v="126"/>
    <x v="0"/>
    <x v="1"/>
    <x v="2"/>
    <x v="1"/>
    <x v="1"/>
    <x v="18"/>
    <x v="36"/>
    <x v="2"/>
    <x v="1"/>
  </r>
  <r>
    <x v="39"/>
    <x v="136"/>
    <x v="26"/>
    <x v="4"/>
    <x v="76"/>
    <x v="0"/>
    <x v="1"/>
    <x v="2"/>
    <x v="1"/>
    <x v="1"/>
    <x v="39"/>
    <x v="36"/>
    <x v="3"/>
    <x v="1"/>
  </r>
  <r>
    <x v="36"/>
    <x v="137"/>
    <x v="16"/>
    <x v="4"/>
    <x v="127"/>
    <x v="0"/>
    <x v="1"/>
    <x v="2"/>
    <x v="1"/>
    <x v="1"/>
    <x v="36"/>
    <x v="21"/>
    <x v="10"/>
    <x v="1"/>
  </r>
  <r>
    <x v="77"/>
    <x v="138"/>
    <x v="1"/>
    <x v="4"/>
    <x v="78"/>
    <x v="0"/>
    <x v="1"/>
    <x v="3"/>
    <x v="1"/>
    <x v="1"/>
    <x v="77"/>
    <x v="13"/>
    <x v="4"/>
    <x v="1"/>
  </r>
  <r>
    <x v="78"/>
    <x v="139"/>
    <x v="12"/>
    <x v="4"/>
    <x v="96"/>
    <x v="0"/>
    <x v="1"/>
    <x v="3"/>
    <x v="1"/>
    <x v="1"/>
    <x v="78"/>
    <x v="46"/>
    <x v="4"/>
    <x v="1"/>
  </r>
  <r>
    <x v="11"/>
    <x v="152"/>
    <x v="26"/>
    <x v="38"/>
    <x v="80"/>
    <x v="0"/>
    <x v="1"/>
    <x v="3"/>
    <x v="1"/>
    <x v="0"/>
    <x v="11"/>
    <x v="77"/>
    <x v="5"/>
    <x v="1"/>
  </r>
  <r>
    <x v="62"/>
    <x v="140"/>
    <x v="29"/>
    <x v="4"/>
    <x v="128"/>
    <x v="0"/>
    <x v="1"/>
    <x v="3"/>
    <x v="1"/>
    <x v="1"/>
    <x v="62"/>
    <x v="48"/>
    <x v="5"/>
    <x v="1"/>
  </r>
  <r>
    <x v="25"/>
    <x v="141"/>
    <x v="20"/>
    <x v="4"/>
    <x v="79"/>
    <x v="0"/>
    <x v="1"/>
    <x v="3"/>
    <x v="1"/>
    <x v="1"/>
    <x v="25"/>
    <x v="28"/>
    <x v="5"/>
    <x v="1"/>
  </r>
  <r>
    <x v="23"/>
    <x v="153"/>
    <x v="4"/>
    <x v="39"/>
    <x v="48"/>
    <x v="0"/>
    <x v="1"/>
    <x v="3"/>
    <x v="1"/>
    <x v="0"/>
    <x v="23"/>
    <x v="78"/>
    <x v="6"/>
    <x v="1"/>
  </r>
  <r>
    <x v="35"/>
    <x v="154"/>
    <x v="23"/>
    <x v="4"/>
    <x v="136"/>
    <x v="0"/>
    <x v="1"/>
    <x v="0"/>
    <x v="2"/>
    <x v="1"/>
    <x v="35"/>
    <x v="31"/>
    <x v="7"/>
    <x v="2"/>
  </r>
  <r>
    <x v="39"/>
    <x v="143"/>
    <x v="9"/>
    <x v="4"/>
    <x v="50"/>
    <x v="0"/>
    <x v="1"/>
    <x v="0"/>
    <x v="2"/>
    <x v="1"/>
    <x v="39"/>
    <x v="10"/>
    <x v="0"/>
    <x v="2"/>
  </r>
  <r>
    <x v="13"/>
    <x v="144"/>
    <x v="20"/>
    <x v="4"/>
    <x v="130"/>
    <x v="0"/>
    <x v="1"/>
    <x v="1"/>
    <x v="2"/>
    <x v="2"/>
    <x v="13"/>
    <x v="28"/>
    <x v="1"/>
    <x v="2"/>
  </r>
  <r>
    <x v="66"/>
    <x v="103"/>
    <x v="3"/>
    <x v="4"/>
    <x v="98"/>
    <x v="0"/>
    <x v="1"/>
    <x v="0"/>
    <x v="0"/>
    <x v="1"/>
    <x v="66"/>
    <x v="26"/>
    <x v="11"/>
    <x v="0"/>
  </r>
  <r>
    <x v="67"/>
    <x v="104"/>
    <x v="9"/>
    <x v="40"/>
    <x v="99"/>
    <x v="0"/>
    <x v="1"/>
    <x v="1"/>
    <x v="0"/>
    <x v="1"/>
    <x v="67"/>
    <x v="79"/>
    <x v="1"/>
    <x v="0"/>
  </r>
  <r>
    <x v="39"/>
    <x v="105"/>
    <x v="7"/>
    <x v="4"/>
    <x v="100"/>
    <x v="0"/>
    <x v="1"/>
    <x v="2"/>
    <x v="0"/>
    <x v="1"/>
    <x v="39"/>
    <x v="7"/>
    <x v="2"/>
    <x v="0"/>
  </r>
  <r>
    <x v="41"/>
    <x v="106"/>
    <x v="28"/>
    <x v="4"/>
    <x v="101"/>
    <x v="0"/>
    <x v="1"/>
    <x v="2"/>
    <x v="0"/>
    <x v="1"/>
    <x v="41"/>
    <x v="47"/>
    <x v="10"/>
    <x v="0"/>
  </r>
  <r>
    <x v="54"/>
    <x v="155"/>
    <x v="12"/>
    <x v="4"/>
    <x v="137"/>
    <x v="0"/>
    <x v="1"/>
    <x v="3"/>
    <x v="0"/>
    <x v="1"/>
    <x v="54"/>
    <x v="46"/>
    <x v="4"/>
    <x v="0"/>
  </r>
  <r>
    <x v="63"/>
    <x v="156"/>
    <x v="20"/>
    <x v="4"/>
    <x v="102"/>
    <x v="0"/>
    <x v="1"/>
    <x v="3"/>
    <x v="0"/>
    <x v="1"/>
    <x v="63"/>
    <x v="28"/>
    <x v="5"/>
    <x v="0"/>
  </r>
  <r>
    <x v="7"/>
    <x v="108"/>
    <x v="11"/>
    <x v="4"/>
    <x v="103"/>
    <x v="0"/>
    <x v="1"/>
    <x v="3"/>
    <x v="0"/>
    <x v="0"/>
    <x v="7"/>
    <x v="12"/>
    <x v="5"/>
    <x v="0"/>
  </r>
  <r>
    <x v="68"/>
    <x v="109"/>
    <x v="23"/>
    <x v="4"/>
    <x v="104"/>
    <x v="0"/>
    <x v="1"/>
    <x v="3"/>
    <x v="0"/>
    <x v="1"/>
    <x v="68"/>
    <x v="31"/>
    <x v="5"/>
    <x v="0"/>
  </r>
  <r>
    <x v="23"/>
    <x v="110"/>
    <x v="14"/>
    <x v="4"/>
    <x v="105"/>
    <x v="0"/>
    <x v="1"/>
    <x v="3"/>
    <x v="0"/>
    <x v="0"/>
    <x v="23"/>
    <x v="41"/>
    <x v="6"/>
    <x v="0"/>
  </r>
  <r>
    <x v="23"/>
    <x v="157"/>
    <x v="25"/>
    <x v="4"/>
    <x v="138"/>
    <x v="0"/>
    <x v="1"/>
    <x v="0"/>
    <x v="1"/>
    <x v="1"/>
    <x v="23"/>
    <x v="44"/>
    <x v="7"/>
    <x v="1"/>
  </r>
  <r>
    <x v="69"/>
    <x v="111"/>
    <x v="32"/>
    <x v="40"/>
    <x v="106"/>
    <x v="0"/>
    <x v="1"/>
    <x v="0"/>
    <x v="1"/>
    <x v="0"/>
    <x v="69"/>
    <x v="80"/>
    <x v="0"/>
    <x v="1"/>
  </r>
  <r>
    <x v="48"/>
    <x v="112"/>
    <x v="6"/>
    <x v="4"/>
    <x v="107"/>
    <x v="0"/>
    <x v="1"/>
    <x v="1"/>
    <x v="1"/>
    <x v="1"/>
    <x v="48"/>
    <x v="24"/>
    <x v="8"/>
    <x v="1"/>
  </r>
  <r>
    <x v="22"/>
    <x v="113"/>
    <x v="8"/>
    <x v="4"/>
    <x v="108"/>
    <x v="3"/>
    <x v="1"/>
    <x v="1"/>
    <x v="1"/>
    <x v="0"/>
    <x v="22"/>
    <x v="38"/>
    <x v="9"/>
    <x v="1"/>
  </r>
  <r>
    <x v="70"/>
    <x v="114"/>
    <x v="8"/>
    <x v="4"/>
    <x v="109"/>
    <x v="0"/>
    <x v="1"/>
    <x v="2"/>
    <x v="1"/>
    <x v="0"/>
    <x v="70"/>
    <x v="38"/>
    <x v="2"/>
    <x v="1"/>
  </r>
  <r>
    <x v="71"/>
    <x v="115"/>
    <x v="20"/>
    <x v="4"/>
    <x v="110"/>
    <x v="0"/>
    <x v="1"/>
    <x v="2"/>
    <x v="1"/>
    <x v="1"/>
    <x v="71"/>
    <x v="28"/>
    <x v="3"/>
    <x v="1"/>
  </r>
  <r>
    <x v="69"/>
    <x v="116"/>
    <x v="3"/>
    <x v="4"/>
    <x v="111"/>
    <x v="0"/>
    <x v="1"/>
    <x v="2"/>
    <x v="1"/>
    <x v="1"/>
    <x v="69"/>
    <x v="26"/>
    <x v="3"/>
    <x v="1"/>
  </r>
  <r>
    <x v="72"/>
    <x v="117"/>
    <x v="6"/>
    <x v="4"/>
    <x v="112"/>
    <x v="0"/>
    <x v="1"/>
    <x v="3"/>
    <x v="0"/>
    <x v="1"/>
    <x v="72"/>
    <x v="24"/>
    <x v="4"/>
    <x v="0"/>
  </r>
  <r>
    <x v="68"/>
    <x v="118"/>
    <x v="16"/>
    <x v="4"/>
    <x v="113"/>
    <x v="0"/>
    <x v="1"/>
    <x v="3"/>
    <x v="1"/>
    <x v="1"/>
    <x v="68"/>
    <x v="21"/>
    <x v="4"/>
    <x v="1"/>
  </r>
  <r>
    <x v="24"/>
    <x v="119"/>
    <x v="21"/>
    <x v="4"/>
    <x v="114"/>
    <x v="0"/>
    <x v="1"/>
    <x v="3"/>
    <x v="1"/>
    <x v="1"/>
    <x v="24"/>
    <x v="29"/>
    <x v="5"/>
    <x v="1"/>
  </r>
  <r>
    <x v="0"/>
    <x v="19"/>
    <x v="12"/>
    <x v="41"/>
    <x v="19"/>
    <x v="0"/>
    <x v="1"/>
    <x v="3"/>
    <x v="1"/>
    <x v="1"/>
    <x v="0"/>
    <x v="81"/>
    <x v="5"/>
    <x v="1"/>
  </r>
  <r>
    <x v="19"/>
    <x v="20"/>
    <x v="27"/>
    <x v="42"/>
    <x v="20"/>
    <x v="0"/>
    <x v="1"/>
    <x v="3"/>
    <x v="1"/>
    <x v="1"/>
    <x v="19"/>
    <x v="82"/>
    <x v="5"/>
    <x v="1"/>
  </r>
  <r>
    <x v="73"/>
    <x v="120"/>
    <x v="1"/>
    <x v="43"/>
    <x v="115"/>
    <x v="0"/>
    <x v="1"/>
    <x v="0"/>
    <x v="2"/>
    <x v="1"/>
    <x v="73"/>
    <x v="83"/>
    <x v="7"/>
    <x v="2"/>
  </r>
  <r>
    <x v="80"/>
    <x v="158"/>
    <x v="21"/>
    <x v="4"/>
    <x v="139"/>
    <x v="0"/>
    <x v="1"/>
    <x v="0"/>
    <x v="2"/>
    <x v="1"/>
    <x v="80"/>
    <x v="29"/>
    <x v="0"/>
    <x v="2"/>
  </r>
  <r>
    <x v="37"/>
    <x v="121"/>
    <x v="32"/>
    <x v="44"/>
    <x v="23"/>
    <x v="0"/>
    <x v="1"/>
    <x v="0"/>
    <x v="2"/>
    <x v="0"/>
    <x v="37"/>
    <x v="84"/>
    <x v="11"/>
    <x v="2"/>
  </r>
  <r>
    <x v="19"/>
    <x v="122"/>
    <x v="37"/>
    <x v="4"/>
    <x v="116"/>
    <x v="0"/>
    <x v="1"/>
    <x v="1"/>
    <x v="2"/>
    <x v="0"/>
    <x v="19"/>
    <x v="85"/>
    <x v="1"/>
    <x v="2"/>
  </r>
  <r>
    <x v="48"/>
    <x v="63"/>
    <x v="6"/>
    <x v="4"/>
    <x v="62"/>
    <x v="0"/>
    <x v="1"/>
    <x v="0"/>
    <x v="0"/>
    <x v="1"/>
    <x v="48"/>
    <x v="24"/>
    <x v="0"/>
    <x v="0"/>
  </r>
  <r>
    <x v="26"/>
    <x v="123"/>
    <x v="25"/>
    <x v="4"/>
    <x v="117"/>
    <x v="0"/>
    <x v="1"/>
    <x v="1"/>
    <x v="0"/>
    <x v="1"/>
    <x v="26"/>
    <x v="44"/>
    <x v="8"/>
    <x v="0"/>
  </r>
  <r>
    <x v="74"/>
    <x v="124"/>
    <x v="13"/>
    <x v="4"/>
    <x v="118"/>
    <x v="0"/>
    <x v="1"/>
    <x v="1"/>
    <x v="0"/>
    <x v="2"/>
    <x v="74"/>
    <x v="17"/>
    <x v="9"/>
    <x v="0"/>
  </r>
  <r>
    <x v="39"/>
    <x v="125"/>
    <x v="12"/>
    <x v="4"/>
    <x v="119"/>
    <x v="0"/>
    <x v="1"/>
    <x v="2"/>
    <x v="0"/>
    <x v="2"/>
    <x v="39"/>
    <x v="46"/>
    <x v="3"/>
    <x v="0"/>
  </r>
  <r>
    <x v="23"/>
    <x v="126"/>
    <x v="4"/>
    <x v="4"/>
    <x v="120"/>
    <x v="0"/>
    <x v="1"/>
    <x v="2"/>
    <x v="0"/>
    <x v="2"/>
    <x v="23"/>
    <x v="4"/>
    <x v="10"/>
    <x v="0"/>
  </r>
  <r>
    <x v="26"/>
    <x v="127"/>
    <x v="26"/>
    <x v="4"/>
    <x v="121"/>
    <x v="0"/>
    <x v="1"/>
    <x v="3"/>
    <x v="0"/>
    <x v="1"/>
    <x v="26"/>
    <x v="36"/>
    <x v="4"/>
    <x v="0"/>
  </r>
  <r>
    <x v="70"/>
    <x v="128"/>
    <x v="24"/>
    <x v="4"/>
    <x v="32"/>
    <x v="0"/>
    <x v="1"/>
    <x v="3"/>
    <x v="0"/>
    <x v="2"/>
    <x v="70"/>
    <x v="33"/>
    <x v="5"/>
    <x v="0"/>
  </r>
  <r>
    <x v="50"/>
    <x v="129"/>
    <x v="30"/>
    <x v="4"/>
    <x v="69"/>
    <x v="0"/>
    <x v="1"/>
    <x v="3"/>
    <x v="0"/>
    <x v="2"/>
    <x v="50"/>
    <x v="49"/>
    <x v="5"/>
    <x v="0"/>
  </r>
  <r>
    <x v="34"/>
    <x v="130"/>
    <x v="19"/>
    <x v="4"/>
    <x v="70"/>
    <x v="0"/>
    <x v="1"/>
    <x v="3"/>
    <x v="0"/>
    <x v="2"/>
    <x v="34"/>
    <x v="25"/>
    <x v="5"/>
    <x v="0"/>
  </r>
  <r>
    <x v="30"/>
    <x v="131"/>
    <x v="14"/>
    <x v="4"/>
    <x v="122"/>
    <x v="0"/>
    <x v="1"/>
    <x v="0"/>
    <x v="1"/>
    <x v="1"/>
    <x v="30"/>
    <x v="41"/>
    <x v="7"/>
    <x v="1"/>
  </r>
  <r>
    <x v="75"/>
    <x v="132"/>
    <x v="26"/>
    <x v="4"/>
    <x v="123"/>
    <x v="0"/>
    <x v="1"/>
    <x v="0"/>
    <x v="1"/>
    <x v="1"/>
    <x v="75"/>
    <x v="36"/>
    <x v="0"/>
    <x v="1"/>
  </r>
  <r>
    <x v="76"/>
    <x v="133"/>
    <x v="4"/>
    <x v="4"/>
    <x v="124"/>
    <x v="0"/>
    <x v="1"/>
    <x v="0"/>
    <x v="1"/>
    <x v="1"/>
    <x v="76"/>
    <x v="4"/>
    <x v="11"/>
    <x v="1"/>
  </r>
  <r>
    <x v="73"/>
    <x v="134"/>
    <x v="26"/>
    <x v="4"/>
    <x v="125"/>
    <x v="0"/>
    <x v="1"/>
    <x v="1"/>
    <x v="1"/>
    <x v="1"/>
    <x v="73"/>
    <x v="36"/>
    <x v="1"/>
    <x v="1"/>
  </r>
  <r>
    <x v="18"/>
    <x v="135"/>
    <x v="25"/>
    <x v="4"/>
    <x v="126"/>
    <x v="0"/>
    <x v="1"/>
    <x v="2"/>
    <x v="1"/>
    <x v="2"/>
    <x v="18"/>
    <x v="44"/>
    <x v="2"/>
    <x v="1"/>
  </r>
  <r>
    <x v="39"/>
    <x v="136"/>
    <x v="16"/>
    <x v="4"/>
    <x v="76"/>
    <x v="0"/>
    <x v="1"/>
    <x v="2"/>
    <x v="1"/>
    <x v="1"/>
    <x v="39"/>
    <x v="21"/>
    <x v="3"/>
    <x v="1"/>
  </r>
  <r>
    <x v="36"/>
    <x v="137"/>
    <x v="3"/>
    <x v="4"/>
    <x v="127"/>
    <x v="0"/>
    <x v="1"/>
    <x v="2"/>
    <x v="1"/>
    <x v="2"/>
    <x v="36"/>
    <x v="26"/>
    <x v="10"/>
    <x v="1"/>
  </r>
  <r>
    <x v="77"/>
    <x v="138"/>
    <x v="14"/>
    <x v="4"/>
    <x v="78"/>
    <x v="0"/>
    <x v="1"/>
    <x v="3"/>
    <x v="1"/>
    <x v="1"/>
    <x v="77"/>
    <x v="41"/>
    <x v="4"/>
    <x v="1"/>
  </r>
  <r>
    <x v="78"/>
    <x v="139"/>
    <x v="5"/>
    <x v="4"/>
    <x v="96"/>
    <x v="0"/>
    <x v="1"/>
    <x v="3"/>
    <x v="1"/>
    <x v="1"/>
    <x v="78"/>
    <x v="15"/>
    <x v="4"/>
    <x v="1"/>
  </r>
  <r>
    <x v="17"/>
    <x v="81"/>
    <x v="16"/>
    <x v="4"/>
    <x v="80"/>
    <x v="0"/>
    <x v="1"/>
    <x v="3"/>
    <x v="1"/>
    <x v="0"/>
    <x v="17"/>
    <x v="21"/>
    <x v="5"/>
    <x v="1"/>
  </r>
  <r>
    <x v="62"/>
    <x v="140"/>
    <x v="4"/>
    <x v="45"/>
    <x v="128"/>
    <x v="0"/>
    <x v="1"/>
    <x v="3"/>
    <x v="1"/>
    <x v="1"/>
    <x v="62"/>
    <x v="86"/>
    <x v="5"/>
    <x v="1"/>
  </r>
  <r>
    <x v="74"/>
    <x v="159"/>
    <x v="18"/>
    <x v="4"/>
    <x v="140"/>
    <x v="0"/>
    <x v="1"/>
    <x v="3"/>
    <x v="1"/>
    <x v="1"/>
    <x v="74"/>
    <x v="23"/>
    <x v="6"/>
    <x v="1"/>
  </r>
  <r>
    <x v="1"/>
    <x v="84"/>
    <x v="4"/>
    <x v="46"/>
    <x v="83"/>
    <x v="0"/>
    <x v="1"/>
    <x v="3"/>
    <x v="1"/>
    <x v="1"/>
    <x v="1"/>
    <x v="87"/>
    <x v="6"/>
    <x v="1"/>
  </r>
  <r>
    <x v="35"/>
    <x v="154"/>
    <x v="1"/>
    <x v="4"/>
    <x v="136"/>
    <x v="0"/>
    <x v="1"/>
    <x v="0"/>
    <x v="2"/>
    <x v="1"/>
    <x v="35"/>
    <x v="13"/>
    <x v="7"/>
    <x v="2"/>
  </r>
  <r>
    <x v="39"/>
    <x v="143"/>
    <x v="1"/>
    <x v="47"/>
    <x v="50"/>
    <x v="0"/>
    <x v="1"/>
    <x v="0"/>
    <x v="2"/>
    <x v="1"/>
    <x v="39"/>
    <x v="88"/>
    <x v="0"/>
    <x v="2"/>
  </r>
  <r>
    <x v="39"/>
    <x v="160"/>
    <x v="29"/>
    <x v="4"/>
    <x v="141"/>
    <x v="0"/>
    <x v="1"/>
    <x v="0"/>
    <x v="2"/>
    <x v="1"/>
    <x v="39"/>
    <x v="48"/>
    <x v="11"/>
    <x v="2"/>
  </r>
  <r>
    <x v="13"/>
    <x v="144"/>
    <x v="8"/>
    <x v="4"/>
    <x v="130"/>
    <x v="0"/>
    <x v="1"/>
    <x v="1"/>
    <x v="2"/>
    <x v="1"/>
    <x v="13"/>
    <x v="38"/>
    <x v="1"/>
    <x v="2"/>
  </r>
  <r>
    <x v="66"/>
    <x v="103"/>
    <x v="25"/>
    <x v="48"/>
    <x v="98"/>
    <x v="0"/>
    <x v="1"/>
    <x v="0"/>
    <x v="0"/>
    <x v="1"/>
    <x v="66"/>
    <x v="89"/>
    <x v="11"/>
    <x v="0"/>
  </r>
  <r>
    <x v="67"/>
    <x v="104"/>
    <x v="22"/>
    <x v="49"/>
    <x v="99"/>
    <x v="0"/>
    <x v="1"/>
    <x v="1"/>
    <x v="0"/>
    <x v="0"/>
    <x v="67"/>
    <x v="90"/>
    <x v="1"/>
    <x v="0"/>
  </r>
  <r>
    <x v="39"/>
    <x v="105"/>
    <x v="16"/>
    <x v="50"/>
    <x v="100"/>
    <x v="0"/>
    <x v="1"/>
    <x v="2"/>
    <x v="0"/>
    <x v="0"/>
    <x v="39"/>
    <x v="91"/>
    <x v="2"/>
    <x v="0"/>
  </r>
  <r>
    <x v="41"/>
    <x v="106"/>
    <x v="15"/>
    <x v="49"/>
    <x v="101"/>
    <x v="0"/>
    <x v="1"/>
    <x v="2"/>
    <x v="0"/>
    <x v="0"/>
    <x v="41"/>
    <x v="92"/>
    <x v="10"/>
    <x v="0"/>
  </r>
  <r>
    <x v="4"/>
    <x v="4"/>
    <x v="16"/>
    <x v="51"/>
    <x v="4"/>
    <x v="0"/>
    <x v="1"/>
    <x v="3"/>
    <x v="0"/>
    <x v="0"/>
    <x v="4"/>
    <x v="93"/>
    <x v="4"/>
    <x v="0"/>
  </r>
  <r>
    <x v="42"/>
    <x v="107"/>
    <x v="5"/>
    <x v="49"/>
    <x v="102"/>
    <x v="0"/>
    <x v="1"/>
    <x v="3"/>
    <x v="0"/>
    <x v="0"/>
    <x v="42"/>
    <x v="94"/>
    <x v="5"/>
    <x v="0"/>
  </r>
  <r>
    <x v="7"/>
    <x v="108"/>
    <x v="14"/>
    <x v="52"/>
    <x v="103"/>
    <x v="0"/>
    <x v="1"/>
    <x v="3"/>
    <x v="0"/>
    <x v="0"/>
    <x v="7"/>
    <x v="95"/>
    <x v="5"/>
    <x v="0"/>
  </r>
  <r>
    <x v="68"/>
    <x v="109"/>
    <x v="0"/>
    <x v="53"/>
    <x v="104"/>
    <x v="0"/>
    <x v="1"/>
    <x v="3"/>
    <x v="0"/>
    <x v="0"/>
    <x v="68"/>
    <x v="96"/>
    <x v="5"/>
    <x v="0"/>
  </r>
  <r>
    <x v="23"/>
    <x v="110"/>
    <x v="27"/>
    <x v="54"/>
    <x v="105"/>
    <x v="0"/>
    <x v="1"/>
    <x v="3"/>
    <x v="0"/>
    <x v="1"/>
    <x v="23"/>
    <x v="97"/>
    <x v="6"/>
    <x v="0"/>
  </r>
  <r>
    <x v="9"/>
    <x v="9"/>
    <x v="11"/>
    <x v="55"/>
    <x v="9"/>
    <x v="0"/>
    <x v="1"/>
    <x v="0"/>
    <x v="1"/>
    <x v="0"/>
    <x v="9"/>
    <x v="98"/>
    <x v="7"/>
    <x v="1"/>
  </r>
  <r>
    <x v="69"/>
    <x v="111"/>
    <x v="9"/>
    <x v="56"/>
    <x v="106"/>
    <x v="0"/>
    <x v="1"/>
    <x v="0"/>
    <x v="1"/>
    <x v="0"/>
    <x v="69"/>
    <x v="99"/>
    <x v="0"/>
    <x v="1"/>
  </r>
  <r>
    <x v="48"/>
    <x v="112"/>
    <x v="14"/>
    <x v="57"/>
    <x v="107"/>
    <x v="0"/>
    <x v="1"/>
    <x v="1"/>
    <x v="1"/>
    <x v="0"/>
    <x v="48"/>
    <x v="100"/>
    <x v="8"/>
    <x v="1"/>
  </r>
  <r>
    <x v="22"/>
    <x v="113"/>
    <x v="32"/>
    <x v="58"/>
    <x v="108"/>
    <x v="3"/>
    <x v="1"/>
    <x v="1"/>
    <x v="1"/>
    <x v="0"/>
    <x v="22"/>
    <x v="101"/>
    <x v="9"/>
    <x v="1"/>
  </r>
  <r>
    <x v="70"/>
    <x v="114"/>
    <x v="21"/>
    <x v="59"/>
    <x v="109"/>
    <x v="0"/>
    <x v="1"/>
    <x v="2"/>
    <x v="1"/>
    <x v="0"/>
    <x v="70"/>
    <x v="102"/>
    <x v="2"/>
    <x v="1"/>
  </r>
  <r>
    <x v="71"/>
    <x v="115"/>
    <x v="19"/>
    <x v="60"/>
    <x v="110"/>
    <x v="0"/>
    <x v="1"/>
    <x v="2"/>
    <x v="1"/>
    <x v="1"/>
    <x v="71"/>
    <x v="103"/>
    <x v="3"/>
    <x v="1"/>
  </r>
  <r>
    <x v="69"/>
    <x v="116"/>
    <x v="2"/>
    <x v="61"/>
    <x v="111"/>
    <x v="0"/>
    <x v="1"/>
    <x v="2"/>
    <x v="1"/>
    <x v="0"/>
    <x v="69"/>
    <x v="104"/>
    <x v="3"/>
    <x v="1"/>
  </r>
  <r>
    <x v="72"/>
    <x v="117"/>
    <x v="8"/>
    <x v="59"/>
    <x v="112"/>
    <x v="0"/>
    <x v="1"/>
    <x v="3"/>
    <x v="0"/>
    <x v="0"/>
    <x v="72"/>
    <x v="105"/>
    <x v="4"/>
    <x v="0"/>
  </r>
  <r>
    <x v="68"/>
    <x v="118"/>
    <x v="4"/>
    <x v="52"/>
    <x v="113"/>
    <x v="0"/>
    <x v="1"/>
    <x v="3"/>
    <x v="1"/>
    <x v="1"/>
    <x v="68"/>
    <x v="106"/>
    <x v="4"/>
    <x v="1"/>
  </r>
  <r>
    <x v="24"/>
    <x v="119"/>
    <x v="19"/>
    <x v="51"/>
    <x v="114"/>
    <x v="0"/>
    <x v="1"/>
    <x v="3"/>
    <x v="1"/>
    <x v="0"/>
    <x v="24"/>
    <x v="107"/>
    <x v="5"/>
    <x v="1"/>
  </r>
  <r>
    <x v="0"/>
    <x v="19"/>
    <x v="29"/>
    <x v="4"/>
    <x v="19"/>
    <x v="0"/>
    <x v="1"/>
    <x v="3"/>
    <x v="1"/>
    <x v="1"/>
    <x v="0"/>
    <x v="48"/>
    <x v="5"/>
    <x v="1"/>
  </r>
  <r>
    <x v="19"/>
    <x v="20"/>
    <x v="5"/>
    <x v="62"/>
    <x v="20"/>
    <x v="0"/>
    <x v="1"/>
    <x v="3"/>
    <x v="1"/>
    <x v="1"/>
    <x v="19"/>
    <x v="108"/>
    <x v="5"/>
    <x v="1"/>
  </r>
  <r>
    <x v="73"/>
    <x v="120"/>
    <x v="1"/>
    <x v="63"/>
    <x v="115"/>
    <x v="0"/>
    <x v="1"/>
    <x v="0"/>
    <x v="2"/>
    <x v="0"/>
    <x v="73"/>
    <x v="109"/>
    <x v="7"/>
    <x v="2"/>
  </r>
  <r>
    <x v="16"/>
    <x v="161"/>
    <x v="16"/>
    <x v="64"/>
    <x v="142"/>
    <x v="0"/>
    <x v="1"/>
    <x v="0"/>
    <x v="2"/>
    <x v="0"/>
    <x v="16"/>
    <x v="110"/>
    <x v="0"/>
    <x v="2"/>
  </r>
  <r>
    <x v="37"/>
    <x v="121"/>
    <x v="5"/>
    <x v="65"/>
    <x v="23"/>
    <x v="0"/>
    <x v="1"/>
    <x v="0"/>
    <x v="2"/>
    <x v="0"/>
    <x v="37"/>
    <x v="111"/>
    <x v="11"/>
    <x v="2"/>
  </r>
  <r>
    <x v="19"/>
    <x v="122"/>
    <x v="1"/>
    <x v="58"/>
    <x v="116"/>
    <x v="0"/>
    <x v="1"/>
    <x v="1"/>
    <x v="2"/>
    <x v="1"/>
    <x v="19"/>
    <x v="112"/>
    <x v="1"/>
    <x v="2"/>
  </r>
  <r>
    <x v="23"/>
    <x v="150"/>
    <x v="2"/>
    <x v="4"/>
    <x v="134"/>
    <x v="0"/>
    <x v="2"/>
    <x v="0"/>
    <x v="0"/>
    <x v="1"/>
    <x v="23"/>
    <x v="9"/>
    <x v="7"/>
    <x v="0"/>
  </r>
  <r>
    <x v="27"/>
    <x v="162"/>
    <x v="12"/>
    <x v="4"/>
    <x v="143"/>
    <x v="0"/>
    <x v="2"/>
    <x v="1"/>
    <x v="0"/>
    <x v="1"/>
    <x v="27"/>
    <x v="46"/>
    <x v="8"/>
    <x v="0"/>
  </r>
  <r>
    <x v="74"/>
    <x v="124"/>
    <x v="16"/>
    <x v="4"/>
    <x v="118"/>
    <x v="0"/>
    <x v="2"/>
    <x v="1"/>
    <x v="0"/>
    <x v="0"/>
    <x v="74"/>
    <x v="21"/>
    <x v="9"/>
    <x v="0"/>
  </r>
  <r>
    <x v="73"/>
    <x v="163"/>
    <x v="15"/>
    <x v="4"/>
    <x v="144"/>
    <x v="0"/>
    <x v="2"/>
    <x v="2"/>
    <x v="0"/>
    <x v="0"/>
    <x v="73"/>
    <x v="27"/>
    <x v="3"/>
    <x v="0"/>
  </r>
  <r>
    <x v="60"/>
    <x v="164"/>
    <x v="16"/>
    <x v="4"/>
    <x v="145"/>
    <x v="0"/>
    <x v="2"/>
    <x v="2"/>
    <x v="0"/>
    <x v="1"/>
    <x v="60"/>
    <x v="21"/>
    <x v="10"/>
    <x v="0"/>
  </r>
  <r>
    <x v="26"/>
    <x v="127"/>
    <x v="7"/>
    <x v="4"/>
    <x v="121"/>
    <x v="0"/>
    <x v="2"/>
    <x v="3"/>
    <x v="0"/>
    <x v="1"/>
    <x v="26"/>
    <x v="7"/>
    <x v="4"/>
    <x v="0"/>
  </r>
  <r>
    <x v="49"/>
    <x v="92"/>
    <x v="18"/>
    <x v="4"/>
    <x v="32"/>
    <x v="0"/>
    <x v="2"/>
    <x v="3"/>
    <x v="0"/>
    <x v="1"/>
    <x v="49"/>
    <x v="23"/>
    <x v="5"/>
    <x v="0"/>
  </r>
  <r>
    <x v="81"/>
    <x v="165"/>
    <x v="9"/>
    <x v="4"/>
    <x v="69"/>
    <x v="0"/>
    <x v="2"/>
    <x v="3"/>
    <x v="0"/>
    <x v="1"/>
    <x v="81"/>
    <x v="10"/>
    <x v="5"/>
    <x v="0"/>
  </r>
  <r>
    <x v="47"/>
    <x v="166"/>
    <x v="4"/>
    <x v="4"/>
    <x v="34"/>
    <x v="0"/>
    <x v="2"/>
    <x v="3"/>
    <x v="0"/>
    <x v="1"/>
    <x v="47"/>
    <x v="4"/>
    <x v="5"/>
    <x v="0"/>
  </r>
  <r>
    <x v="64"/>
    <x v="93"/>
    <x v="1"/>
    <x v="66"/>
    <x v="91"/>
    <x v="0"/>
    <x v="2"/>
    <x v="3"/>
    <x v="0"/>
    <x v="1"/>
    <x v="64"/>
    <x v="113"/>
    <x v="6"/>
    <x v="0"/>
  </r>
  <r>
    <x v="82"/>
    <x v="167"/>
    <x v="7"/>
    <x v="4"/>
    <x v="146"/>
    <x v="0"/>
    <x v="2"/>
    <x v="0"/>
    <x v="1"/>
    <x v="1"/>
    <x v="82"/>
    <x v="7"/>
    <x v="0"/>
    <x v="1"/>
  </r>
  <r>
    <x v="39"/>
    <x v="95"/>
    <x v="5"/>
    <x v="4"/>
    <x v="93"/>
    <x v="0"/>
    <x v="2"/>
    <x v="0"/>
    <x v="1"/>
    <x v="1"/>
    <x v="39"/>
    <x v="15"/>
    <x v="11"/>
    <x v="1"/>
  </r>
  <r>
    <x v="23"/>
    <x v="168"/>
    <x v="12"/>
    <x v="4"/>
    <x v="125"/>
    <x v="0"/>
    <x v="2"/>
    <x v="1"/>
    <x v="1"/>
    <x v="1"/>
    <x v="23"/>
    <x v="46"/>
    <x v="1"/>
    <x v="1"/>
  </r>
  <r>
    <x v="65"/>
    <x v="96"/>
    <x v="12"/>
    <x v="4"/>
    <x v="39"/>
    <x v="0"/>
    <x v="2"/>
    <x v="1"/>
    <x v="1"/>
    <x v="1"/>
    <x v="65"/>
    <x v="46"/>
    <x v="9"/>
    <x v="1"/>
  </r>
  <r>
    <x v="39"/>
    <x v="169"/>
    <x v="28"/>
    <x v="67"/>
    <x v="126"/>
    <x v="0"/>
    <x v="2"/>
    <x v="2"/>
    <x v="1"/>
    <x v="1"/>
    <x v="39"/>
    <x v="114"/>
    <x v="2"/>
    <x v="1"/>
  </r>
  <r>
    <x v="18"/>
    <x v="97"/>
    <x v="2"/>
    <x v="4"/>
    <x v="94"/>
    <x v="0"/>
    <x v="2"/>
    <x v="2"/>
    <x v="1"/>
    <x v="1"/>
    <x v="18"/>
    <x v="9"/>
    <x v="3"/>
    <x v="1"/>
  </r>
  <r>
    <x v="0"/>
    <x v="170"/>
    <x v="15"/>
    <x v="4"/>
    <x v="42"/>
    <x v="0"/>
    <x v="2"/>
    <x v="2"/>
    <x v="1"/>
    <x v="0"/>
    <x v="0"/>
    <x v="27"/>
    <x v="10"/>
    <x v="1"/>
  </r>
  <r>
    <x v="15"/>
    <x v="98"/>
    <x v="19"/>
    <x v="4"/>
    <x v="95"/>
    <x v="0"/>
    <x v="2"/>
    <x v="3"/>
    <x v="1"/>
    <x v="1"/>
    <x v="15"/>
    <x v="25"/>
    <x v="4"/>
    <x v="1"/>
  </r>
  <r>
    <x v="78"/>
    <x v="139"/>
    <x v="3"/>
    <x v="4"/>
    <x v="96"/>
    <x v="0"/>
    <x v="2"/>
    <x v="3"/>
    <x v="1"/>
    <x v="1"/>
    <x v="78"/>
    <x v="26"/>
    <x v="4"/>
    <x v="1"/>
  </r>
  <r>
    <x v="11"/>
    <x v="152"/>
    <x v="18"/>
    <x v="68"/>
    <x v="80"/>
    <x v="0"/>
    <x v="2"/>
    <x v="3"/>
    <x v="1"/>
    <x v="0"/>
    <x v="11"/>
    <x v="115"/>
    <x v="5"/>
    <x v="1"/>
  </r>
  <r>
    <x v="62"/>
    <x v="140"/>
    <x v="19"/>
    <x v="4"/>
    <x v="128"/>
    <x v="0"/>
    <x v="2"/>
    <x v="3"/>
    <x v="1"/>
    <x v="1"/>
    <x v="62"/>
    <x v="25"/>
    <x v="5"/>
    <x v="1"/>
  </r>
  <r>
    <x v="74"/>
    <x v="159"/>
    <x v="7"/>
    <x v="4"/>
    <x v="140"/>
    <x v="0"/>
    <x v="2"/>
    <x v="3"/>
    <x v="1"/>
    <x v="1"/>
    <x v="74"/>
    <x v="7"/>
    <x v="6"/>
    <x v="1"/>
  </r>
  <r>
    <x v="23"/>
    <x v="153"/>
    <x v="13"/>
    <x v="69"/>
    <x v="48"/>
    <x v="0"/>
    <x v="2"/>
    <x v="3"/>
    <x v="1"/>
    <x v="0"/>
    <x v="23"/>
    <x v="116"/>
    <x v="6"/>
    <x v="1"/>
  </r>
  <r>
    <x v="39"/>
    <x v="142"/>
    <x v="4"/>
    <x v="70"/>
    <x v="129"/>
    <x v="0"/>
    <x v="2"/>
    <x v="0"/>
    <x v="2"/>
    <x v="0"/>
    <x v="39"/>
    <x v="117"/>
    <x v="7"/>
    <x v="2"/>
  </r>
  <r>
    <x v="39"/>
    <x v="143"/>
    <x v="22"/>
    <x v="71"/>
    <x v="50"/>
    <x v="0"/>
    <x v="2"/>
    <x v="0"/>
    <x v="2"/>
    <x v="0"/>
    <x v="39"/>
    <x v="118"/>
    <x v="0"/>
    <x v="2"/>
  </r>
  <r>
    <x v="23"/>
    <x v="171"/>
    <x v="38"/>
    <x v="4"/>
    <x v="147"/>
    <x v="0"/>
    <x v="2"/>
    <x v="1"/>
    <x v="2"/>
    <x v="1"/>
    <x v="23"/>
    <x v="119"/>
    <x v="1"/>
    <x v="2"/>
  </r>
  <r>
    <x v="14"/>
    <x v="102"/>
    <x v="29"/>
    <x v="4"/>
    <x v="53"/>
    <x v="2"/>
    <x v="2"/>
    <x v="1"/>
    <x v="2"/>
    <x v="1"/>
    <x v="14"/>
    <x v="48"/>
    <x v="1"/>
    <x v="2"/>
  </r>
  <r>
    <x v="66"/>
    <x v="103"/>
    <x v="5"/>
    <x v="4"/>
    <x v="98"/>
    <x v="0"/>
    <x v="1"/>
    <x v="0"/>
    <x v="0"/>
    <x v="1"/>
    <x v="66"/>
    <x v="15"/>
    <x v="11"/>
    <x v="0"/>
  </r>
  <r>
    <x v="67"/>
    <x v="104"/>
    <x v="14"/>
    <x v="4"/>
    <x v="99"/>
    <x v="0"/>
    <x v="1"/>
    <x v="1"/>
    <x v="0"/>
    <x v="0"/>
    <x v="67"/>
    <x v="41"/>
    <x v="1"/>
    <x v="0"/>
  </r>
  <r>
    <x v="39"/>
    <x v="105"/>
    <x v="6"/>
    <x v="72"/>
    <x v="100"/>
    <x v="0"/>
    <x v="1"/>
    <x v="2"/>
    <x v="0"/>
    <x v="0"/>
    <x v="39"/>
    <x v="120"/>
    <x v="2"/>
    <x v="0"/>
  </r>
  <r>
    <x v="41"/>
    <x v="106"/>
    <x v="29"/>
    <x v="72"/>
    <x v="101"/>
    <x v="0"/>
    <x v="1"/>
    <x v="2"/>
    <x v="0"/>
    <x v="1"/>
    <x v="41"/>
    <x v="121"/>
    <x v="10"/>
    <x v="0"/>
  </r>
  <r>
    <x v="54"/>
    <x v="155"/>
    <x v="24"/>
    <x v="4"/>
    <x v="137"/>
    <x v="0"/>
    <x v="1"/>
    <x v="3"/>
    <x v="0"/>
    <x v="1"/>
    <x v="54"/>
    <x v="33"/>
    <x v="4"/>
    <x v="0"/>
  </r>
  <r>
    <x v="63"/>
    <x v="156"/>
    <x v="2"/>
    <x v="4"/>
    <x v="102"/>
    <x v="0"/>
    <x v="1"/>
    <x v="3"/>
    <x v="0"/>
    <x v="1"/>
    <x v="63"/>
    <x v="9"/>
    <x v="5"/>
    <x v="0"/>
  </r>
  <r>
    <x v="7"/>
    <x v="108"/>
    <x v="5"/>
    <x v="4"/>
    <x v="103"/>
    <x v="0"/>
    <x v="1"/>
    <x v="3"/>
    <x v="0"/>
    <x v="1"/>
    <x v="7"/>
    <x v="15"/>
    <x v="5"/>
    <x v="0"/>
  </r>
  <r>
    <x v="40"/>
    <x v="172"/>
    <x v="26"/>
    <x v="4"/>
    <x v="104"/>
    <x v="0"/>
    <x v="1"/>
    <x v="3"/>
    <x v="0"/>
    <x v="1"/>
    <x v="40"/>
    <x v="36"/>
    <x v="5"/>
    <x v="0"/>
  </r>
  <r>
    <x v="23"/>
    <x v="110"/>
    <x v="20"/>
    <x v="4"/>
    <x v="105"/>
    <x v="0"/>
    <x v="1"/>
    <x v="3"/>
    <x v="0"/>
    <x v="1"/>
    <x v="23"/>
    <x v="28"/>
    <x v="6"/>
    <x v="0"/>
  </r>
  <r>
    <x v="23"/>
    <x v="157"/>
    <x v="29"/>
    <x v="4"/>
    <x v="138"/>
    <x v="0"/>
    <x v="1"/>
    <x v="0"/>
    <x v="1"/>
    <x v="1"/>
    <x v="23"/>
    <x v="48"/>
    <x v="7"/>
    <x v="1"/>
  </r>
  <r>
    <x v="69"/>
    <x v="111"/>
    <x v="15"/>
    <x v="4"/>
    <x v="106"/>
    <x v="0"/>
    <x v="1"/>
    <x v="0"/>
    <x v="1"/>
    <x v="0"/>
    <x v="69"/>
    <x v="27"/>
    <x v="0"/>
    <x v="1"/>
  </r>
  <r>
    <x v="60"/>
    <x v="173"/>
    <x v="15"/>
    <x v="73"/>
    <x v="148"/>
    <x v="0"/>
    <x v="1"/>
    <x v="1"/>
    <x v="1"/>
    <x v="0"/>
    <x v="60"/>
    <x v="122"/>
    <x v="8"/>
    <x v="1"/>
  </r>
  <r>
    <x v="22"/>
    <x v="113"/>
    <x v="2"/>
    <x v="4"/>
    <x v="108"/>
    <x v="3"/>
    <x v="1"/>
    <x v="1"/>
    <x v="1"/>
    <x v="1"/>
    <x v="22"/>
    <x v="9"/>
    <x v="9"/>
    <x v="1"/>
  </r>
  <r>
    <x v="70"/>
    <x v="114"/>
    <x v="23"/>
    <x v="4"/>
    <x v="109"/>
    <x v="0"/>
    <x v="1"/>
    <x v="2"/>
    <x v="1"/>
    <x v="1"/>
    <x v="70"/>
    <x v="31"/>
    <x v="2"/>
    <x v="1"/>
  </r>
  <r>
    <x v="26"/>
    <x v="174"/>
    <x v="11"/>
    <x v="4"/>
    <x v="149"/>
    <x v="0"/>
    <x v="1"/>
    <x v="2"/>
    <x v="1"/>
    <x v="1"/>
    <x v="26"/>
    <x v="12"/>
    <x v="3"/>
    <x v="1"/>
  </r>
  <r>
    <x v="69"/>
    <x v="116"/>
    <x v="10"/>
    <x v="4"/>
    <x v="111"/>
    <x v="0"/>
    <x v="1"/>
    <x v="2"/>
    <x v="1"/>
    <x v="0"/>
    <x v="69"/>
    <x v="11"/>
    <x v="3"/>
    <x v="1"/>
  </r>
  <r>
    <x v="72"/>
    <x v="117"/>
    <x v="10"/>
    <x v="4"/>
    <x v="112"/>
    <x v="0"/>
    <x v="1"/>
    <x v="3"/>
    <x v="0"/>
    <x v="0"/>
    <x v="72"/>
    <x v="11"/>
    <x v="4"/>
    <x v="0"/>
  </r>
  <r>
    <x v="68"/>
    <x v="118"/>
    <x v="32"/>
    <x v="4"/>
    <x v="113"/>
    <x v="0"/>
    <x v="1"/>
    <x v="3"/>
    <x v="1"/>
    <x v="0"/>
    <x v="68"/>
    <x v="53"/>
    <x v="4"/>
    <x v="1"/>
  </r>
  <r>
    <x v="21"/>
    <x v="175"/>
    <x v="16"/>
    <x v="4"/>
    <x v="45"/>
    <x v="0"/>
    <x v="1"/>
    <x v="3"/>
    <x v="1"/>
    <x v="0"/>
    <x v="21"/>
    <x v="21"/>
    <x v="5"/>
    <x v="1"/>
  </r>
  <r>
    <x v="0"/>
    <x v="19"/>
    <x v="25"/>
    <x v="74"/>
    <x v="19"/>
    <x v="0"/>
    <x v="1"/>
    <x v="3"/>
    <x v="1"/>
    <x v="0"/>
    <x v="0"/>
    <x v="123"/>
    <x v="5"/>
    <x v="1"/>
  </r>
  <r>
    <x v="19"/>
    <x v="20"/>
    <x v="36"/>
    <x v="75"/>
    <x v="20"/>
    <x v="0"/>
    <x v="1"/>
    <x v="3"/>
    <x v="1"/>
    <x v="1"/>
    <x v="19"/>
    <x v="124"/>
    <x v="5"/>
    <x v="1"/>
  </r>
  <r>
    <x v="73"/>
    <x v="120"/>
    <x v="12"/>
    <x v="76"/>
    <x v="115"/>
    <x v="0"/>
    <x v="1"/>
    <x v="0"/>
    <x v="2"/>
    <x v="1"/>
    <x v="73"/>
    <x v="125"/>
    <x v="7"/>
    <x v="2"/>
  </r>
  <r>
    <x v="16"/>
    <x v="161"/>
    <x v="24"/>
    <x v="4"/>
    <x v="142"/>
    <x v="0"/>
    <x v="1"/>
    <x v="0"/>
    <x v="2"/>
    <x v="1"/>
    <x v="16"/>
    <x v="33"/>
    <x v="0"/>
    <x v="2"/>
  </r>
  <r>
    <x v="37"/>
    <x v="121"/>
    <x v="20"/>
    <x v="4"/>
    <x v="23"/>
    <x v="0"/>
    <x v="1"/>
    <x v="0"/>
    <x v="2"/>
    <x v="1"/>
    <x v="37"/>
    <x v="28"/>
    <x v="11"/>
    <x v="2"/>
  </r>
  <r>
    <x v="83"/>
    <x v="176"/>
    <x v="39"/>
    <x v="73"/>
    <x v="150"/>
    <x v="0"/>
    <x v="1"/>
    <x v="1"/>
    <x v="2"/>
    <x v="2"/>
    <x v="83"/>
    <x v="126"/>
    <x v="8"/>
    <x v="2"/>
  </r>
  <r>
    <x v="19"/>
    <x v="122"/>
    <x v="22"/>
    <x v="4"/>
    <x v="116"/>
    <x v="0"/>
    <x v="1"/>
    <x v="1"/>
    <x v="2"/>
    <x v="1"/>
    <x v="19"/>
    <x v="30"/>
    <x v="1"/>
    <x v="2"/>
  </r>
  <r>
    <x v="17"/>
    <x v="26"/>
    <x v="21"/>
    <x v="4"/>
    <x v="26"/>
    <x v="0"/>
    <x v="2"/>
    <x v="0"/>
    <x v="0"/>
    <x v="1"/>
    <x v="17"/>
    <x v="29"/>
    <x v="7"/>
    <x v="0"/>
  </r>
  <r>
    <x v="39"/>
    <x v="145"/>
    <x v="4"/>
    <x v="4"/>
    <x v="131"/>
    <x v="0"/>
    <x v="2"/>
    <x v="0"/>
    <x v="0"/>
    <x v="1"/>
    <x v="39"/>
    <x v="4"/>
    <x v="11"/>
    <x v="0"/>
  </r>
  <r>
    <x v="25"/>
    <x v="28"/>
    <x v="19"/>
    <x v="4"/>
    <x v="28"/>
    <x v="0"/>
    <x v="2"/>
    <x v="1"/>
    <x v="0"/>
    <x v="1"/>
    <x v="25"/>
    <x v="25"/>
    <x v="1"/>
    <x v="0"/>
  </r>
  <r>
    <x v="5"/>
    <x v="29"/>
    <x v="22"/>
    <x v="4"/>
    <x v="29"/>
    <x v="0"/>
    <x v="2"/>
    <x v="2"/>
    <x v="0"/>
    <x v="1"/>
    <x v="5"/>
    <x v="30"/>
    <x v="2"/>
    <x v="0"/>
  </r>
  <r>
    <x v="26"/>
    <x v="30"/>
    <x v="1"/>
    <x v="4"/>
    <x v="30"/>
    <x v="0"/>
    <x v="2"/>
    <x v="2"/>
    <x v="0"/>
    <x v="1"/>
    <x v="26"/>
    <x v="13"/>
    <x v="10"/>
    <x v="0"/>
  </r>
  <r>
    <x v="63"/>
    <x v="91"/>
    <x v="5"/>
    <x v="77"/>
    <x v="90"/>
    <x v="5"/>
    <x v="2"/>
    <x v="3"/>
    <x v="0"/>
    <x v="1"/>
    <x v="63"/>
    <x v="127"/>
    <x v="4"/>
    <x v="0"/>
  </r>
  <r>
    <x v="28"/>
    <x v="32"/>
    <x v="7"/>
    <x v="78"/>
    <x v="32"/>
    <x v="0"/>
    <x v="2"/>
    <x v="3"/>
    <x v="0"/>
    <x v="1"/>
    <x v="28"/>
    <x v="128"/>
    <x v="5"/>
    <x v="0"/>
  </r>
  <r>
    <x v="29"/>
    <x v="33"/>
    <x v="15"/>
    <x v="79"/>
    <x v="33"/>
    <x v="0"/>
    <x v="2"/>
    <x v="3"/>
    <x v="0"/>
    <x v="0"/>
    <x v="29"/>
    <x v="129"/>
    <x v="5"/>
    <x v="0"/>
  </r>
  <r>
    <x v="30"/>
    <x v="34"/>
    <x v="15"/>
    <x v="78"/>
    <x v="34"/>
    <x v="0"/>
    <x v="2"/>
    <x v="3"/>
    <x v="0"/>
    <x v="0"/>
    <x v="30"/>
    <x v="130"/>
    <x v="5"/>
    <x v="0"/>
  </r>
  <r>
    <x v="31"/>
    <x v="35"/>
    <x v="1"/>
    <x v="4"/>
    <x v="35"/>
    <x v="0"/>
    <x v="2"/>
    <x v="3"/>
    <x v="0"/>
    <x v="1"/>
    <x v="31"/>
    <x v="13"/>
    <x v="6"/>
    <x v="0"/>
  </r>
  <r>
    <x v="32"/>
    <x v="36"/>
    <x v="12"/>
    <x v="4"/>
    <x v="36"/>
    <x v="0"/>
    <x v="2"/>
    <x v="0"/>
    <x v="1"/>
    <x v="1"/>
    <x v="32"/>
    <x v="46"/>
    <x v="7"/>
    <x v="1"/>
  </r>
  <r>
    <x v="33"/>
    <x v="37"/>
    <x v="22"/>
    <x v="4"/>
    <x v="37"/>
    <x v="0"/>
    <x v="2"/>
    <x v="0"/>
    <x v="1"/>
    <x v="1"/>
    <x v="33"/>
    <x v="30"/>
    <x v="11"/>
    <x v="1"/>
  </r>
  <r>
    <x v="34"/>
    <x v="38"/>
    <x v="6"/>
    <x v="4"/>
    <x v="38"/>
    <x v="0"/>
    <x v="2"/>
    <x v="1"/>
    <x v="1"/>
    <x v="1"/>
    <x v="34"/>
    <x v="24"/>
    <x v="1"/>
    <x v="1"/>
  </r>
  <r>
    <x v="20"/>
    <x v="40"/>
    <x v="30"/>
    <x v="79"/>
    <x v="40"/>
    <x v="0"/>
    <x v="2"/>
    <x v="2"/>
    <x v="1"/>
    <x v="1"/>
    <x v="20"/>
    <x v="131"/>
    <x v="2"/>
    <x v="1"/>
  </r>
  <r>
    <x v="36"/>
    <x v="41"/>
    <x v="16"/>
    <x v="4"/>
    <x v="41"/>
    <x v="0"/>
    <x v="2"/>
    <x v="2"/>
    <x v="1"/>
    <x v="0"/>
    <x v="36"/>
    <x v="21"/>
    <x v="3"/>
    <x v="1"/>
  </r>
  <r>
    <x v="38"/>
    <x v="43"/>
    <x v="12"/>
    <x v="80"/>
    <x v="43"/>
    <x v="0"/>
    <x v="2"/>
    <x v="3"/>
    <x v="1"/>
    <x v="1"/>
    <x v="38"/>
    <x v="132"/>
    <x v="4"/>
    <x v="1"/>
  </r>
  <r>
    <x v="39"/>
    <x v="44"/>
    <x v="22"/>
    <x v="4"/>
    <x v="44"/>
    <x v="0"/>
    <x v="2"/>
    <x v="3"/>
    <x v="1"/>
    <x v="1"/>
    <x v="39"/>
    <x v="30"/>
    <x v="4"/>
    <x v="1"/>
  </r>
  <r>
    <x v="40"/>
    <x v="45"/>
    <x v="8"/>
    <x v="4"/>
    <x v="45"/>
    <x v="0"/>
    <x v="2"/>
    <x v="3"/>
    <x v="1"/>
    <x v="0"/>
    <x v="40"/>
    <x v="38"/>
    <x v="5"/>
    <x v="1"/>
  </r>
  <r>
    <x v="8"/>
    <x v="46"/>
    <x v="6"/>
    <x v="81"/>
    <x v="46"/>
    <x v="0"/>
    <x v="2"/>
    <x v="3"/>
    <x v="1"/>
    <x v="0"/>
    <x v="8"/>
    <x v="133"/>
    <x v="5"/>
    <x v="1"/>
  </r>
  <r>
    <x v="10"/>
    <x v="47"/>
    <x v="13"/>
    <x v="82"/>
    <x v="47"/>
    <x v="0"/>
    <x v="2"/>
    <x v="3"/>
    <x v="1"/>
    <x v="0"/>
    <x v="10"/>
    <x v="134"/>
    <x v="5"/>
    <x v="1"/>
  </r>
  <r>
    <x v="39"/>
    <x v="48"/>
    <x v="25"/>
    <x v="80"/>
    <x v="48"/>
    <x v="0"/>
    <x v="2"/>
    <x v="3"/>
    <x v="1"/>
    <x v="1"/>
    <x v="39"/>
    <x v="135"/>
    <x v="6"/>
    <x v="1"/>
  </r>
  <r>
    <x v="42"/>
    <x v="101"/>
    <x v="26"/>
    <x v="4"/>
    <x v="49"/>
    <x v="0"/>
    <x v="2"/>
    <x v="0"/>
    <x v="2"/>
    <x v="1"/>
    <x v="42"/>
    <x v="36"/>
    <x v="7"/>
    <x v="2"/>
  </r>
  <r>
    <x v="4"/>
    <x v="50"/>
    <x v="7"/>
    <x v="80"/>
    <x v="50"/>
    <x v="0"/>
    <x v="2"/>
    <x v="0"/>
    <x v="2"/>
    <x v="1"/>
    <x v="4"/>
    <x v="136"/>
    <x v="0"/>
    <x v="2"/>
  </r>
  <r>
    <x v="42"/>
    <x v="51"/>
    <x v="6"/>
    <x v="83"/>
    <x v="51"/>
    <x v="0"/>
    <x v="2"/>
    <x v="0"/>
    <x v="2"/>
    <x v="0"/>
    <x v="42"/>
    <x v="137"/>
    <x v="11"/>
    <x v="2"/>
  </r>
  <r>
    <x v="43"/>
    <x v="52"/>
    <x v="26"/>
    <x v="4"/>
    <x v="52"/>
    <x v="0"/>
    <x v="2"/>
    <x v="1"/>
    <x v="2"/>
    <x v="1"/>
    <x v="43"/>
    <x v="36"/>
    <x v="1"/>
    <x v="2"/>
  </r>
  <r>
    <x v="23"/>
    <x v="53"/>
    <x v="38"/>
    <x v="4"/>
    <x v="53"/>
    <x v="2"/>
    <x v="2"/>
    <x v="1"/>
    <x v="2"/>
    <x v="2"/>
    <x v="23"/>
    <x v="119"/>
    <x v="1"/>
    <x v="2"/>
  </r>
  <r>
    <x v="45"/>
    <x v="177"/>
    <x v="18"/>
    <x v="4"/>
    <x v="151"/>
    <x v="0"/>
    <x v="1"/>
    <x v="0"/>
    <x v="0"/>
    <x v="1"/>
    <x v="45"/>
    <x v="23"/>
    <x v="11"/>
    <x v="0"/>
  </r>
  <r>
    <x v="67"/>
    <x v="104"/>
    <x v="1"/>
    <x v="4"/>
    <x v="99"/>
    <x v="0"/>
    <x v="1"/>
    <x v="1"/>
    <x v="0"/>
    <x v="1"/>
    <x v="67"/>
    <x v="13"/>
    <x v="1"/>
    <x v="0"/>
  </r>
  <r>
    <x v="51"/>
    <x v="178"/>
    <x v="32"/>
    <x v="4"/>
    <x v="152"/>
    <x v="0"/>
    <x v="1"/>
    <x v="2"/>
    <x v="0"/>
    <x v="1"/>
    <x v="51"/>
    <x v="53"/>
    <x v="2"/>
    <x v="0"/>
  </r>
  <r>
    <x v="42"/>
    <x v="179"/>
    <x v="10"/>
    <x v="4"/>
    <x v="153"/>
    <x v="0"/>
    <x v="1"/>
    <x v="2"/>
    <x v="0"/>
    <x v="0"/>
    <x v="42"/>
    <x v="11"/>
    <x v="10"/>
    <x v="0"/>
  </r>
  <r>
    <x v="78"/>
    <x v="180"/>
    <x v="11"/>
    <x v="4"/>
    <x v="154"/>
    <x v="0"/>
    <x v="1"/>
    <x v="3"/>
    <x v="0"/>
    <x v="1"/>
    <x v="78"/>
    <x v="12"/>
    <x v="4"/>
    <x v="0"/>
  </r>
  <r>
    <x v="43"/>
    <x v="181"/>
    <x v="21"/>
    <x v="4"/>
    <x v="155"/>
    <x v="0"/>
    <x v="1"/>
    <x v="3"/>
    <x v="0"/>
    <x v="1"/>
    <x v="43"/>
    <x v="29"/>
    <x v="5"/>
    <x v="0"/>
  </r>
  <r>
    <x v="7"/>
    <x v="108"/>
    <x v="27"/>
    <x v="4"/>
    <x v="103"/>
    <x v="0"/>
    <x v="1"/>
    <x v="3"/>
    <x v="0"/>
    <x v="1"/>
    <x v="7"/>
    <x v="39"/>
    <x v="5"/>
    <x v="0"/>
  </r>
  <r>
    <x v="40"/>
    <x v="172"/>
    <x v="8"/>
    <x v="4"/>
    <x v="104"/>
    <x v="0"/>
    <x v="1"/>
    <x v="3"/>
    <x v="0"/>
    <x v="1"/>
    <x v="40"/>
    <x v="38"/>
    <x v="5"/>
    <x v="0"/>
  </r>
  <r>
    <x v="74"/>
    <x v="182"/>
    <x v="13"/>
    <x v="4"/>
    <x v="105"/>
    <x v="0"/>
    <x v="1"/>
    <x v="3"/>
    <x v="0"/>
    <x v="1"/>
    <x v="74"/>
    <x v="17"/>
    <x v="6"/>
    <x v="0"/>
  </r>
  <r>
    <x v="23"/>
    <x v="157"/>
    <x v="6"/>
    <x v="4"/>
    <x v="138"/>
    <x v="0"/>
    <x v="1"/>
    <x v="0"/>
    <x v="1"/>
    <x v="1"/>
    <x v="23"/>
    <x v="24"/>
    <x v="7"/>
    <x v="1"/>
  </r>
  <r>
    <x v="69"/>
    <x v="111"/>
    <x v="22"/>
    <x v="4"/>
    <x v="106"/>
    <x v="0"/>
    <x v="1"/>
    <x v="0"/>
    <x v="1"/>
    <x v="1"/>
    <x v="69"/>
    <x v="30"/>
    <x v="0"/>
    <x v="1"/>
  </r>
  <r>
    <x v="44"/>
    <x v="183"/>
    <x v="2"/>
    <x v="4"/>
    <x v="156"/>
    <x v="0"/>
    <x v="1"/>
    <x v="1"/>
    <x v="1"/>
    <x v="1"/>
    <x v="44"/>
    <x v="9"/>
    <x v="8"/>
    <x v="1"/>
  </r>
  <r>
    <x v="22"/>
    <x v="113"/>
    <x v="18"/>
    <x v="4"/>
    <x v="108"/>
    <x v="3"/>
    <x v="1"/>
    <x v="1"/>
    <x v="1"/>
    <x v="1"/>
    <x v="22"/>
    <x v="23"/>
    <x v="9"/>
    <x v="1"/>
  </r>
  <r>
    <x v="70"/>
    <x v="114"/>
    <x v="15"/>
    <x v="4"/>
    <x v="109"/>
    <x v="0"/>
    <x v="1"/>
    <x v="2"/>
    <x v="1"/>
    <x v="0"/>
    <x v="70"/>
    <x v="27"/>
    <x v="2"/>
    <x v="1"/>
  </r>
  <r>
    <x v="84"/>
    <x v="184"/>
    <x v="1"/>
    <x v="4"/>
    <x v="157"/>
    <x v="0"/>
    <x v="1"/>
    <x v="2"/>
    <x v="1"/>
    <x v="1"/>
    <x v="84"/>
    <x v="13"/>
    <x v="3"/>
    <x v="1"/>
  </r>
  <r>
    <x v="69"/>
    <x v="116"/>
    <x v="2"/>
    <x v="4"/>
    <x v="111"/>
    <x v="0"/>
    <x v="1"/>
    <x v="2"/>
    <x v="1"/>
    <x v="1"/>
    <x v="69"/>
    <x v="9"/>
    <x v="3"/>
    <x v="1"/>
  </r>
  <r>
    <x v="85"/>
    <x v="185"/>
    <x v="9"/>
    <x v="4"/>
    <x v="158"/>
    <x v="0"/>
    <x v="1"/>
    <x v="3"/>
    <x v="0"/>
    <x v="1"/>
    <x v="85"/>
    <x v="10"/>
    <x v="4"/>
    <x v="0"/>
  </r>
  <r>
    <x v="68"/>
    <x v="118"/>
    <x v="9"/>
    <x v="4"/>
    <x v="113"/>
    <x v="0"/>
    <x v="1"/>
    <x v="3"/>
    <x v="1"/>
    <x v="1"/>
    <x v="68"/>
    <x v="10"/>
    <x v="4"/>
    <x v="1"/>
  </r>
  <r>
    <x v="21"/>
    <x v="175"/>
    <x v="2"/>
    <x v="4"/>
    <x v="45"/>
    <x v="0"/>
    <x v="1"/>
    <x v="3"/>
    <x v="1"/>
    <x v="1"/>
    <x v="21"/>
    <x v="9"/>
    <x v="5"/>
    <x v="1"/>
  </r>
  <r>
    <x v="45"/>
    <x v="186"/>
    <x v="12"/>
    <x v="4"/>
    <x v="159"/>
    <x v="0"/>
    <x v="1"/>
    <x v="3"/>
    <x v="1"/>
    <x v="1"/>
    <x v="45"/>
    <x v="46"/>
    <x v="5"/>
    <x v="1"/>
  </r>
  <r>
    <x v="10"/>
    <x v="187"/>
    <x v="23"/>
    <x v="4"/>
    <x v="20"/>
    <x v="0"/>
    <x v="1"/>
    <x v="3"/>
    <x v="1"/>
    <x v="1"/>
    <x v="10"/>
    <x v="31"/>
    <x v="5"/>
    <x v="1"/>
  </r>
  <r>
    <x v="2"/>
    <x v="188"/>
    <x v="30"/>
    <x v="84"/>
    <x v="160"/>
    <x v="0"/>
    <x v="1"/>
    <x v="3"/>
    <x v="1"/>
    <x v="1"/>
    <x v="2"/>
    <x v="138"/>
    <x v="6"/>
    <x v="1"/>
  </r>
  <r>
    <x v="50"/>
    <x v="189"/>
    <x v="0"/>
    <x v="85"/>
    <x v="161"/>
    <x v="0"/>
    <x v="1"/>
    <x v="0"/>
    <x v="2"/>
    <x v="0"/>
    <x v="50"/>
    <x v="139"/>
    <x v="7"/>
    <x v="2"/>
  </r>
  <r>
    <x v="16"/>
    <x v="161"/>
    <x v="21"/>
    <x v="4"/>
    <x v="142"/>
    <x v="0"/>
    <x v="1"/>
    <x v="0"/>
    <x v="2"/>
    <x v="1"/>
    <x v="16"/>
    <x v="29"/>
    <x v="0"/>
    <x v="2"/>
  </r>
  <r>
    <x v="39"/>
    <x v="190"/>
    <x v="5"/>
    <x v="86"/>
    <x v="162"/>
    <x v="0"/>
    <x v="1"/>
    <x v="0"/>
    <x v="2"/>
    <x v="1"/>
    <x v="39"/>
    <x v="140"/>
    <x v="11"/>
    <x v="2"/>
  </r>
  <r>
    <x v="48"/>
    <x v="191"/>
    <x v="40"/>
    <x v="4"/>
    <x v="163"/>
    <x v="1"/>
    <x v="1"/>
    <x v="1"/>
    <x v="2"/>
    <x v="2"/>
    <x v="48"/>
    <x v="141"/>
    <x v="8"/>
    <x v="2"/>
  </r>
  <r>
    <x v="19"/>
    <x v="122"/>
    <x v="19"/>
    <x v="4"/>
    <x v="116"/>
    <x v="0"/>
    <x v="1"/>
    <x v="1"/>
    <x v="2"/>
    <x v="1"/>
    <x v="19"/>
    <x v="25"/>
    <x v="1"/>
    <x v="2"/>
  </r>
  <r>
    <x v="11"/>
    <x v="192"/>
    <x v="25"/>
    <x v="4"/>
    <x v="164"/>
    <x v="0"/>
    <x v="3"/>
    <x v="0"/>
    <x v="0"/>
    <x v="1"/>
    <x v="11"/>
    <x v="44"/>
    <x v="7"/>
    <x v="0"/>
  </r>
  <r>
    <x v="8"/>
    <x v="193"/>
    <x v="29"/>
    <x v="87"/>
    <x v="165"/>
    <x v="0"/>
    <x v="3"/>
    <x v="0"/>
    <x v="0"/>
    <x v="1"/>
    <x v="8"/>
    <x v="142"/>
    <x v="11"/>
    <x v="0"/>
  </r>
  <r>
    <x v="10"/>
    <x v="194"/>
    <x v="22"/>
    <x v="4"/>
    <x v="166"/>
    <x v="0"/>
    <x v="3"/>
    <x v="1"/>
    <x v="0"/>
    <x v="1"/>
    <x v="10"/>
    <x v="30"/>
    <x v="1"/>
    <x v="0"/>
  </r>
  <r>
    <x v="20"/>
    <x v="195"/>
    <x v="28"/>
    <x v="4"/>
    <x v="167"/>
    <x v="0"/>
    <x v="3"/>
    <x v="2"/>
    <x v="0"/>
    <x v="1"/>
    <x v="20"/>
    <x v="47"/>
    <x v="2"/>
    <x v="0"/>
  </r>
  <r>
    <x v="82"/>
    <x v="196"/>
    <x v="24"/>
    <x v="4"/>
    <x v="168"/>
    <x v="0"/>
    <x v="3"/>
    <x v="2"/>
    <x v="0"/>
    <x v="1"/>
    <x v="82"/>
    <x v="33"/>
    <x v="10"/>
    <x v="0"/>
  </r>
  <r>
    <x v="4"/>
    <x v="197"/>
    <x v="7"/>
    <x v="88"/>
    <x v="169"/>
    <x v="0"/>
    <x v="3"/>
    <x v="3"/>
    <x v="0"/>
    <x v="1"/>
    <x v="4"/>
    <x v="143"/>
    <x v="4"/>
    <x v="0"/>
  </r>
  <r>
    <x v="86"/>
    <x v="198"/>
    <x v="30"/>
    <x v="4"/>
    <x v="155"/>
    <x v="0"/>
    <x v="3"/>
    <x v="3"/>
    <x v="0"/>
    <x v="1"/>
    <x v="86"/>
    <x v="49"/>
    <x v="5"/>
    <x v="0"/>
  </r>
  <r>
    <x v="39"/>
    <x v="199"/>
    <x v="32"/>
    <x v="89"/>
    <x v="103"/>
    <x v="0"/>
    <x v="3"/>
    <x v="3"/>
    <x v="0"/>
    <x v="0"/>
    <x v="39"/>
    <x v="144"/>
    <x v="5"/>
    <x v="0"/>
  </r>
  <r>
    <x v="87"/>
    <x v="200"/>
    <x v="11"/>
    <x v="4"/>
    <x v="170"/>
    <x v="0"/>
    <x v="3"/>
    <x v="3"/>
    <x v="0"/>
    <x v="1"/>
    <x v="87"/>
    <x v="12"/>
    <x v="5"/>
    <x v="0"/>
  </r>
  <r>
    <x v="23"/>
    <x v="201"/>
    <x v="5"/>
    <x v="4"/>
    <x v="171"/>
    <x v="0"/>
    <x v="3"/>
    <x v="3"/>
    <x v="0"/>
    <x v="1"/>
    <x v="23"/>
    <x v="15"/>
    <x v="6"/>
    <x v="0"/>
  </r>
  <r>
    <x v="32"/>
    <x v="36"/>
    <x v="26"/>
    <x v="48"/>
    <x v="36"/>
    <x v="0"/>
    <x v="3"/>
    <x v="0"/>
    <x v="1"/>
    <x v="0"/>
    <x v="32"/>
    <x v="145"/>
    <x v="7"/>
    <x v="1"/>
  </r>
  <r>
    <x v="30"/>
    <x v="202"/>
    <x v="32"/>
    <x v="4"/>
    <x v="172"/>
    <x v="0"/>
    <x v="3"/>
    <x v="0"/>
    <x v="1"/>
    <x v="0"/>
    <x v="30"/>
    <x v="53"/>
    <x v="11"/>
    <x v="1"/>
  </r>
  <r>
    <x v="23"/>
    <x v="203"/>
    <x v="23"/>
    <x v="4"/>
    <x v="173"/>
    <x v="0"/>
    <x v="3"/>
    <x v="1"/>
    <x v="1"/>
    <x v="1"/>
    <x v="23"/>
    <x v="31"/>
    <x v="8"/>
    <x v="1"/>
  </r>
  <r>
    <x v="48"/>
    <x v="204"/>
    <x v="1"/>
    <x v="90"/>
    <x v="174"/>
    <x v="0"/>
    <x v="3"/>
    <x v="1"/>
    <x v="1"/>
    <x v="1"/>
    <x v="48"/>
    <x v="146"/>
    <x v="9"/>
    <x v="1"/>
  </r>
  <r>
    <x v="36"/>
    <x v="41"/>
    <x v="24"/>
    <x v="4"/>
    <x v="41"/>
    <x v="0"/>
    <x v="3"/>
    <x v="2"/>
    <x v="1"/>
    <x v="1"/>
    <x v="36"/>
    <x v="33"/>
    <x v="3"/>
    <x v="1"/>
  </r>
  <r>
    <x v="7"/>
    <x v="205"/>
    <x v="19"/>
    <x v="4"/>
    <x v="175"/>
    <x v="0"/>
    <x v="3"/>
    <x v="2"/>
    <x v="1"/>
    <x v="1"/>
    <x v="7"/>
    <x v="25"/>
    <x v="10"/>
    <x v="1"/>
  </r>
  <r>
    <x v="38"/>
    <x v="43"/>
    <x v="9"/>
    <x v="90"/>
    <x v="43"/>
    <x v="0"/>
    <x v="3"/>
    <x v="3"/>
    <x v="1"/>
    <x v="1"/>
    <x v="38"/>
    <x v="147"/>
    <x v="4"/>
    <x v="1"/>
  </r>
  <r>
    <x v="39"/>
    <x v="44"/>
    <x v="30"/>
    <x v="48"/>
    <x v="44"/>
    <x v="0"/>
    <x v="3"/>
    <x v="3"/>
    <x v="1"/>
    <x v="1"/>
    <x v="39"/>
    <x v="148"/>
    <x v="4"/>
    <x v="1"/>
  </r>
  <r>
    <x v="40"/>
    <x v="45"/>
    <x v="30"/>
    <x v="91"/>
    <x v="45"/>
    <x v="0"/>
    <x v="3"/>
    <x v="3"/>
    <x v="1"/>
    <x v="1"/>
    <x v="40"/>
    <x v="149"/>
    <x v="5"/>
    <x v="1"/>
  </r>
  <r>
    <x v="77"/>
    <x v="206"/>
    <x v="12"/>
    <x v="92"/>
    <x v="159"/>
    <x v="0"/>
    <x v="3"/>
    <x v="3"/>
    <x v="1"/>
    <x v="1"/>
    <x v="77"/>
    <x v="150"/>
    <x v="5"/>
    <x v="1"/>
  </r>
  <r>
    <x v="84"/>
    <x v="207"/>
    <x v="13"/>
    <x v="93"/>
    <x v="47"/>
    <x v="0"/>
    <x v="3"/>
    <x v="3"/>
    <x v="1"/>
    <x v="0"/>
    <x v="84"/>
    <x v="151"/>
    <x v="5"/>
    <x v="1"/>
  </r>
  <r>
    <x v="2"/>
    <x v="188"/>
    <x v="24"/>
    <x v="94"/>
    <x v="160"/>
    <x v="0"/>
    <x v="3"/>
    <x v="3"/>
    <x v="1"/>
    <x v="0"/>
    <x v="2"/>
    <x v="152"/>
    <x v="6"/>
    <x v="1"/>
  </r>
  <r>
    <x v="41"/>
    <x v="49"/>
    <x v="27"/>
    <x v="4"/>
    <x v="49"/>
    <x v="0"/>
    <x v="3"/>
    <x v="0"/>
    <x v="2"/>
    <x v="2"/>
    <x v="41"/>
    <x v="39"/>
    <x v="7"/>
    <x v="2"/>
  </r>
  <r>
    <x v="23"/>
    <x v="208"/>
    <x v="26"/>
    <x v="95"/>
    <x v="176"/>
    <x v="0"/>
    <x v="3"/>
    <x v="0"/>
    <x v="2"/>
    <x v="0"/>
    <x v="23"/>
    <x v="153"/>
    <x v="0"/>
    <x v="2"/>
  </r>
  <r>
    <x v="42"/>
    <x v="51"/>
    <x v="21"/>
    <x v="4"/>
    <x v="51"/>
    <x v="0"/>
    <x v="3"/>
    <x v="0"/>
    <x v="2"/>
    <x v="1"/>
    <x v="42"/>
    <x v="29"/>
    <x v="11"/>
    <x v="2"/>
  </r>
  <r>
    <x v="18"/>
    <x v="209"/>
    <x v="41"/>
    <x v="90"/>
    <x v="177"/>
    <x v="2"/>
    <x v="3"/>
    <x v="1"/>
    <x v="2"/>
    <x v="1"/>
    <x v="18"/>
    <x v="154"/>
    <x v="1"/>
    <x v="2"/>
  </r>
  <r>
    <x v="11"/>
    <x v="192"/>
    <x v="2"/>
    <x v="96"/>
    <x v="164"/>
    <x v="0"/>
    <x v="3"/>
    <x v="0"/>
    <x v="0"/>
    <x v="0"/>
    <x v="11"/>
    <x v="155"/>
    <x v="7"/>
    <x v="0"/>
  </r>
  <r>
    <x v="8"/>
    <x v="193"/>
    <x v="7"/>
    <x v="97"/>
    <x v="165"/>
    <x v="0"/>
    <x v="3"/>
    <x v="0"/>
    <x v="0"/>
    <x v="0"/>
    <x v="8"/>
    <x v="156"/>
    <x v="11"/>
    <x v="0"/>
  </r>
  <r>
    <x v="25"/>
    <x v="28"/>
    <x v="13"/>
    <x v="98"/>
    <x v="28"/>
    <x v="0"/>
    <x v="3"/>
    <x v="1"/>
    <x v="0"/>
    <x v="0"/>
    <x v="25"/>
    <x v="157"/>
    <x v="1"/>
    <x v="0"/>
  </r>
  <r>
    <x v="20"/>
    <x v="195"/>
    <x v="4"/>
    <x v="99"/>
    <x v="167"/>
    <x v="0"/>
    <x v="3"/>
    <x v="2"/>
    <x v="0"/>
    <x v="0"/>
    <x v="20"/>
    <x v="158"/>
    <x v="2"/>
    <x v="0"/>
  </r>
  <r>
    <x v="82"/>
    <x v="196"/>
    <x v="0"/>
    <x v="100"/>
    <x v="168"/>
    <x v="0"/>
    <x v="3"/>
    <x v="2"/>
    <x v="0"/>
    <x v="0"/>
    <x v="82"/>
    <x v="159"/>
    <x v="10"/>
    <x v="0"/>
  </r>
  <r>
    <x v="4"/>
    <x v="197"/>
    <x v="3"/>
    <x v="101"/>
    <x v="169"/>
    <x v="0"/>
    <x v="3"/>
    <x v="3"/>
    <x v="0"/>
    <x v="0"/>
    <x v="4"/>
    <x v="160"/>
    <x v="4"/>
    <x v="0"/>
  </r>
  <r>
    <x v="86"/>
    <x v="198"/>
    <x v="7"/>
    <x v="102"/>
    <x v="155"/>
    <x v="0"/>
    <x v="3"/>
    <x v="3"/>
    <x v="0"/>
    <x v="0"/>
    <x v="86"/>
    <x v="161"/>
    <x v="5"/>
    <x v="0"/>
  </r>
  <r>
    <x v="39"/>
    <x v="199"/>
    <x v="22"/>
    <x v="103"/>
    <x v="103"/>
    <x v="0"/>
    <x v="3"/>
    <x v="3"/>
    <x v="0"/>
    <x v="0"/>
    <x v="39"/>
    <x v="162"/>
    <x v="5"/>
    <x v="0"/>
  </r>
  <r>
    <x v="87"/>
    <x v="200"/>
    <x v="12"/>
    <x v="104"/>
    <x v="170"/>
    <x v="0"/>
    <x v="3"/>
    <x v="3"/>
    <x v="0"/>
    <x v="0"/>
    <x v="87"/>
    <x v="163"/>
    <x v="5"/>
    <x v="0"/>
  </r>
  <r>
    <x v="23"/>
    <x v="201"/>
    <x v="7"/>
    <x v="105"/>
    <x v="171"/>
    <x v="0"/>
    <x v="3"/>
    <x v="3"/>
    <x v="0"/>
    <x v="1"/>
    <x v="23"/>
    <x v="164"/>
    <x v="6"/>
    <x v="0"/>
  </r>
  <r>
    <x v="32"/>
    <x v="36"/>
    <x v="29"/>
    <x v="99"/>
    <x v="36"/>
    <x v="0"/>
    <x v="3"/>
    <x v="0"/>
    <x v="1"/>
    <x v="0"/>
    <x v="32"/>
    <x v="165"/>
    <x v="7"/>
    <x v="1"/>
  </r>
  <r>
    <x v="30"/>
    <x v="202"/>
    <x v="28"/>
    <x v="106"/>
    <x v="172"/>
    <x v="0"/>
    <x v="3"/>
    <x v="0"/>
    <x v="1"/>
    <x v="0"/>
    <x v="30"/>
    <x v="166"/>
    <x v="11"/>
    <x v="1"/>
  </r>
  <r>
    <x v="23"/>
    <x v="203"/>
    <x v="14"/>
    <x v="100"/>
    <x v="173"/>
    <x v="0"/>
    <x v="3"/>
    <x v="1"/>
    <x v="1"/>
    <x v="0"/>
    <x v="23"/>
    <x v="167"/>
    <x v="8"/>
    <x v="1"/>
  </r>
  <r>
    <x v="48"/>
    <x v="204"/>
    <x v="6"/>
    <x v="107"/>
    <x v="174"/>
    <x v="0"/>
    <x v="3"/>
    <x v="1"/>
    <x v="1"/>
    <x v="0"/>
    <x v="48"/>
    <x v="168"/>
    <x v="9"/>
    <x v="1"/>
  </r>
  <r>
    <x v="36"/>
    <x v="41"/>
    <x v="26"/>
    <x v="108"/>
    <x v="41"/>
    <x v="0"/>
    <x v="3"/>
    <x v="2"/>
    <x v="1"/>
    <x v="0"/>
    <x v="36"/>
    <x v="169"/>
    <x v="3"/>
    <x v="1"/>
  </r>
  <r>
    <x v="7"/>
    <x v="205"/>
    <x v="16"/>
    <x v="109"/>
    <x v="175"/>
    <x v="0"/>
    <x v="3"/>
    <x v="2"/>
    <x v="1"/>
    <x v="0"/>
    <x v="7"/>
    <x v="170"/>
    <x v="10"/>
    <x v="1"/>
  </r>
  <r>
    <x v="38"/>
    <x v="43"/>
    <x v="9"/>
    <x v="106"/>
    <x v="43"/>
    <x v="0"/>
    <x v="3"/>
    <x v="3"/>
    <x v="1"/>
    <x v="0"/>
    <x v="38"/>
    <x v="171"/>
    <x v="4"/>
    <x v="1"/>
  </r>
  <r>
    <x v="39"/>
    <x v="44"/>
    <x v="32"/>
    <x v="102"/>
    <x v="44"/>
    <x v="0"/>
    <x v="3"/>
    <x v="3"/>
    <x v="1"/>
    <x v="0"/>
    <x v="39"/>
    <x v="172"/>
    <x v="4"/>
    <x v="1"/>
  </r>
  <r>
    <x v="40"/>
    <x v="45"/>
    <x v="2"/>
    <x v="108"/>
    <x v="45"/>
    <x v="0"/>
    <x v="3"/>
    <x v="3"/>
    <x v="1"/>
    <x v="0"/>
    <x v="40"/>
    <x v="173"/>
    <x v="5"/>
    <x v="1"/>
  </r>
  <r>
    <x v="77"/>
    <x v="206"/>
    <x v="26"/>
    <x v="110"/>
    <x v="159"/>
    <x v="0"/>
    <x v="3"/>
    <x v="3"/>
    <x v="1"/>
    <x v="0"/>
    <x v="77"/>
    <x v="174"/>
    <x v="5"/>
    <x v="1"/>
  </r>
  <r>
    <x v="10"/>
    <x v="47"/>
    <x v="15"/>
    <x v="111"/>
    <x v="47"/>
    <x v="0"/>
    <x v="3"/>
    <x v="3"/>
    <x v="1"/>
    <x v="0"/>
    <x v="10"/>
    <x v="175"/>
    <x v="5"/>
    <x v="1"/>
  </r>
  <r>
    <x v="2"/>
    <x v="188"/>
    <x v="8"/>
    <x v="112"/>
    <x v="160"/>
    <x v="0"/>
    <x v="3"/>
    <x v="3"/>
    <x v="1"/>
    <x v="0"/>
    <x v="2"/>
    <x v="176"/>
    <x v="6"/>
    <x v="1"/>
  </r>
  <r>
    <x v="41"/>
    <x v="49"/>
    <x v="22"/>
    <x v="113"/>
    <x v="49"/>
    <x v="0"/>
    <x v="3"/>
    <x v="0"/>
    <x v="2"/>
    <x v="1"/>
    <x v="41"/>
    <x v="177"/>
    <x v="7"/>
    <x v="2"/>
  </r>
  <r>
    <x v="4"/>
    <x v="50"/>
    <x v="32"/>
    <x v="114"/>
    <x v="50"/>
    <x v="0"/>
    <x v="3"/>
    <x v="0"/>
    <x v="2"/>
    <x v="0"/>
    <x v="4"/>
    <x v="178"/>
    <x v="0"/>
    <x v="2"/>
  </r>
  <r>
    <x v="42"/>
    <x v="51"/>
    <x v="13"/>
    <x v="4"/>
    <x v="51"/>
    <x v="0"/>
    <x v="3"/>
    <x v="0"/>
    <x v="2"/>
    <x v="1"/>
    <x v="42"/>
    <x v="17"/>
    <x v="11"/>
    <x v="2"/>
  </r>
  <r>
    <x v="18"/>
    <x v="209"/>
    <x v="32"/>
    <x v="107"/>
    <x v="177"/>
    <x v="2"/>
    <x v="3"/>
    <x v="1"/>
    <x v="2"/>
    <x v="0"/>
    <x v="18"/>
    <x v="179"/>
    <x v="1"/>
    <x v="2"/>
  </r>
  <r>
    <x v="77"/>
    <x v="210"/>
    <x v="9"/>
    <x v="4"/>
    <x v="178"/>
    <x v="0"/>
    <x v="1"/>
    <x v="0"/>
    <x v="0"/>
    <x v="1"/>
    <x v="77"/>
    <x v="10"/>
    <x v="11"/>
    <x v="0"/>
  </r>
  <r>
    <x v="46"/>
    <x v="211"/>
    <x v="18"/>
    <x v="4"/>
    <x v="179"/>
    <x v="0"/>
    <x v="1"/>
    <x v="1"/>
    <x v="0"/>
    <x v="1"/>
    <x v="46"/>
    <x v="23"/>
    <x v="1"/>
    <x v="0"/>
  </r>
  <r>
    <x v="1"/>
    <x v="212"/>
    <x v="27"/>
    <x v="115"/>
    <x v="180"/>
    <x v="0"/>
    <x v="1"/>
    <x v="2"/>
    <x v="0"/>
    <x v="1"/>
    <x v="1"/>
    <x v="180"/>
    <x v="2"/>
    <x v="0"/>
  </r>
  <r>
    <x v="42"/>
    <x v="179"/>
    <x v="20"/>
    <x v="4"/>
    <x v="153"/>
    <x v="0"/>
    <x v="1"/>
    <x v="2"/>
    <x v="0"/>
    <x v="1"/>
    <x v="42"/>
    <x v="28"/>
    <x v="10"/>
    <x v="0"/>
  </r>
  <r>
    <x v="78"/>
    <x v="180"/>
    <x v="30"/>
    <x v="4"/>
    <x v="154"/>
    <x v="0"/>
    <x v="1"/>
    <x v="3"/>
    <x v="0"/>
    <x v="1"/>
    <x v="78"/>
    <x v="49"/>
    <x v="4"/>
    <x v="0"/>
  </r>
  <r>
    <x v="13"/>
    <x v="213"/>
    <x v="13"/>
    <x v="4"/>
    <x v="155"/>
    <x v="0"/>
    <x v="1"/>
    <x v="3"/>
    <x v="0"/>
    <x v="1"/>
    <x v="13"/>
    <x v="17"/>
    <x v="5"/>
    <x v="0"/>
  </r>
  <r>
    <x v="7"/>
    <x v="108"/>
    <x v="13"/>
    <x v="4"/>
    <x v="103"/>
    <x v="0"/>
    <x v="1"/>
    <x v="3"/>
    <x v="0"/>
    <x v="1"/>
    <x v="7"/>
    <x v="17"/>
    <x v="5"/>
    <x v="0"/>
  </r>
  <r>
    <x v="40"/>
    <x v="172"/>
    <x v="6"/>
    <x v="4"/>
    <x v="104"/>
    <x v="0"/>
    <x v="1"/>
    <x v="3"/>
    <x v="0"/>
    <x v="1"/>
    <x v="40"/>
    <x v="24"/>
    <x v="5"/>
    <x v="0"/>
  </r>
  <r>
    <x v="74"/>
    <x v="182"/>
    <x v="23"/>
    <x v="4"/>
    <x v="105"/>
    <x v="0"/>
    <x v="1"/>
    <x v="3"/>
    <x v="0"/>
    <x v="1"/>
    <x v="74"/>
    <x v="31"/>
    <x v="6"/>
    <x v="0"/>
  </r>
  <r>
    <x v="23"/>
    <x v="157"/>
    <x v="19"/>
    <x v="4"/>
    <x v="138"/>
    <x v="0"/>
    <x v="1"/>
    <x v="0"/>
    <x v="1"/>
    <x v="1"/>
    <x v="23"/>
    <x v="25"/>
    <x v="7"/>
    <x v="1"/>
  </r>
  <r>
    <x v="55"/>
    <x v="214"/>
    <x v="19"/>
    <x v="4"/>
    <x v="181"/>
    <x v="0"/>
    <x v="1"/>
    <x v="0"/>
    <x v="1"/>
    <x v="1"/>
    <x v="55"/>
    <x v="25"/>
    <x v="0"/>
    <x v="1"/>
  </r>
  <r>
    <x v="83"/>
    <x v="215"/>
    <x v="15"/>
    <x v="4"/>
    <x v="156"/>
    <x v="0"/>
    <x v="1"/>
    <x v="1"/>
    <x v="1"/>
    <x v="0"/>
    <x v="83"/>
    <x v="27"/>
    <x v="8"/>
    <x v="1"/>
  </r>
  <r>
    <x v="70"/>
    <x v="114"/>
    <x v="5"/>
    <x v="4"/>
    <x v="109"/>
    <x v="0"/>
    <x v="1"/>
    <x v="2"/>
    <x v="1"/>
    <x v="1"/>
    <x v="70"/>
    <x v="15"/>
    <x v="2"/>
    <x v="1"/>
  </r>
  <r>
    <x v="84"/>
    <x v="184"/>
    <x v="10"/>
    <x v="4"/>
    <x v="157"/>
    <x v="0"/>
    <x v="1"/>
    <x v="2"/>
    <x v="1"/>
    <x v="0"/>
    <x v="84"/>
    <x v="11"/>
    <x v="3"/>
    <x v="1"/>
  </r>
  <r>
    <x v="65"/>
    <x v="216"/>
    <x v="14"/>
    <x v="4"/>
    <x v="182"/>
    <x v="0"/>
    <x v="1"/>
    <x v="2"/>
    <x v="1"/>
    <x v="0"/>
    <x v="65"/>
    <x v="41"/>
    <x v="10"/>
    <x v="1"/>
  </r>
  <r>
    <x v="85"/>
    <x v="185"/>
    <x v="22"/>
    <x v="4"/>
    <x v="158"/>
    <x v="0"/>
    <x v="1"/>
    <x v="3"/>
    <x v="0"/>
    <x v="1"/>
    <x v="85"/>
    <x v="30"/>
    <x v="4"/>
    <x v="0"/>
  </r>
  <r>
    <x v="23"/>
    <x v="217"/>
    <x v="6"/>
    <x v="4"/>
    <x v="113"/>
    <x v="0"/>
    <x v="1"/>
    <x v="3"/>
    <x v="1"/>
    <x v="0"/>
    <x v="23"/>
    <x v="24"/>
    <x v="4"/>
    <x v="1"/>
  </r>
  <r>
    <x v="21"/>
    <x v="175"/>
    <x v="27"/>
    <x v="4"/>
    <x v="45"/>
    <x v="0"/>
    <x v="1"/>
    <x v="3"/>
    <x v="1"/>
    <x v="1"/>
    <x v="21"/>
    <x v="39"/>
    <x v="5"/>
    <x v="1"/>
  </r>
  <r>
    <x v="45"/>
    <x v="186"/>
    <x v="27"/>
    <x v="4"/>
    <x v="159"/>
    <x v="0"/>
    <x v="1"/>
    <x v="3"/>
    <x v="1"/>
    <x v="1"/>
    <x v="45"/>
    <x v="39"/>
    <x v="5"/>
    <x v="1"/>
  </r>
  <r>
    <x v="1"/>
    <x v="218"/>
    <x v="5"/>
    <x v="4"/>
    <x v="20"/>
    <x v="0"/>
    <x v="1"/>
    <x v="3"/>
    <x v="1"/>
    <x v="1"/>
    <x v="1"/>
    <x v="15"/>
    <x v="5"/>
    <x v="1"/>
  </r>
  <r>
    <x v="3"/>
    <x v="219"/>
    <x v="4"/>
    <x v="116"/>
    <x v="183"/>
    <x v="5"/>
    <x v="1"/>
    <x v="0"/>
    <x v="2"/>
    <x v="0"/>
    <x v="3"/>
    <x v="181"/>
    <x v="7"/>
    <x v="2"/>
  </r>
  <r>
    <x v="23"/>
    <x v="220"/>
    <x v="1"/>
    <x v="117"/>
    <x v="184"/>
    <x v="0"/>
    <x v="1"/>
    <x v="0"/>
    <x v="2"/>
    <x v="0"/>
    <x v="23"/>
    <x v="182"/>
    <x v="0"/>
    <x v="2"/>
  </r>
  <r>
    <x v="61"/>
    <x v="221"/>
    <x v="42"/>
    <x v="4"/>
    <x v="185"/>
    <x v="4"/>
    <x v="1"/>
    <x v="1"/>
    <x v="2"/>
    <x v="2"/>
    <x v="61"/>
    <x v="183"/>
    <x v="8"/>
    <x v="2"/>
  </r>
  <r>
    <x v="19"/>
    <x v="122"/>
    <x v="9"/>
    <x v="4"/>
    <x v="116"/>
    <x v="0"/>
    <x v="1"/>
    <x v="1"/>
    <x v="2"/>
    <x v="1"/>
    <x v="19"/>
    <x v="10"/>
    <x v="1"/>
    <x v="2"/>
  </r>
  <r>
    <x v="86"/>
    <x v="222"/>
    <x v="5"/>
    <x v="4"/>
    <x v="186"/>
    <x v="0"/>
    <x v="4"/>
    <x v="0"/>
    <x v="0"/>
    <x v="1"/>
    <x v="86"/>
    <x v="15"/>
    <x v="0"/>
    <x v="0"/>
  </r>
  <r>
    <x v="19"/>
    <x v="64"/>
    <x v="30"/>
    <x v="4"/>
    <x v="63"/>
    <x v="0"/>
    <x v="4"/>
    <x v="1"/>
    <x v="0"/>
    <x v="1"/>
    <x v="19"/>
    <x v="49"/>
    <x v="8"/>
    <x v="0"/>
  </r>
  <r>
    <x v="88"/>
    <x v="223"/>
    <x v="15"/>
    <x v="4"/>
    <x v="187"/>
    <x v="0"/>
    <x v="4"/>
    <x v="1"/>
    <x v="0"/>
    <x v="0"/>
    <x v="88"/>
    <x v="27"/>
    <x v="9"/>
    <x v="0"/>
  </r>
  <r>
    <x v="50"/>
    <x v="66"/>
    <x v="22"/>
    <x v="4"/>
    <x v="65"/>
    <x v="0"/>
    <x v="4"/>
    <x v="2"/>
    <x v="0"/>
    <x v="1"/>
    <x v="50"/>
    <x v="30"/>
    <x v="3"/>
    <x v="0"/>
  </r>
  <r>
    <x v="16"/>
    <x v="67"/>
    <x v="19"/>
    <x v="4"/>
    <x v="66"/>
    <x v="0"/>
    <x v="4"/>
    <x v="3"/>
    <x v="0"/>
    <x v="1"/>
    <x v="16"/>
    <x v="25"/>
    <x v="4"/>
    <x v="0"/>
  </r>
  <r>
    <x v="37"/>
    <x v="68"/>
    <x v="30"/>
    <x v="4"/>
    <x v="67"/>
    <x v="3"/>
    <x v="4"/>
    <x v="3"/>
    <x v="0"/>
    <x v="1"/>
    <x v="37"/>
    <x v="49"/>
    <x v="4"/>
    <x v="0"/>
  </r>
  <r>
    <x v="51"/>
    <x v="69"/>
    <x v="13"/>
    <x v="4"/>
    <x v="68"/>
    <x v="0"/>
    <x v="4"/>
    <x v="3"/>
    <x v="0"/>
    <x v="1"/>
    <x v="51"/>
    <x v="17"/>
    <x v="5"/>
    <x v="0"/>
  </r>
  <r>
    <x v="52"/>
    <x v="70"/>
    <x v="22"/>
    <x v="4"/>
    <x v="69"/>
    <x v="0"/>
    <x v="4"/>
    <x v="3"/>
    <x v="0"/>
    <x v="1"/>
    <x v="52"/>
    <x v="30"/>
    <x v="5"/>
    <x v="0"/>
  </r>
  <r>
    <x v="66"/>
    <x v="224"/>
    <x v="13"/>
    <x v="4"/>
    <x v="188"/>
    <x v="0"/>
    <x v="4"/>
    <x v="3"/>
    <x v="0"/>
    <x v="2"/>
    <x v="66"/>
    <x v="17"/>
    <x v="5"/>
    <x v="0"/>
  </r>
  <r>
    <x v="44"/>
    <x v="55"/>
    <x v="28"/>
    <x v="4"/>
    <x v="55"/>
    <x v="0"/>
    <x v="4"/>
    <x v="0"/>
    <x v="1"/>
    <x v="1"/>
    <x v="44"/>
    <x v="47"/>
    <x v="7"/>
    <x v="1"/>
  </r>
  <r>
    <x v="55"/>
    <x v="73"/>
    <x v="4"/>
    <x v="4"/>
    <x v="72"/>
    <x v="0"/>
    <x v="4"/>
    <x v="0"/>
    <x v="1"/>
    <x v="1"/>
    <x v="55"/>
    <x v="4"/>
    <x v="0"/>
    <x v="1"/>
  </r>
  <r>
    <x v="61"/>
    <x v="225"/>
    <x v="3"/>
    <x v="4"/>
    <x v="189"/>
    <x v="0"/>
    <x v="4"/>
    <x v="1"/>
    <x v="1"/>
    <x v="2"/>
    <x v="61"/>
    <x v="26"/>
    <x v="1"/>
    <x v="1"/>
  </r>
  <r>
    <x v="23"/>
    <x v="226"/>
    <x v="4"/>
    <x v="4"/>
    <x v="190"/>
    <x v="3"/>
    <x v="4"/>
    <x v="1"/>
    <x v="1"/>
    <x v="1"/>
    <x v="23"/>
    <x v="4"/>
    <x v="9"/>
    <x v="1"/>
  </r>
  <r>
    <x v="41"/>
    <x v="227"/>
    <x v="2"/>
    <x v="4"/>
    <x v="75"/>
    <x v="0"/>
    <x v="4"/>
    <x v="2"/>
    <x v="1"/>
    <x v="1"/>
    <x v="41"/>
    <x v="9"/>
    <x v="2"/>
    <x v="1"/>
  </r>
  <r>
    <x v="85"/>
    <x v="228"/>
    <x v="3"/>
    <x v="4"/>
    <x v="191"/>
    <x v="0"/>
    <x v="4"/>
    <x v="2"/>
    <x v="1"/>
    <x v="1"/>
    <x v="85"/>
    <x v="26"/>
    <x v="3"/>
    <x v="1"/>
  </r>
  <r>
    <x v="89"/>
    <x v="229"/>
    <x v="5"/>
    <x v="4"/>
    <x v="192"/>
    <x v="0"/>
    <x v="4"/>
    <x v="2"/>
    <x v="1"/>
    <x v="1"/>
    <x v="89"/>
    <x v="15"/>
    <x v="10"/>
    <x v="1"/>
  </r>
  <r>
    <x v="29"/>
    <x v="79"/>
    <x v="25"/>
    <x v="4"/>
    <x v="78"/>
    <x v="0"/>
    <x v="4"/>
    <x v="3"/>
    <x v="1"/>
    <x v="2"/>
    <x v="29"/>
    <x v="44"/>
    <x v="4"/>
    <x v="1"/>
  </r>
  <r>
    <x v="59"/>
    <x v="80"/>
    <x v="26"/>
    <x v="4"/>
    <x v="79"/>
    <x v="0"/>
    <x v="4"/>
    <x v="3"/>
    <x v="1"/>
    <x v="1"/>
    <x v="59"/>
    <x v="36"/>
    <x v="5"/>
    <x v="1"/>
  </r>
  <r>
    <x v="48"/>
    <x v="230"/>
    <x v="32"/>
    <x v="4"/>
    <x v="193"/>
    <x v="5"/>
    <x v="4"/>
    <x v="3"/>
    <x v="1"/>
    <x v="0"/>
    <x v="48"/>
    <x v="53"/>
    <x v="5"/>
    <x v="1"/>
  </r>
  <r>
    <x v="90"/>
    <x v="231"/>
    <x v="2"/>
    <x v="4"/>
    <x v="194"/>
    <x v="0"/>
    <x v="4"/>
    <x v="3"/>
    <x v="1"/>
    <x v="1"/>
    <x v="90"/>
    <x v="9"/>
    <x v="5"/>
    <x v="1"/>
  </r>
  <r>
    <x v="49"/>
    <x v="232"/>
    <x v="25"/>
    <x v="118"/>
    <x v="195"/>
    <x v="0"/>
    <x v="4"/>
    <x v="3"/>
    <x v="1"/>
    <x v="1"/>
    <x v="49"/>
    <x v="184"/>
    <x v="6"/>
    <x v="1"/>
  </r>
  <r>
    <x v="60"/>
    <x v="85"/>
    <x v="11"/>
    <x v="119"/>
    <x v="84"/>
    <x v="0"/>
    <x v="4"/>
    <x v="0"/>
    <x v="2"/>
    <x v="0"/>
    <x v="60"/>
    <x v="185"/>
    <x v="7"/>
    <x v="2"/>
  </r>
  <r>
    <x v="23"/>
    <x v="233"/>
    <x v="32"/>
    <x v="120"/>
    <x v="196"/>
    <x v="5"/>
    <x v="4"/>
    <x v="0"/>
    <x v="2"/>
    <x v="0"/>
    <x v="23"/>
    <x v="186"/>
    <x v="11"/>
    <x v="2"/>
  </r>
  <r>
    <x v="1"/>
    <x v="234"/>
    <x v="29"/>
    <x v="4"/>
    <x v="197"/>
    <x v="0"/>
    <x v="4"/>
    <x v="0"/>
    <x v="2"/>
    <x v="1"/>
    <x v="1"/>
    <x v="48"/>
    <x v="11"/>
    <x v="2"/>
  </r>
  <r>
    <x v="61"/>
    <x v="88"/>
    <x v="1"/>
    <x v="4"/>
    <x v="87"/>
    <x v="0"/>
    <x v="4"/>
    <x v="1"/>
    <x v="2"/>
    <x v="1"/>
    <x v="61"/>
    <x v="13"/>
    <x v="8"/>
    <x v="2"/>
  </r>
  <r>
    <x v="70"/>
    <x v="235"/>
    <x v="16"/>
    <x v="4"/>
    <x v="198"/>
    <x v="0"/>
    <x v="4"/>
    <x v="1"/>
    <x v="2"/>
    <x v="1"/>
    <x v="70"/>
    <x v="21"/>
    <x v="1"/>
    <x v="2"/>
  </r>
  <r>
    <x v="40"/>
    <x v="236"/>
    <x v="0"/>
    <x v="4"/>
    <x v="199"/>
    <x v="0"/>
    <x v="3"/>
    <x v="0"/>
    <x v="0"/>
    <x v="1"/>
    <x v="40"/>
    <x v="32"/>
    <x v="7"/>
    <x v="0"/>
  </r>
  <r>
    <x v="77"/>
    <x v="210"/>
    <x v="13"/>
    <x v="4"/>
    <x v="178"/>
    <x v="0"/>
    <x v="3"/>
    <x v="0"/>
    <x v="0"/>
    <x v="1"/>
    <x v="77"/>
    <x v="17"/>
    <x v="11"/>
    <x v="0"/>
  </r>
  <r>
    <x v="84"/>
    <x v="237"/>
    <x v="15"/>
    <x v="4"/>
    <x v="166"/>
    <x v="0"/>
    <x v="3"/>
    <x v="1"/>
    <x v="0"/>
    <x v="0"/>
    <x v="84"/>
    <x v="27"/>
    <x v="1"/>
    <x v="0"/>
  </r>
  <r>
    <x v="82"/>
    <x v="196"/>
    <x v="1"/>
    <x v="4"/>
    <x v="168"/>
    <x v="0"/>
    <x v="3"/>
    <x v="2"/>
    <x v="0"/>
    <x v="1"/>
    <x v="82"/>
    <x v="13"/>
    <x v="10"/>
    <x v="0"/>
  </r>
  <r>
    <x v="4"/>
    <x v="197"/>
    <x v="6"/>
    <x v="4"/>
    <x v="169"/>
    <x v="0"/>
    <x v="3"/>
    <x v="3"/>
    <x v="0"/>
    <x v="1"/>
    <x v="4"/>
    <x v="24"/>
    <x v="4"/>
    <x v="0"/>
  </r>
  <r>
    <x v="86"/>
    <x v="198"/>
    <x v="16"/>
    <x v="4"/>
    <x v="155"/>
    <x v="0"/>
    <x v="3"/>
    <x v="3"/>
    <x v="0"/>
    <x v="1"/>
    <x v="86"/>
    <x v="21"/>
    <x v="5"/>
    <x v="0"/>
  </r>
  <r>
    <x v="39"/>
    <x v="199"/>
    <x v="27"/>
    <x v="4"/>
    <x v="103"/>
    <x v="0"/>
    <x v="3"/>
    <x v="3"/>
    <x v="0"/>
    <x v="2"/>
    <x v="39"/>
    <x v="39"/>
    <x v="5"/>
    <x v="0"/>
  </r>
  <r>
    <x v="87"/>
    <x v="200"/>
    <x v="15"/>
    <x v="4"/>
    <x v="170"/>
    <x v="0"/>
    <x v="3"/>
    <x v="3"/>
    <x v="0"/>
    <x v="1"/>
    <x v="87"/>
    <x v="27"/>
    <x v="5"/>
    <x v="0"/>
  </r>
  <r>
    <x v="74"/>
    <x v="182"/>
    <x v="29"/>
    <x v="4"/>
    <x v="105"/>
    <x v="0"/>
    <x v="3"/>
    <x v="3"/>
    <x v="0"/>
    <x v="1"/>
    <x v="74"/>
    <x v="48"/>
    <x v="6"/>
    <x v="0"/>
  </r>
  <r>
    <x v="25"/>
    <x v="238"/>
    <x v="0"/>
    <x v="4"/>
    <x v="200"/>
    <x v="0"/>
    <x v="3"/>
    <x v="0"/>
    <x v="1"/>
    <x v="1"/>
    <x v="25"/>
    <x v="32"/>
    <x v="7"/>
    <x v="1"/>
  </r>
  <r>
    <x v="30"/>
    <x v="202"/>
    <x v="18"/>
    <x v="4"/>
    <x v="172"/>
    <x v="0"/>
    <x v="3"/>
    <x v="0"/>
    <x v="1"/>
    <x v="1"/>
    <x v="30"/>
    <x v="23"/>
    <x v="11"/>
    <x v="1"/>
  </r>
  <r>
    <x v="83"/>
    <x v="215"/>
    <x v="2"/>
    <x v="4"/>
    <x v="156"/>
    <x v="0"/>
    <x v="3"/>
    <x v="1"/>
    <x v="1"/>
    <x v="2"/>
    <x v="83"/>
    <x v="9"/>
    <x v="8"/>
    <x v="1"/>
  </r>
  <r>
    <x v="36"/>
    <x v="41"/>
    <x v="18"/>
    <x v="4"/>
    <x v="41"/>
    <x v="0"/>
    <x v="3"/>
    <x v="2"/>
    <x v="1"/>
    <x v="1"/>
    <x v="36"/>
    <x v="23"/>
    <x v="3"/>
    <x v="1"/>
  </r>
  <r>
    <x v="65"/>
    <x v="216"/>
    <x v="22"/>
    <x v="4"/>
    <x v="182"/>
    <x v="0"/>
    <x v="3"/>
    <x v="2"/>
    <x v="1"/>
    <x v="1"/>
    <x v="65"/>
    <x v="30"/>
    <x v="10"/>
    <x v="1"/>
  </r>
  <r>
    <x v="22"/>
    <x v="239"/>
    <x v="30"/>
    <x v="4"/>
    <x v="66"/>
    <x v="0"/>
    <x v="3"/>
    <x v="3"/>
    <x v="0"/>
    <x v="2"/>
    <x v="22"/>
    <x v="49"/>
    <x v="4"/>
    <x v="0"/>
  </r>
  <r>
    <x v="39"/>
    <x v="44"/>
    <x v="7"/>
    <x v="4"/>
    <x v="44"/>
    <x v="0"/>
    <x v="3"/>
    <x v="3"/>
    <x v="1"/>
    <x v="2"/>
    <x v="39"/>
    <x v="7"/>
    <x v="4"/>
    <x v="1"/>
  </r>
  <r>
    <x v="45"/>
    <x v="186"/>
    <x v="27"/>
    <x v="121"/>
    <x v="159"/>
    <x v="0"/>
    <x v="3"/>
    <x v="3"/>
    <x v="1"/>
    <x v="1"/>
    <x v="45"/>
    <x v="187"/>
    <x v="5"/>
    <x v="1"/>
  </r>
  <r>
    <x v="67"/>
    <x v="240"/>
    <x v="3"/>
    <x v="4"/>
    <x v="201"/>
    <x v="0"/>
    <x v="3"/>
    <x v="3"/>
    <x v="1"/>
    <x v="2"/>
    <x v="67"/>
    <x v="26"/>
    <x v="5"/>
    <x v="1"/>
  </r>
  <r>
    <x v="3"/>
    <x v="219"/>
    <x v="9"/>
    <x v="4"/>
    <x v="183"/>
    <x v="5"/>
    <x v="3"/>
    <x v="0"/>
    <x v="2"/>
    <x v="1"/>
    <x v="3"/>
    <x v="10"/>
    <x v="7"/>
    <x v="2"/>
  </r>
  <r>
    <x v="23"/>
    <x v="241"/>
    <x v="25"/>
    <x v="4"/>
    <x v="184"/>
    <x v="0"/>
    <x v="3"/>
    <x v="0"/>
    <x v="2"/>
    <x v="1"/>
    <x v="23"/>
    <x v="44"/>
    <x v="0"/>
    <x v="2"/>
  </r>
  <r>
    <x v="61"/>
    <x v="221"/>
    <x v="43"/>
    <x v="4"/>
    <x v="185"/>
    <x v="4"/>
    <x v="3"/>
    <x v="1"/>
    <x v="2"/>
    <x v="2"/>
    <x v="61"/>
    <x v="188"/>
    <x v="8"/>
    <x v="2"/>
  </r>
  <r>
    <x v="20"/>
    <x v="242"/>
    <x v="9"/>
    <x v="4"/>
    <x v="202"/>
    <x v="2"/>
    <x v="3"/>
    <x v="1"/>
    <x v="2"/>
    <x v="1"/>
    <x v="20"/>
    <x v="10"/>
    <x v="1"/>
    <x v="2"/>
  </r>
  <r>
    <x v="66"/>
    <x v="103"/>
    <x v="19"/>
    <x v="122"/>
    <x v="98"/>
    <x v="0"/>
    <x v="1"/>
    <x v="0"/>
    <x v="0"/>
    <x v="1"/>
    <x v="66"/>
    <x v="189"/>
    <x v="11"/>
    <x v="0"/>
  </r>
  <r>
    <x v="67"/>
    <x v="104"/>
    <x v="30"/>
    <x v="44"/>
    <x v="99"/>
    <x v="0"/>
    <x v="1"/>
    <x v="1"/>
    <x v="0"/>
    <x v="1"/>
    <x v="67"/>
    <x v="190"/>
    <x v="1"/>
    <x v="0"/>
  </r>
  <r>
    <x v="39"/>
    <x v="105"/>
    <x v="7"/>
    <x v="123"/>
    <x v="100"/>
    <x v="0"/>
    <x v="1"/>
    <x v="2"/>
    <x v="0"/>
    <x v="1"/>
    <x v="39"/>
    <x v="191"/>
    <x v="2"/>
    <x v="0"/>
  </r>
  <r>
    <x v="41"/>
    <x v="106"/>
    <x v="18"/>
    <x v="122"/>
    <x v="101"/>
    <x v="0"/>
    <x v="1"/>
    <x v="2"/>
    <x v="0"/>
    <x v="0"/>
    <x v="41"/>
    <x v="192"/>
    <x v="10"/>
    <x v="0"/>
  </r>
  <r>
    <x v="54"/>
    <x v="155"/>
    <x v="19"/>
    <x v="124"/>
    <x v="137"/>
    <x v="0"/>
    <x v="1"/>
    <x v="3"/>
    <x v="0"/>
    <x v="1"/>
    <x v="54"/>
    <x v="193"/>
    <x v="4"/>
    <x v="0"/>
  </r>
  <r>
    <x v="63"/>
    <x v="156"/>
    <x v="14"/>
    <x v="125"/>
    <x v="102"/>
    <x v="0"/>
    <x v="1"/>
    <x v="3"/>
    <x v="0"/>
    <x v="0"/>
    <x v="63"/>
    <x v="194"/>
    <x v="5"/>
    <x v="0"/>
  </r>
  <r>
    <x v="7"/>
    <x v="108"/>
    <x v="8"/>
    <x v="126"/>
    <x v="103"/>
    <x v="0"/>
    <x v="1"/>
    <x v="3"/>
    <x v="0"/>
    <x v="0"/>
    <x v="7"/>
    <x v="195"/>
    <x v="5"/>
    <x v="0"/>
  </r>
  <r>
    <x v="40"/>
    <x v="172"/>
    <x v="3"/>
    <x v="127"/>
    <x v="104"/>
    <x v="0"/>
    <x v="1"/>
    <x v="3"/>
    <x v="0"/>
    <x v="1"/>
    <x v="40"/>
    <x v="196"/>
    <x v="5"/>
    <x v="0"/>
  </r>
  <r>
    <x v="23"/>
    <x v="110"/>
    <x v="3"/>
    <x v="128"/>
    <x v="105"/>
    <x v="0"/>
    <x v="1"/>
    <x v="3"/>
    <x v="0"/>
    <x v="1"/>
    <x v="23"/>
    <x v="197"/>
    <x v="6"/>
    <x v="0"/>
  </r>
  <r>
    <x v="23"/>
    <x v="157"/>
    <x v="14"/>
    <x v="129"/>
    <x v="138"/>
    <x v="0"/>
    <x v="1"/>
    <x v="0"/>
    <x v="1"/>
    <x v="0"/>
    <x v="23"/>
    <x v="198"/>
    <x v="7"/>
    <x v="1"/>
  </r>
  <r>
    <x v="69"/>
    <x v="111"/>
    <x v="20"/>
    <x v="130"/>
    <x v="106"/>
    <x v="0"/>
    <x v="1"/>
    <x v="0"/>
    <x v="1"/>
    <x v="1"/>
    <x v="69"/>
    <x v="199"/>
    <x v="0"/>
    <x v="1"/>
  </r>
  <r>
    <x v="60"/>
    <x v="173"/>
    <x v="12"/>
    <x v="126"/>
    <x v="148"/>
    <x v="0"/>
    <x v="1"/>
    <x v="1"/>
    <x v="1"/>
    <x v="1"/>
    <x v="60"/>
    <x v="200"/>
    <x v="8"/>
    <x v="1"/>
  </r>
  <r>
    <x v="22"/>
    <x v="113"/>
    <x v="10"/>
    <x v="131"/>
    <x v="108"/>
    <x v="3"/>
    <x v="1"/>
    <x v="1"/>
    <x v="1"/>
    <x v="0"/>
    <x v="22"/>
    <x v="201"/>
    <x v="9"/>
    <x v="1"/>
  </r>
  <r>
    <x v="70"/>
    <x v="114"/>
    <x v="29"/>
    <x v="132"/>
    <x v="109"/>
    <x v="0"/>
    <x v="1"/>
    <x v="2"/>
    <x v="1"/>
    <x v="0"/>
    <x v="70"/>
    <x v="202"/>
    <x v="2"/>
    <x v="1"/>
  </r>
  <r>
    <x v="84"/>
    <x v="184"/>
    <x v="6"/>
    <x v="127"/>
    <x v="157"/>
    <x v="0"/>
    <x v="1"/>
    <x v="2"/>
    <x v="1"/>
    <x v="0"/>
    <x v="84"/>
    <x v="203"/>
    <x v="3"/>
    <x v="1"/>
  </r>
  <r>
    <x v="69"/>
    <x v="116"/>
    <x v="27"/>
    <x v="122"/>
    <x v="111"/>
    <x v="0"/>
    <x v="1"/>
    <x v="2"/>
    <x v="1"/>
    <x v="1"/>
    <x v="69"/>
    <x v="204"/>
    <x v="3"/>
    <x v="1"/>
  </r>
  <r>
    <x v="72"/>
    <x v="117"/>
    <x v="2"/>
    <x v="133"/>
    <x v="112"/>
    <x v="0"/>
    <x v="1"/>
    <x v="3"/>
    <x v="0"/>
    <x v="1"/>
    <x v="72"/>
    <x v="205"/>
    <x v="4"/>
    <x v="0"/>
  </r>
  <r>
    <x v="68"/>
    <x v="118"/>
    <x v="14"/>
    <x v="134"/>
    <x v="113"/>
    <x v="0"/>
    <x v="1"/>
    <x v="3"/>
    <x v="1"/>
    <x v="0"/>
    <x v="68"/>
    <x v="206"/>
    <x v="4"/>
    <x v="1"/>
  </r>
  <r>
    <x v="21"/>
    <x v="175"/>
    <x v="9"/>
    <x v="135"/>
    <x v="45"/>
    <x v="0"/>
    <x v="1"/>
    <x v="3"/>
    <x v="1"/>
    <x v="0"/>
    <x v="21"/>
    <x v="207"/>
    <x v="5"/>
    <x v="1"/>
  </r>
  <r>
    <x v="0"/>
    <x v="19"/>
    <x v="6"/>
    <x v="4"/>
    <x v="19"/>
    <x v="0"/>
    <x v="1"/>
    <x v="3"/>
    <x v="1"/>
    <x v="0"/>
    <x v="0"/>
    <x v="24"/>
    <x v="5"/>
    <x v="1"/>
  </r>
  <r>
    <x v="10"/>
    <x v="187"/>
    <x v="36"/>
    <x v="136"/>
    <x v="20"/>
    <x v="0"/>
    <x v="1"/>
    <x v="3"/>
    <x v="1"/>
    <x v="1"/>
    <x v="10"/>
    <x v="208"/>
    <x v="5"/>
    <x v="1"/>
  </r>
  <r>
    <x v="73"/>
    <x v="120"/>
    <x v="8"/>
    <x v="4"/>
    <x v="115"/>
    <x v="0"/>
    <x v="1"/>
    <x v="0"/>
    <x v="2"/>
    <x v="1"/>
    <x v="73"/>
    <x v="38"/>
    <x v="7"/>
    <x v="2"/>
  </r>
  <r>
    <x v="16"/>
    <x v="161"/>
    <x v="28"/>
    <x v="137"/>
    <x v="142"/>
    <x v="0"/>
    <x v="1"/>
    <x v="0"/>
    <x v="2"/>
    <x v="0"/>
    <x v="16"/>
    <x v="209"/>
    <x v="0"/>
    <x v="2"/>
  </r>
  <r>
    <x v="37"/>
    <x v="121"/>
    <x v="4"/>
    <x v="138"/>
    <x v="23"/>
    <x v="0"/>
    <x v="1"/>
    <x v="0"/>
    <x v="2"/>
    <x v="1"/>
    <x v="37"/>
    <x v="210"/>
    <x v="11"/>
    <x v="2"/>
  </r>
  <r>
    <x v="83"/>
    <x v="176"/>
    <x v="40"/>
    <x v="126"/>
    <x v="150"/>
    <x v="0"/>
    <x v="1"/>
    <x v="1"/>
    <x v="2"/>
    <x v="1"/>
    <x v="83"/>
    <x v="211"/>
    <x v="8"/>
    <x v="2"/>
  </r>
  <r>
    <x v="19"/>
    <x v="122"/>
    <x v="25"/>
    <x v="131"/>
    <x v="116"/>
    <x v="0"/>
    <x v="1"/>
    <x v="1"/>
    <x v="2"/>
    <x v="1"/>
    <x v="19"/>
    <x v="212"/>
    <x v="1"/>
    <x v="2"/>
  </r>
  <r>
    <x v="45"/>
    <x v="177"/>
    <x v="19"/>
    <x v="4"/>
    <x v="151"/>
    <x v="0"/>
    <x v="1"/>
    <x v="0"/>
    <x v="0"/>
    <x v="1"/>
    <x v="45"/>
    <x v="25"/>
    <x v="11"/>
    <x v="0"/>
  </r>
  <r>
    <x v="67"/>
    <x v="104"/>
    <x v="28"/>
    <x v="4"/>
    <x v="99"/>
    <x v="0"/>
    <x v="1"/>
    <x v="1"/>
    <x v="0"/>
    <x v="1"/>
    <x v="67"/>
    <x v="47"/>
    <x v="1"/>
    <x v="0"/>
  </r>
  <r>
    <x v="51"/>
    <x v="178"/>
    <x v="5"/>
    <x v="4"/>
    <x v="152"/>
    <x v="0"/>
    <x v="1"/>
    <x v="2"/>
    <x v="0"/>
    <x v="1"/>
    <x v="51"/>
    <x v="15"/>
    <x v="2"/>
    <x v="0"/>
  </r>
  <r>
    <x v="42"/>
    <x v="179"/>
    <x v="32"/>
    <x v="4"/>
    <x v="153"/>
    <x v="0"/>
    <x v="1"/>
    <x v="2"/>
    <x v="0"/>
    <x v="1"/>
    <x v="42"/>
    <x v="53"/>
    <x v="10"/>
    <x v="0"/>
  </r>
  <r>
    <x v="78"/>
    <x v="180"/>
    <x v="7"/>
    <x v="4"/>
    <x v="154"/>
    <x v="0"/>
    <x v="1"/>
    <x v="3"/>
    <x v="0"/>
    <x v="1"/>
    <x v="78"/>
    <x v="7"/>
    <x v="4"/>
    <x v="0"/>
  </r>
  <r>
    <x v="7"/>
    <x v="108"/>
    <x v="15"/>
    <x v="4"/>
    <x v="103"/>
    <x v="0"/>
    <x v="1"/>
    <x v="3"/>
    <x v="0"/>
    <x v="1"/>
    <x v="7"/>
    <x v="27"/>
    <x v="5"/>
    <x v="0"/>
  </r>
  <r>
    <x v="40"/>
    <x v="172"/>
    <x v="20"/>
    <x v="4"/>
    <x v="104"/>
    <x v="0"/>
    <x v="1"/>
    <x v="3"/>
    <x v="0"/>
    <x v="2"/>
    <x v="40"/>
    <x v="28"/>
    <x v="5"/>
    <x v="0"/>
  </r>
  <r>
    <x v="74"/>
    <x v="182"/>
    <x v="19"/>
    <x v="4"/>
    <x v="105"/>
    <x v="0"/>
    <x v="1"/>
    <x v="3"/>
    <x v="0"/>
    <x v="1"/>
    <x v="74"/>
    <x v="25"/>
    <x v="6"/>
    <x v="0"/>
  </r>
  <r>
    <x v="23"/>
    <x v="157"/>
    <x v="2"/>
    <x v="4"/>
    <x v="138"/>
    <x v="0"/>
    <x v="1"/>
    <x v="0"/>
    <x v="1"/>
    <x v="1"/>
    <x v="23"/>
    <x v="9"/>
    <x v="7"/>
    <x v="1"/>
  </r>
  <r>
    <x v="55"/>
    <x v="214"/>
    <x v="16"/>
    <x v="4"/>
    <x v="181"/>
    <x v="0"/>
    <x v="1"/>
    <x v="0"/>
    <x v="1"/>
    <x v="1"/>
    <x v="55"/>
    <x v="21"/>
    <x v="0"/>
    <x v="1"/>
  </r>
  <r>
    <x v="44"/>
    <x v="183"/>
    <x v="9"/>
    <x v="4"/>
    <x v="156"/>
    <x v="0"/>
    <x v="1"/>
    <x v="1"/>
    <x v="1"/>
    <x v="1"/>
    <x v="44"/>
    <x v="10"/>
    <x v="8"/>
    <x v="1"/>
  </r>
  <r>
    <x v="22"/>
    <x v="113"/>
    <x v="29"/>
    <x v="4"/>
    <x v="108"/>
    <x v="3"/>
    <x v="1"/>
    <x v="1"/>
    <x v="1"/>
    <x v="1"/>
    <x v="22"/>
    <x v="48"/>
    <x v="9"/>
    <x v="1"/>
  </r>
  <r>
    <x v="70"/>
    <x v="114"/>
    <x v="4"/>
    <x v="4"/>
    <x v="109"/>
    <x v="0"/>
    <x v="1"/>
    <x v="2"/>
    <x v="1"/>
    <x v="1"/>
    <x v="70"/>
    <x v="4"/>
    <x v="2"/>
    <x v="1"/>
  </r>
  <r>
    <x v="84"/>
    <x v="184"/>
    <x v="6"/>
    <x v="4"/>
    <x v="157"/>
    <x v="0"/>
    <x v="1"/>
    <x v="2"/>
    <x v="1"/>
    <x v="1"/>
    <x v="84"/>
    <x v="24"/>
    <x v="3"/>
    <x v="1"/>
  </r>
  <r>
    <x v="69"/>
    <x v="116"/>
    <x v="16"/>
    <x v="4"/>
    <x v="111"/>
    <x v="0"/>
    <x v="1"/>
    <x v="2"/>
    <x v="1"/>
    <x v="1"/>
    <x v="69"/>
    <x v="21"/>
    <x v="3"/>
    <x v="1"/>
  </r>
  <r>
    <x v="85"/>
    <x v="185"/>
    <x v="20"/>
    <x v="4"/>
    <x v="158"/>
    <x v="0"/>
    <x v="1"/>
    <x v="3"/>
    <x v="0"/>
    <x v="2"/>
    <x v="85"/>
    <x v="28"/>
    <x v="4"/>
    <x v="0"/>
  </r>
  <r>
    <x v="21"/>
    <x v="175"/>
    <x v="32"/>
    <x v="4"/>
    <x v="45"/>
    <x v="0"/>
    <x v="1"/>
    <x v="3"/>
    <x v="1"/>
    <x v="1"/>
    <x v="21"/>
    <x v="53"/>
    <x v="5"/>
    <x v="1"/>
  </r>
  <r>
    <x v="45"/>
    <x v="186"/>
    <x v="0"/>
    <x v="139"/>
    <x v="159"/>
    <x v="0"/>
    <x v="1"/>
    <x v="3"/>
    <x v="1"/>
    <x v="0"/>
    <x v="45"/>
    <x v="213"/>
    <x v="5"/>
    <x v="1"/>
  </r>
  <r>
    <x v="10"/>
    <x v="187"/>
    <x v="8"/>
    <x v="4"/>
    <x v="20"/>
    <x v="0"/>
    <x v="1"/>
    <x v="3"/>
    <x v="1"/>
    <x v="1"/>
    <x v="10"/>
    <x v="38"/>
    <x v="5"/>
    <x v="1"/>
  </r>
  <r>
    <x v="2"/>
    <x v="188"/>
    <x v="26"/>
    <x v="140"/>
    <x v="160"/>
    <x v="0"/>
    <x v="1"/>
    <x v="3"/>
    <x v="1"/>
    <x v="0"/>
    <x v="2"/>
    <x v="214"/>
    <x v="6"/>
    <x v="1"/>
  </r>
  <r>
    <x v="90"/>
    <x v="243"/>
    <x v="1"/>
    <x v="4"/>
    <x v="203"/>
    <x v="0"/>
    <x v="1"/>
    <x v="0"/>
    <x v="2"/>
    <x v="1"/>
    <x v="90"/>
    <x v="13"/>
    <x v="7"/>
    <x v="2"/>
  </r>
  <r>
    <x v="16"/>
    <x v="161"/>
    <x v="5"/>
    <x v="4"/>
    <x v="142"/>
    <x v="0"/>
    <x v="1"/>
    <x v="0"/>
    <x v="2"/>
    <x v="1"/>
    <x v="16"/>
    <x v="15"/>
    <x v="0"/>
    <x v="2"/>
  </r>
  <r>
    <x v="39"/>
    <x v="190"/>
    <x v="1"/>
    <x v="141"/>
    <x v="162"/>
    <x v="0"/>
    <x v="1"/>
    <x v="0"/>
    <x v="2"/>
    <x v="0"/>
    <x v="39"/>
    <x v="215"/>
    <x v="11"/>
    <x v="2"/>
  </r>
  <r>
    <x v="48"/>
    <x v="191"/>
    <x v="7"/>
    <x v="4"/>
    <x v="163"/>
    <x v="1"/>
    <x v="1"/>
    <x v="1"/>
    <x v="2"/>
    <x v="2"/>
    <x v="48"/>
    <x v="7"/>
    <x v="8"/>
    <x v="2"/>
  </r>
  <r>
    <x v="19"/>
    <x v="122"/>
    <x v="1"/>
    <x v="4"/>
    <x v="116"/>
    <x v="0"/>
    <x v="1"/>
    <x v="1"/>
    <x v="2"/>
    <x v="1"/>
    <x v="19"/>
    <x v="13"/>
    <x v="1"/>
    <x v="2"/>
  </r>
  <r>
    <x v="23"/>
    <x v="150"/>
    <x v="16"/>
    <x v="4"/>
    <x v="134"/>
    <x v="0"/>
    <x v="1"/>
    <x v="0"/>
    <x v="0"/>
    <x v="1"/>
    <x v="23"/>
    <x v="21"/>
    <x v="7"/>
    <x v="0"/>
  </r>
  <r>
    <x v="27"/>
    <x v="162"/>
    <x v="12"/>
    <x v="4"/>
    <x v="143"/>
    <x v="0"/>
    <x v="1"/>
    <x v="1"/>
    <x v="0"/>
    <x v="2"/>
    <x v="27"/>
    <x v="46"/>
    <x v="8"/>
    <x v="0"/>
  </r>
  <r>
    <x v="74"/>
    <x v="124"/>
    <x v="3"/>
    <x v="4"/>
    <x v="118"/>
    <x v="0"/>
    <x v="1"/>
    <x v="1"/>
    <x v="0"/>
    <x v="2"/>
    <x v="74"/>
    <x v="26"/>
    <x v="9"/>
    <x v="0"/>
  </r>
  <r>
    <x v="73"/>
    <x v="163"/>
    <x v="25"/>
    <x v="4"/>
    <x v="144"/>
    <x v="0"/>
    <x v="1"/>
    <x v="2"/>
    <x v="0"/>
    <x v="1"/>
    <x v="73"/>
    <x v="44"/>
    <x v="3"/>
    <x v="0"/>
  </r>
  <r>
    <x v="60"/>
    <x v="164"/>
    <x v="30"/>
    <x v="4"/>
    <x v="145"/>
    <x v="0"/>
    <x v="1"/>
    <x v="2"/>
    <x v="0"/>
    <x v="2"/>
    <x v="60"/>
    <x v="49"/>
    <x v="10"/>
    <x v="0"/>
  </r>
  <r>
    <x v="26"/>
    <x v="127"/>
    <x v="6"/>
    <x v="4"/>
    <x v="121"/>
    <x v="0"/>
    <x v="1"/>
    <x v="3"/>
    <x v="0"/>
    <x v="1"/>
    <x v="26"/>
    <x v="24"/>
    <x v="4"/>
    <x v="0"/>
  </r>
  <r>
    <x v="70"/>
    <x v="128"/>
    <x v="14"/>
    <x v="4"/>
    <x v="32"/>
    <x v="0"/>
    <x v="1"/>
    <x v="3"/>
    <x v="0"/>
    <x v="1"/>
    <x v="70"/>
    <x v="41"/>
    <x v="5"/>
    <x v="0"/>
  </r>
  <r>
    <x v="81"/>
    <x v="165"/>
    <x v="12"/>
    <x v="4"/>
    <x v="69"/>
    <x v="0"/>
    <x v="1"/>
    <x v="3"/>
    <x v="0"/>
    <x v="2"/>
    <x v="81"/>
    <x v="46"/>
    <x v="5"/>
    <x v="0"/>
  </r>
  <r>
    <x v="47"/>
    <x v="166"/>
    <x v="26"/>
    <x v="4"/>
    <x v="34"/>
    <x v="0"/>
    <x v="1"/>
    <x v="3"/>
    <x v="0"/>
    <x v="1"/>
    <x v="47"/>
    <x v="36"/>
    <x v="5"/>
    <x v="0"/>
  </r>
  <r>
    <x v="64"/>
    <x v="93"/>
    <x v="27"/>
    <x v="4"/>
    <x v="91"/>
    <x v="0"/>
    <x v="1"/>
    <x v="3"/>
    <x v="0"/>
    <x v="2"/>
    <x v="64"/>
    <x v="39"/>
    <x v="6"/>
    <x v="0"/>
  </r>
  <r>
    <x v="82"/>
    <x v="167"/>
    <x v="30"/>
    <x v="4"/>
    <x v="146"/>
    <x v="0"/>
    <x v="1"/>
    <x v="0"/>
    <x v="1"/>
    <x v="2"/>
    <x v="82"/>
    <x v="49"/>
    <x v="0"/>
    <x v="1"/>
  </r>
  <r>
    <x v="72"/>
    <x v="151"/>
    <x v="4"/>
    <x v="4"/>
    <x v="135"/>
    <x v="0"/>
    <x v="1"/>
    <x v="0"/>
    <x v="1"/>
    <x v="2"/>
    <x v="72"/>
    <x v="4"/>
    <x v="11"/>
    <x v="1"/>
  </r>
  <r>
    <x v="23"/>
    <x v="168"/>
    <x v="23"/>
    <x v="4"/>
    <x v="125"/>
    <x v="0"/>
    <x v="1"/>
    <x v="1"/>
    <x v="1"/>
    <x v="1"/>
    <x v="23"/>
    <x v="31"/>
    <x v="1"/>
    <x v="1"/>
  </r>
  <r>
    <x v="65"/>
    <x v="96"/>
    <x v="0"/>
    <x v="4"/>
    <x v="39"/>
    <x v="0"/>
    <x v="1"/>
    <x v="1"/>
    <x v="1"/>
    <x v="1"/>
    <x v="65"/>
    <x v="32"/>
    <x v="9"/>
    <x v="1"/>
  </r>
  <r>
    <x v="39"/>
    <x v="169"/>
    <x v="24"/>
    <x v="4"/>
    <x v="126"/>
    <x v="0"/>
    <x v="1"/>
    <x v="2"/>
    <x v="1"/>
    <x v="2"/>
    <x v="39"/>
    <x v="33"/>
    <x v="2"/>
    <x v="1"/>
  </r>
  <r>
    <x v="39"/>
    <x v="136"/>
    <x v="10"/>
    <x v="4"/>
    <x v="76"/>
    <x v="0"/>
    <x v="1"/>
    <x v="2"/>
    <x v="1"/>
    <x v="1"/>
    <x v="39"/>
    <x v="11"/>
    <x v="3"/>
    <x v="1"/>
  </r>
  <r>
    <x v="0"/>
    <x v="170"/>
    <x v="18"/>
    <x v="4"/>
    <x v="42"/>
    <x v="0"/>
    <x v="1"/>
    <x v="2"/>
    <x v="1"/>
    <x v="1"/>
    <x v="0"/>
    <x v="23"/>
    <x v="10"/>
    <x v="1"/>
  </r>
  <r>
    <x v="15"/>
    <x v="98"/>
    <x v="26"/>
    <x v="4"/>
    <x v="95"/>
    <x v="0"/>
    <x v="1"/>
    <x v="3"/>
    <x v="1"/>
    <x v="1"/>
    <x v="15"/>
    <x v="36"/>
    <x v="4"/>
    <x v="1"/>
  </r>
  <r>
    <x v="78"/>
    <x v="139"/>
    <x v="13"/>
    <x v="4"/>
    <x v="96"/>
    <x v="0"/>
    <x v="1"/>
    <x v="3"/>
    <x v="1"/>
    <x v="1"/>
    <x v="78"/>
    <x v="17"/>
    <x v="4"/>
    <x v="1"/>
  </r>
  <r>
    <x v="11"/>
    <x v="152"/>
    <x v="20"/>
    <x v="4"/>
    <x v="80"/>
    <x v="0"/>
    <x v="1"/>
    <x v="3"/>
    <x v="1"/>
    <x v="2"/>
    <x v="11"/>
    <x v="28"/>
    <x v="5"/>
    <x v="1"/>
  </r>
  <r>
    <x v="62"/>
    <x v="140"/>
    <x v="4"/>
    <x v="4"/>
    <x v="128"/>
    <x v="0"/>
    <x v="1"/>
    <x v="3"/>
    <x v="1"/>
    <x v="2"/>
    <x v="62"/>
    <x v="4"/>
    <x v="5"/>
    <x v="1"/>
  </r>
  <r>
    <x v="74"/>
    <x v="159"/>
    <x v="19"/>
    <x v="4"/>
    <x v="140"/>
    <x v="0"/>
    <x v="1"/>
    <x v="3"/>
    <x v="1"/>
    <x v="1"/>
    <x v="74"/>
    <x v="25"/>
    <x v="6"/>
    <x v="1"/>
  </r>
  <r>
    <x v="23"/>
    <x v="153"/>
    <x v="14"/>
    <x v="4"/>
    <x v="48"/>
    <x v="0"/>
    <x v="1"/>
    <x v="3"/>
    <x v="1"/>
    <x v="0"/>
    <x v="23"/>
    <x v="41"/>
    <x v="6"/>
    <x v="1"/>
  </r>
  <r>
    <x v="39"/>
    <x v="142"/>
    <x v="32"/>
    <x v="4"/>
    <x v="129"/>
    <x v="0"/>
    <x v="1"/>
    <x v="0"/>
    <x v="2"/>
    <x v="0"/>
    <x v="39"/>
    <x v="53"/>
    <x v="7"/>
    <x v="2"/>
  </r>
  <r>
    <x v="39"/>
    <x v="143"/>
    <x v="32"/>
    <x v="142"/>
    <x v="50"/>
    <x v="0"/>
    <x v="1"/>
    <x v="0"/>
    <x v="2"/>
    <x v="0"/>
    <x v="39"/>
    <x v="38"/>
    <x v="0"/>
    <x v="2"/>
  </r>
  <r>
    <x v="23"/>
    <x v="171"/>
    <x v="2"/>
    <x v="4"/>
    <x v="147"/>
    <x v="0"/>
    <x v="1"/>
    <x v="1"/>
    <x v="2"/>
    <x v="1"/>
    <x v="23"/>
    <x v="9"/>
    <x v="1"/>
    <x v="2"/>
  </r>
  <r>
    <x v="14"/>
    <x v="102"/>
    <x v="11"/>
    <x v="4"/>
    <x v="53"/>
    <x v="2"/>
    <x v="1"/>
    <x v="1"/>
    <x v="2"/>
    <x v="1"/>
    <x v="14"/>
    <x v="12"/>
    <x v="1"/>
    <x v="2"/>
  </r>
  <r>
    <x v="40"/>
    <x v="236"/>
    <x v="24"/>
    <x v="143"/>
    <x v="199"/>
    <x v="0"/>
    <x v="3"/>
    <x v="0"/>
    <x v="0"/>
    <x v="1"/>
    <x v="40"/>
    <x v="216"/>
    <x v="7"/>
    <x v="0"/>
  </r>
  <r>
    <x v="77"/>
    <x v="210"/>
    <x v="22"/>
    <x v="144"/>
    <x v="178"/>
    <x v="0"/>
    <x v="3"/>
    <x v="0"/>
    <x v="0"/>
    <x v="0"/>
    <x v="77"/>
    <x v="217"/>
    <x v="11"/>
    <x v="0"/>
  </r>
  <r>
    <x v="84"/>
    <x v="237"/>
    <x v="13"/>
    <x v="145"/>
    <x v="166"/>
    <x v="0"/>
    <x v="3"/>
    <x v="1"/>
    <x v="0"/>
    <x v="0"/>
    <x v="84"/>
    <x v="218"/>
    <x v="1"/>
    <x v="0"/>
  </r>
  <r>
    <x v="82"/>
    <x v="196"/>
    <x v="16"/>
    <x v="146"/>
    <x v="168"/>
    <x v="0"/>
    <x v="3"/>
    <x v="2"/>
    <x v="0"/>
    <x v="0"/>
    <x v="82"/>
    <x v="219"/>
    <x v="10"/>
    <x v="0"/>
  </r>
  <r>
    <x v="4"/>
    <x v="197"/>
    <x v="26"/>
    <x v="147"/>
    <x v="169"/>
    <x v="0"/>
    <x v="3"/>
    <x v="3"/>
    <x v="0"/>
    <x v="0"/>
    <x v="4"/>
    <x v="220"/>
    <x v="4"/>
    <x v="0"/>
  </r>
  <r>
    <x v="86"/>
    <x v="198"/>
    <x v="18"/>
    <x v="148"/>
    <x v="155"/>
    <x v="0"/>
    <x v="3"/>
    <x v="3"/>
    <x v="0"/>
    <x v="0"/>
    <x v="86"/>
    <x v="221"/>
    <x v="5"/>
    <x v="0"/>
  </r>
  <r>
    <x v="39"/>
    <x v="199"/>
    <x v="19"/>
    <x v="149"/>
    <x v="103"/>
    <x v="0"/>
    <x v="3"/>
    <x v="3"/>
    <x v="0"/>
    <x v="0"/>
    <x v="39"/>
    <x v="222"/>
    <x v="5"/>
    <x v="0"/>
  </r>
  <r>
    <x v="87"/>
    <x v="200"/>
    <x v="13"/>
    <x v="150"/>
    <x v="170"/>
    <x v="0"/>
    <x v="3"/>
    <x v="3"/>
    <x v="0"/>
    <x v="0"/>
    <x v="87"/>
    <x v="223"/>
    <x v="5"/>
    <x v="0"/>
  </r>
  <r>
    <x v="74"/>
    <x v="182"/>
    <x v="10"/>
    <x v="151"/>
    <x v="105"/>
    <x v="0"/>
    <x v="3"/>
    <x v="3"/>
    <x v="0"/>
    <x v="0"/>
    <x v="74"/>
    <x v="224"/>
    <x v="6"/>
    <x v="0"/>
  </r>
  <r>
    <x v="25"/>
    <x v="238"/>
    <x v="15"/>
    <x v="152"/>
    <x v="200"/>
    <x v="0"/>
    <x v="3"/>
    <x v="0"/>
    <x v="1"/>
    <x v="0"/>
    <x v="25"/>
    <x v="225"/>
    <x v="7"/>
    <x v="1"/>
  </r>
  <r>
    <x v="30"/>
    <x v="202"/>
    <x v="11"/>
    <x v="153"/>
    <x v="172"/>
    <x v="0"/>
    <x v="3"/>
    <x v="0"/>
    <x v="1"/>
    <x v="0"/>
    <x v="30"/>
    <x v="226"/>
    <x v="11"/>
    <x v="1"/>
  </r>
  <r>
    <x v="83"/>
    <x v="215"/>
    <x v="29"/>
    <x v="154"/>
    <x v="156"/>
    <x v="0"/>
    <x v="3"/>
    <x v="1"/>
    <x v="1"/>
    <x v="0"/>
    <x v="83"/>
    <x v="227"/>
    <x v="8"/>
    <x v="1"/>
  </r>
  <r>
    <x v="36"/>
    <x v="41"/>
    <x v="32"/>
    <x v="152"/>
    <x v="41"/>
    <x v="0"/>
    <x v="3"/>
    <x v="2"/>
    <x v="1"/>
    <x v="0"/>
    <x v="36"/>
    <x v="228"/>
    <x v="3"/>
    <x v="1"/>
  </r>
  <r>
    <x v="65"/>
    <x v="216"/>
    <x v="11"/>
    <x v="155"/>
    <x v="182"/>
    <x v="0"/>
    <x v="3"/>
    <x v="2"/>
    <x v="1"/>
    <x v="0"/>
    <x v="65"/>
    <x v="229"/>
    <x v="10"/>
    <x v="1"/>
  </r>
  <r>
    <x v="81"/>
    <x v="244"/>
    <x v="12"/>
    <x v="156"/>
    <x v="204"/>
    <x v="0"/>
    <x v="3"/>
    <x v="3"/>
    <x v="1"/>
    <x v="0"/>
    <x v="81"/>
    <x v="230"/>
    <x v="4"/>
    <x v="1"/>
  </r>
  <r>
    <x v="39"/>
    <x v="44"/>
    <x v="0"/>
    <x v="149"/>
    <x v="44"/>
    <x v="0"/>
    <x v="3"/>
    <x v="3"/>
    <x v="1"/>
    <x v="0"/>
    <x v="39"/>
    <x v="231"/>
    <x v="4"/>
    <x v="1"/>
  </r>
  <r>
    <x v="77"/>
    <x v="206"/>
    <x v="19"/>
    <x v="157"/>
    <x v="159"/>
    <x v="0"/>
    <x v="3"/>
    <x v="3"/>
    <x v="1"/>
    <x v="1"/>
    <x v="77"/>
    <x v="232"/>
    <x v="5"/>
    <x v="1"/>
  </r>
  <r>
    <x v="67"/>
    <x v="240"/>
    <x v="23"/>
    <x v="158"/>
    <x v="201"/>
    <x v="0"/>
    <x v="3"/>
    <x v="3"/>
    <x v="1"/>
    <x v="0"/>
    <x v="67"/>
    <x v="233"/>
    <x v="5"/>
    <x v="1"/>
  </r>
  <r>
    <x v="3"/>
    <x v="219"/>
    <x v="3"/>
    <x v="4"/>
    <x v="183"/>
    <x v="5"/>
    <x v="3"/>
    <x v="0"/>
    <x v="2"/>
    <x v="2"/>
    <x v="3"/>
    <x v="26"/>
    <x v="7"/>
    <x v="2"/>
  </r>
  <r>
    <x v="23"/>
    <x v="241"/>
    <x v="26"/>
    <x v="159"/>
    <x v="184"/>
    <x v="0"/>
    <x v="3"/>
    <x v="0"/>
    <x v="2"/>
    <x v="0"/>
    <x v="23"/>
    <x v="234"/>
    <x v="0"/>
    <x v="2"/>
  </r>
  <r>
    <x v="61"/>
    <x v="221"/>
    <x v="13"/>
    <x v="154"/>
    <x v="185"/>
    <x v="4"/>
    <x v="3"/>
    <x v="1"/>
    <x v="2"/>
    <x v="1"/>
    <x v="61"/>
    <x v="235"/>
    <x v="8"/>
    <x v="2"/>
  </r>
  <r>
    <x v="20"/>
    <x v="242"/>
    <x v="5"/>
    <x v="160"/>
    <x v="202"/>
    <x v="2"/>
    <x v="3"/>
    <x v="1"/>
    <x v="2"/>
    <x v="0"/>
    <x v="20"/>
    <x v="236"/>
    <x v="1"/>
    <x v="2"/>
  </r>
  <r>
    <x v="23"/>
    <x v="150"/>
    <x v="6"/>
    <x v="4"/>
    <x v="134"/>
    <x v="0"/>
    <x v="2"/>
    <x v="0"/>
    <x v="0"/>
    <x v="1"/>
    <x v="23"/>
    <x v="24"/>
    <x v="7"/>
    <x v="0"/>
  </r>
  <r>
    <x v="62"/>
    <x v="90"/>
    <x v="25"/>
    <x v="4"/>
    <x v="89"/>
    <x v="0"/>
    <x v="2"/>
    <x v="1"/>
    <x v="0"/>
    <x v="1"/>
    <x v="62"/>
    <x v="44"/>
    <x v="8"/>
    <x v="0"/>
  </r>
  <r>
    <x v="74"/>
    <x v="124"/>
    <x v="3"/>
    <x v="4"/>
    <x v="118"/>
    <x v="0"/>
    <x v="2"/>
    <x v="1"/>
    <x v="0"/>
    <x v="1"/>
    <x v="74"/>
    <x v="26"/>
    <x v="9"/>
    <x v="0"/>
  </r>
  <r>
    <x v="73"/>
    <x v="163"/>
    <x v="20"/>
    <x v="4"/>
    <x v="144"/>
    <x v="0"/>
    <x v="2"/>
    <x v="2"/>
    <x v="0"/>
    <x v="1"/>
    <x v="73"/>
    <x v="28"/>
    <x v="3"/>
    <x v="0"/>
  </r>
  <r>
    <x v="60"/>
    <x v="164"/>
    <x v="4"/>
    <x v="4"/>
    <x v="145"/>
    <x v="0"/>
    <x v="2"/>
    <x v="2"/>
    <x v="0"/>
    <x v="1"/>
    <x v="60"/>
    <x v="4"/>
    <x v="10"/>
    <x v="0"/>
  </r>
  <r>
    <x v="26"/>
    <x v="127"/>
    <x v="12"/>
    <x v="4"/>
    <x v="121"/>
    <x v="0"/>
    <x v="2"/>
    <x v="3"/>
    <x v="0"/>
    <x v="1"/>
    <x v="26"/>
    <x v="46"/>
    <x v="4"/>
    <x v="0"/>
  </r>
  <r>
    <x v="49"/>
    <x v="92"/>
    <x v="7"/>
    <x v="4"/>
    <x v="32"/>
    <x v="0"/>
    <x v="2"/>
    <x v="3"/>
    <x v="0"/>
    <x v="1"/>
    <x v="49"/>
    <x v="7"/>
    <x v="5"/>
    <x v="0"/>
  </r>
  <r>
    <x v="81"/>
    <x v="165"/>
    <x v="12"/>
    <x v="4"/>
    <x v="69"/>
    <x v="0"/>
    <x v="2"/>
    <x v="3"/>
    <x v="0"/>
    <x v="1"/>
    <x v="81"/>
    <x v="46"/>
    <x v="5"/>
    <x v="0"/>
  </r>
  <r>
    <x v="47"/>
    <x v="166"/>
    <x v="21"/>
    <x v="4"/>
    <x v="34"/>
    <x v="0"/>
    <x v="2"/>
    <x v="3"/>
    <x v="0"/>
    <x v="1"/>
    <x v="47"/>
    <x v="29"/>
    <x v="5"/>
    <x v="0"/>
  </r>
  <r>
    <x v="64"/>
    <x v="93"/>
    <x v="30"/>
    <x v="4"/>
    <x v="91"/>
    <x v="0"/>
    <x v="2"/>
    <x v="3"/>
    <x v="0"/>
    <x v="1"/>
    <x v="64"/>
    <x v="49"/>
    <x v="6"/>
    <x v="0"/>
  </r>
  <r>
    <x v="39"/>
    <x v="95"/>
    <x v="18"/>
    <x v="4"/>
    <x v="93"/>
    <x v="0"/>
    <x v="2"/>
    <x v="0"/>
    <x v="1"/>
    <x v="1"/>
    <x v="39"/>
    <x v="23"/>
    <x v="11"/>
    <x v="1"/>
  </r>
  <r>
    <x v="23"/>
    <x v="168"/>
    <x v="8"/>
    <x v="161"/>
    <x v="125"/>
    <x v="0"/>
    <x v="2"/>
    <x v="1"/>
    <x v="1"/>
    <x v="0"/>
    <x v="23"/>
    <x v="237"/>
    <x v="1"/>
    <x v="1"/>
  </r>
  <r>
    <x v="65"/>
    <x v="96"/>
    <x v="1"/>
    <x v="162"/>
    <x v="39"/>
    <x v="0"/>
    <x v="2"/>
    <x v="1"/>
    <x v="1"/>
    <x v="1"/>
    <x v="65"/>
    <x v="238"/>
    <x v="9"/>
    <x v="1"/>
  </r>
  <r>
    <x v="39"/>
    <x v="169"/>
    <x v="24"/>
    <x v="4"/>
    <x v="126"/>
    <x v="0"/>
    <x v="2"/>
    <x v="2"/>
    <x v="1"/>
    <x v="1"/>
    <x v="39"/>
    <x v="33"/>
    <x v="2"/>
    <x v="1"/>
  </r>
  <r>
    <x v="18"/>
    <x v="97"/>
    <x v="7"/>
    <x v="4"/>
    <x v="94"/>
    <x v="0"/>
    <x v="2"/>
    <x v="2"/>
    <x v="1"/>
    <x v="1"/>
    <x v="18"/>
    <x v="7"/>
    <x v="3"/>
    <x v="1"/>
  </r>
  <r>
    <x v="0"/>
    <x v="170"/>
    <x v="2"/>
    <x v="4"/>
    <x v="42"/>
    <x v="0"/>
    <x v="2"/>
    <x v="2"/>
    <x v="1"/>
    <x v="1"/>
    <x v="0"/>
    <x v="9"/>
    <x v="10"/>
    <x v="1"/>
  </r>
  <r>
    <x v="15"/>
    <x v="98"/>
    <x v="5"/>
    <x v="4"/>
    <x v="95"/>
    <x v="0"/>
    <x v="2"/>
    <x v="3"/>
    <x v="1"/>
    <x v="1"/>
    <x v="15"/>
    <x v="15"/>
    <x v="4"/>
    <x v="1"/>
  </r>
  <r>
    <x v="31"/>
    <x v="99"/>
    <x v="6"/>
    <x v="4"/>
    <x v="96"/>
    <x v="0"/>
    <x v="2"/>
    <x v="3"/>
    <x v="1"/>
    <x v="1"/>
    <x v="31"/>
    <x v="24"/>
    <x v="4"/>
    <x v="1"/>
  </r>
  <r>
    <x v="11"/>
    <x v="152"/>
    <x v="29"/>
    <x v="163"/>
    <x v="80"/>
    <x v="0"/>
    <x v="2"/>
    <x v="3"/>
    <x v="1"/>
    <x v="0"/>
    <x v="11"/>
    <x v="239"/>
    <x v="5"/>
    <x v="1"/>
  </r>
  <r>
    <x v="24"/>
    <x v="100"/>
    <x v="12"/>
    <x v="4"/>
    <x v="97"/>
    <x v="4"/>
    <x v="2"/>
    <x v="3"/>
    <x v="1"/>
    <x v="1"/>
    <x v="24"/>
    <x v="46"/>
    <x v="5"/>
    <x v="1"/>
  </r>
  <r>
    <x v="74"/>
    <x v="159"/>
    <x v="19"/>
    <x v="4"/>
    <x v="140"/>
    <x v="0"/>
    <x v="2"/>
    <x v="3"/>
    <x v="1"/>
    <x v="1"/>
    <x v="74"/>
    <x v="25"/>
    <x v="6"/>
    <x v="1"/>
  </r>
  <r>
    <x v="23"/>
    <x v="153"/>
    <x v="14"/>
    <x v="164"/>
    <x v="48"/>
    <x v="0"/>
    <x v="2"/>
    <x v="3"/>
    <x v="1"/>
    <x v="0"/>
    <x v="23"/>
    <x v="240"/>
    <x v="6"/>
    <x v="1"/>
  </r>
  <r>
    <x v="42"/>
    <x v="101"/>
    <x v="8"/>
    <x v="4"/>
    <x v="49"/>
    <x v="0"/>
    <x v="2"/>
    <x v="0"/>
    <x v="2"/>
    <x v="1"/>
    <x v="42"/>
    <x v="38"/>
    <x v="7"/>
    <x v="2"/>
  </r>
  <r>
    <x v="23"/>
    <x v="245"/>
    <x v="26"/>
    <x v="4"/>
    <x v="205"/>
    <x v="0"/>
    <x v="2"/>
    <x v="0"/>
    <x v="2"/>
    <x v="1"/>
    <x v="23"/>
    <x v="36"/>
    <x v="0"/>
    <x v="2"/>
  </r>
  <r>
    <x v="23"/>
    <x v="171"/>
    <x v="31"/>
    <x v="161"/>
    <x v="147"/>
    <x v="0"/>
    <x v="2"/>
    <x v="1"/>
    <x v="2"/>
    <x v="1"/>
    <x v="23"/>
    <x v="241"/>
    <x v="1"/>
    <x v="2"/>
  </r>
  <r>
    <x v="14"/>
    <x v="102"/>
    <x v="19"/>
    <x v="162"/>
    <x v="53"/>
    <x v="2"/>
    <x v="2"/>
    <x v="1"/>
    <x v="2"/>
    <x v="1"/>
    <x v="14"/>
    <x v="242"/>
    <x v="1"/>
    <x v="2"/>
  </r>
  <r>
    <x v="72"/>
    <x v="246"/>
    <x v="32"/>
    <x v="4"/>
    <x v="206"/>
    <x v="0"/>
    <x v="3"/>
    <x v="0"/>
    <x v="0"/>
    <x v="1"/>
    <x v="72"/>
    <x v="53"/>
    <x v="7"/>
    <x v="0"/>
  </r>
  <r>
    <x v="77"/>
    <x v="210"/>
    <x v="29"/>
    <x v="4"/>
    <x v="178"/>
    <x v="0"/>
    <x v="3"/>
    <x v="0"/>
    <x v="0"/>
    <x v="1"/>
    <x v="77"/>
    <x v="48"/>
    <x v="11"/>
    <x v="0"/>
  </r>
  <r>
    <x v="84"/>
    <x v="237"/>
    <x v="13"/>
    <x v="4"/>
    <x v="166"/>
    <x v="0"/>
    <x v="3"/>
    <x v="1"/>
    <x v="0"/>
    <x v="1"/>
    <x v="84"/>
    <x v="17"/>
    <x v="1"/>
    <x v="0"/>
  </r>
  <r>
    <x v="82"/>
    <x v="196"/>
    <x v="29"/>
    <x v="4"/>
    <x v="168"/>
    <x v="0"/>
    <x v="3"/>
    <x v="2"/>
    <x v="0"/>
    <x v="1"/>
    <x v="82"/>
    <x v="48"/>
    <x v="10"/>
    <x v="0"/>
  </r>
  <r>
    <x v="4"/>
    <x v="197"/>
    <x v="19"/>
    <x v="4"/>
    <x v="169"/>
    <x v="0"/>
    <x v="3"/>
    <x v="3"/>
    <x v="0"/>
    <x v="1"/>
    <x v="4"/>
    <x v="25"/>
    <x v="4"/>
    <x v="0"/>
  </r>
  <r>
    <x v="86"/>
    <x v="198"/>
    <x v="28"/>
    <x v="4"/>
    <x v="155"/>
    <x v="0"/>
    <x v="3"/>
    <x v="3"/>
    <x v="0"/>
    <x v="1"/>
    <x v="86"/>
    <x v="47"/>
    <x v="5"/>
    <x v="0"/>
  </r>
  <r>
    <x v="39"/>
    <x v="199"/>
    <x v="14"/>
    <x v="4"/>
    <x v="103"/>
    <x v="0"/>
    <x v="3"/>
    <x v="3"/>
    <x v="0"/>
    <x v="0"/>
    <x v="39"/>
    <x v="41"/>
    <x v="5"/>
    <x v="0"/>
  </r>
  <r>
    <x v="87"/>
    <x v="200"/>
    <x v="27"/>
    <x v="4"/>
    <x v="170"/>
    <x v="0"/>
    <x v="3"/>
    <x v="3"/>
    <x v="0"/>
    <x v="1"/>
    <x v="87"/>
    <x v="39"/>
    <x v="5"/>
    <x v="0"/>
  </r>
  <r>
    <x v="74"/>
    <x v="182"/>
    <x v="18"/>
    <x v="4"/>
    <x v="105"/>
    <x v="0"/>
    <x v="3"/>
    <x v="3"/>
    <x v="0"/>
    <x v="1"/>
    <x v="74"/>
    <x v="23"/>
    <x v="6"/>
    <x v="0"/>
  </r>
  <r>
    <x v="25"/>
    <x v="238"/>
    <x v="26"/>
    <x v="4"/>
    <x v="200"/>
    <x v="0"/>
    <x v="3"/>
    <x v="0"/>
    <x v="1"/>
    <x v="1"/>
    <x v="25"/>
    <x v="36"/>
    <x v="7"/>
    <x v="1"/>
  </r>
  <r>
    <x v="30"/>
    <x v="202"/>
    <x v="12"/>
    <x v="4"/>
    <x v="172"/>
    <x v="0"/>
    <x v="3"/>
    <x v="0"/>
    <x v="1"/>
    <x v="2"/>
    <x v="30"/>
    <x v="46"/>
    <x v="11"/>
    <x v="1"/>
  </r>
  <r>
    <x v="64"/>
    <x v="247"/>
    <x v="20"/>
    <x v="4"/>
    <x v="207"/>
    <x v="0"/>
    <x v="3"/>
    <x v="1"/>
    <x v="1"/>
    <x v="1"/>
    <x v="64"/>
    <x v="28"/>
    <x v="8"/>
    <x v="1"/>
  </r>
  <r>
    <x v="36"/>
    <x v="41"/>
    <x v="9"/>
    <x v="4"/>
    <x v="41"/>
    <x v="0"/>
    <x v="3"/>
    <x v="2"/>
    <x v="1"/>
    <x v="1"/>
    <x v="36"/>
    <x v="10"/>
    <x v="3"/>
    <x v="1"/>
  </r>
  <r>
    <x v="65"/>
    <x v="216"/>
    <x v="28"/>
    <x v="4"/>
    <x v="182"/>
    <x v="0"/>
    <x v="3"/>
    <x v="2"/>
    <x v="1"/>
    <x v="1"/>
    <x v="65"/>
    <x v="47"/>
    <x v="10"/>
    <x v="1"/>
  </r>
  <r>
    <x v="38"/>
    <x v="43"/>
    <x v="16"/>
    <x v="4"/>
    <x v="43"/>
    <x v="0"/>
    <x v="3"/>
    <x v="3"/>
    <x v="1"/>
    <x v="0"/>
    <x v="38"/>
    <x v="21"/>
    <x v="4"/>
    <x v="1"/>
  </r>
  <r>
    <x v="39"/>
    <x v="44"/>
    <x v="28"/>
    <x v="4"/>
    <x v="44"/>
    <x v="0"/>
    <x v="3"/>
    <x v="3"/>
    <x v="1"/>
    <x v="1"/>
    <x v="39"/>
    <x v="47"/>
    <x v="4"/>
    <x v="1"/>
  </r>
  <r>
    <x v="40"/>
    <x v="45"/>
    <x v="24"/>
    <x v="4"/>
    <x v="45"/>
    <x v="0"/>
    <x v="3"/>
    <x v="3"/>
    <x v="1"/>
    <x v="2"/>
    <x v="40"/>
    <x v="33"/>
    <x v="5"/>
    <x v="1"/>
  </r>
  <r>
    <x v="77"/>
    <x v="206"/>
    <x v="21"/>
    <x v="140"/>
    <x v="159"/>
    <x v="0"/>
    <x v="3"/>
    <x v="3"/>
    <x v="1"/>
    <x v="0"/>
    <x v="77"/>
    <x v="243"/>
    <x v="5"/>
    <x v="1"/>
  </r>
  <r>
    <x v="67"/>
    <x v="240"/>
    <x v="0"/>
    <x v="4"/>
    <x v="201"/>
    <x v="0"/>
    <x v="3"/>
    <x v="3"/>
    <x v="1"/>
    <x v="1"/>
    <x v="67"/>
    <x v="32"/>
    <x v="5"/>
    <x v="1"/>
  </r>
  <r>
    <x v="2"/>
    <x v="188"/>
    <x v="6"/>
    <x v="4"/>
    <x v="160"/>
    <x v="0"/>
    <x v="3"/>
    <x v="3"/>
    <x v="1"/>
    <x v="1"/>
    <x v="2"/>
    <x v="24"/>
    <x v="6"/>
    <x v="1"/>
  </r>
  <r>
    <x v="3"/>
    <x v="219"/>
    <x v="26"/>
    <x v="4"/>
    <x v="183"/>
    <x v="5"/>
    <x v="3"/>
    <x v="0"/>
    <x v="2"/>
    <x v="1"/>
    <x v="3"/>
    <x v="36"/>
    <x v="7"/>
    <x v="2"/>
  </r>
  <r>
    <x v="23"/>
    <x v="208"/>
    <x v="23"/>
    <x v="4"/>
    <x v="176"/>
    <x v="0"/>
    <x v="3"/>
    <x v="0"/>
    <x v="2"/>
    <x v="1"/>
    <x v="23"/>
    <x v="31"/>
    <x v="0"/>
    <x v="2"/>
  </r>
  <r>
    <x v="39"/>
    <x v="190"/>
    <x v="28"/>
    <x v="165"/>
    <x v="162"/>
    <x v="0"/>
    <x v="3"/>
    <x v="0"/>
    <x v="2"/>
    <x v="1"/>
    <x v="39"/>
    <x v="244"/>
    <x v="11"/>
    <x v="2"/>
  </r>
  <r>
    <x v="65"/>
    <x v="248"/>
    <x v="44"/>
    <x v="4"/>
    <x v="208"/>
    <x v="0"/>
    <x v="3"/>
    <x v="1"/>
    <x v="2"/>
    <x v="0"/>
    <x v="65"/>
    <x v="245"/>
    <x v="8"/>
    <x v="2"/>
  </r>
  <r>
    <x v="20"/>
    <x v="242"/>
    <x v="3"/>
    <x v="4"/>
    <x v="202"/>
    <x v="2"/>
    <x v="3"/>
    <x v="1"/>
    <x v="2"/>
    <x v="1"/>
    <x v="20"/>
    <x v="26"/>
    <x v="1"/>
    <x v="2"/>
  </r>
  <r>
    <x v="17"/>
    <x v="26"/>
    <x v="8"/>
    <x v="166"/>
    <x v="26"/>
    <x v="0"/>
    <x v="2"/>
    <x v="0"/>
    <x v="0"/>
    <x v="0"/>
    <x v="17"/>
    <x v="246"/>
    <x v="7"/>
    <x v="0"/>
  </r>
  <r>
    <x v="62"/>
    <x v="90"/>
    <x v="3"/>
    <x v="167"/>
    <x v="89"/>
    <x v="0"/>
    <x v="2"/>
    <x v="1"/>
    <x v="0"/>
    <x v="1"/>
    <x v="62"/>
    <x v="247"/>
    <x v="8"/>
    <x v="0"/>
  </r>
  <r>
    <x v="25"/>
    <x v="28"/>
    <x v="30"/>
    <x v="168"/>
    <x v="28"/>
    <x v="0"/>
    <x v="2"/>
    <x v="1"/>
    <x v="0"/>
    <x v="0"/>
    <x v="25"/>
    <x v="248"/>
    <x v="1"/>
    <x v="0"/>
  </r>
  <r>
    <x v="5"/>
    <x v="29"/>
    <x v="12"/>
    <x v="23"/>
    <x v="29"/>
    <x v="0"/>
    <x v="2"/>
    <x v="2"/>
    <x v="0"/>
    <x v="0"/>
    <x v="5"/>
    <x v="60"/>
    <x v="2"/>
    <x v="0"/>
  </r>
  <r>
    <x v="60"/>
    <x v="164"/>
    <x v="25"/>
    <x v="169"/>
    <x v="145"/>
    <x v="0"/>
    <x v="2"/>
    <x v="2"/>
    <x v="0"/>
    <x v="0"/>
    <x v="60"/>
    <x v="249"/>
    <x v="10"/>
    <x v="0"/>
  </r>
  <r>
    <x v="26"/>
    <x v="127"/>
    <x v="28"/>
    <x v="170"/>
    <x v="121"/>
    <x v="0"/>
    <x v="2"/>
    <x v="3"/>
    <x v="0"/>
    <x v="0"/>
    <x v="26"/>
    <x v="250"/>
    <x v="4"/>
    <x v="0"/>
  </r>
  <r>
    <x v="49"/>
    <x v="92"/>
    <x v="2"/>
    <x v="169"/>
    <x v="32"/>
    <x v="0"/>
    <x v="2"/>
    <x v="3"/>
    <x v="0"/>
    <x v="0"/>
    <x v="49"/>
    <x v="251"/>
    <x v="5"/>
    <x v="0"/>
  </r>
  <r>
    <x v="81"/>
    <x v="165"/>
    <x v="27"/>
    <x v="171"/>
    <x v="69"/>
    <x v="0"/>
    <x v="2"/>
    <x v="3"/>
    <x v="0"/>
    <x v="0"/>
    <x v="81"/>
    <x v="252"/>
    <x v="5"/>
    <x v="0"/>
  </r>
  <r>
    <x v="30"/>
    <x v="34"/>
    <x v="3"/>
    <x v="172"/>
    <x v="34"/>
    <x v="0"/>
    <x v="2"/>
    <x v="3"/>
    <x v="0"/>
    <x v="1"/>
    <x v="30"/>
    <x v="253"/>
    <x v="5"/>
    <x v="0"/>
  </r>
  <r>
    <x v="64"/>
    <x v="93"/>
    <x v="9"/>
    <x v="173"/>
    <x v="91"/>
    <x v="0"/>
    <x v="2"/>
    <x v="3"/>
    <x v="0"/>
    <x v="0"/>
    <x v="64"/>
    <x v="254"/>
    <x v="6"/>
    <x v="0"/>
  </r>
  <r>
    <x v="65"/>
    <x v="94"/>
    <x v="21"/>
    <x v="174"/>
    <x v="92"/>
    <x v="0"/>
    <x v="2"/>
    <x v="0"/>
    <x v="1"/>
    <x v="0"/>
    <x v="65"/>
    <x v="255"/>
    <x v="0"/>
    <x v="1"/>
  </r>
  <r>
    <x v="39"/>
    <x v="95"/>
    <x v="11"/>
    <x v="175"/>
    <x v="93"/>
    <x v="0"/>
    <x v="2"/>
    <x v="0"/>
    <x v="1"/>
    <x v="0"/>
    <x v="39"/>
    <x v="256"/>
    <x v="11"/>
    <x v="1"/>
  </r>
  <r>
    <x v="23"/>
    <x v="168"/>
    <x v="0"/>
    <x v="23"/>
    <x v="125"/>
    <x v="0"/>
    <x v="2"/>
    <x v="1"/>
    <x v="1"/>
    <x v="0"/>
    <x v="23"/>
    <x v="257"/>
    <x v="1"/>
    <x v="1"/>
  </r>
  <r>
    <x v="65"/>
    <x v="96"/>
    <x v="0"/>
    <x v="176"/>
    <x v="39"/>
    <x v="0"/>
    <x v="2"/>
    <x v="1"/>
    <x v="1"/>
    <x v="0"/>
    <x v="65"/>
    <x v="258"/>
    <x v="9"/>
    <x v="1"/>
  </r>
  <r>
    <x v="39"/>
    <x v="169"/>
    <x v="32"/>
    <x v="169"/>
    <x v="126"/>
    <x v="0"/>
    <x v="2"/>
    <x v="2"/>
    <x v="1"/>
    <x v="0"/>
    <x v="39"/>
    <x v="259"/>
    <x v="2"/>
    <x v="1"/>
  </r>
  <r>
    <x v="18"/>
    <x v="97"/>
    <x v="6"/>
    <x v="177"/>
    <x v="94"/>
    <x v="0"/>
    <x v="2"/>
    <x v="2"/>
    <x v="1"/>
    <x v="0"/>
    <x v="18"/>
    <x v="260"/>
    <x v="3"/>
    <x v="1"/>
  </r>
  <r>
    <x v="37"/>
    <x v="42"/>
    <x v="18"/>
    <x v="177"/>
    <x v="42"/>
    <x v="0"/>
    <x v="2"/>
    <x v="2"/>
    <x v="1"/>
    <x v="0"/>
    <x v="37"/>
    <x v="261"/>
    <x v="10"/>
    <x v="1"/>
  </r>
  <r>
    <x v="15"/>
    <x v="98"/>
    <x v="2"/>
    <x v="178"/>
    <x v="95"/>
    <x v="0"/>
    <x v="2"/>
    <x v="3"/>
    <x v="1"/>
    <x v="0"/>
    <x v="15"/>
    <x v="262"/>
    <x v="4"/>
    <x v="1"/>
  </r>
  <r>
    <x v="31"/>
    <x v="99"/>
    <x v="1"/>
    <x v="179"/>
    <x v="96"/>
    <x v="0"/>
    <x v="2"/>
    <x v="3"/>
    <x v="1"/>
    <x v="0"/>
    <x v="31"/>
    <x v="263"/>
    <x v="4"/>
    <x v="1"/>
  </r>
  <r>
    <x v="40"/>
    <x v="45"/>
    <x v="21"/>
    <x v="180"/>
    <x v="45"/>
    <x v="0"/>
    <x v="2"/>
    <x v="3"/>
    <x v="1"/>
    <x v="0"/>
    <x v="40"/>
    <x v="264"/>
    <x v="5"/>
    <x v="1"/>
  </r>
  <r>
    <x v="24"/>
    <x v="100"/>
    <x v="1"/>
    <x v="174"/>
    <x v="97"/>
    <x v="4"/>
    <x v="2"/>
    <x v="3"/>
    <x v="1"/>
    <x v="0"/>
    <x v="24"/>
    <x v="265"/>
    <x v="5"/>
    <x v="1"/>
  </r>
  <r>
    <x v="10"/>
    <x v="47"/>
    <x v="24"/>
    <x v="4"/>
    <x v="47"/>
    <x v="0"/>
    <x v="2"/>
    <x v="3"/>
    <x v="1"/>
    <x v="1"/>
    <x v="10"/>
    <x v="33"/>
    <x v="5"/>
    <x v="1"/>
  </r>
  <r>
    <x v="39"/>
    <x v="48"/>
    <x v="2"/>
    <x v="23"/>
    <x v="48"/>
    <x v="0"/>
    <x v="2"/>
    <x v="3"/>
    <x v="1"/>
    <x v="0"/>
    <x v="39"/>
    <x v="266"/>
    <x v="6"/>
    <x v="1"/>
  </r>
  <r>
    <x v="42"/>
    <x v="101"/>
    <x v="8"/>
    <x v="181"/>
    <x v="49"/>
    <x v="0"/>
    <x v="2"/>
    <x v="0"/>
    <x v="2"/>
    <x v="0"/>
    <x v="42"/>
    <x v="267"/>
    <x v="7"/>
    <x v="2"/>
  </r>
  <r>
    <x v="4"/>
    <x v="50"/>
    <x v="21"/>
    <x v="182"/>
    <x v="50"/>
    <x v="0"/>
    <x v="2"/>
    <x v="0"/>
    <x v="2"/>
    <x v="0"/>
    <x v="4"/>
    <x v="268"/>
    <x v="0"/>
    <x v="2"/>
  </r>
  <r>
    <x v="42"/>
    <x v="51"/>
    <x v="27"/>
    <x v="183"/>
    <x v="51"/>
    <x v="0"/>
    <x v="2"/>
    <x v="0"/>
    <x v="2"/>
    <x v="0"/>
    <x v="42"/>
    <x v="269"/>
    <x v="11"/>
    <x v="2"/>
  </r>
  <r>
    <x v="23"/>
    <x v="171"/>
    <x v="20"/>
    <x v="23"/>
    <x v="147"/>
    <x v="0"/>
    <x v="2"/>
    <x v="1"/>
    <x v="2"/>
    <x v="0"/>
    <x v="23"/>
    <x v="270"/>
    <x v="1"/>
    <x v="2"/>
  </r>
  <r>
    <x v="14"/>
    <x v="102"/>
    <x v="34"/>
    <x v="176"/>
    <x v="53"/>
    <x v="2"/>
    <x v="2"/>
    <x v="1"/>
    <x v="2"/>
    <x v="0"/>
    <x v="14"/>
    <x v="271"/>
    <x v="1"/>
    <x v="2"/>
  </r>
  <r>
    <x v="86"/>
    <x v="222"/>
    <x v="1"/>
    <x v="184"/>
    <x v="186"/>
    <x v="0"/>
    <x v="4"/>
    <x v="0"/>
    <x v="0"/>
    <x v="1"/>
    <x v="86"/>
    <x v="272"/>
    <x v="0"/>
    <x v="0"/>
  </r>
  <r>
    <x v="10"/>
    <x v="54"/>
    <x v="6"/>
    <x v="185"/>
    <x v="54"/>
    <x v="0"/>
    <x v="4"/>
    <x v="1"/>
    <x v="0"/>
    <x v="0"/>
    <x v="10"/>
    <x v="273"/>
    <x v="8"/>
    <x v="0"/>
  </r>
  <r>
    <x v="23"/>
    <x v="249"/>
    <x v="4"/>
    <x v="186"/>
    <x v="209"/>
    <x v="0"/>
    <x v="4"/>
    <x v="1"/>
    <x v="0"/>
    <x v="1"/>
    <x v="23"/>
    <x v="274"/>
    <x v="9"/>
    <x v="0"/>
  </r>
  <r>
    <x v="3"/>
    <x v="3"/>
    <x v="0"/>
    <x v="187"/>
    <x v="3"/>
    <x v="0"/>
    <x v="4"/>
    <x v="2"/>
    <x v="0"/>
    <x v="0"/>
    <x v="3"/>
    <x v="275"/>
    <x v="3"/>
    <x v="0"/>
  </r>
  <r>
    <x v="5"/>
    <x v="5"/>
    <x v="15"/>
    <x v="188"/>
    <x v="5"/>
    <x v="0"/>
    <x v="4"/>
    <x v="3"/>
    <x v="0"/>
    <x v="0"/>
    <x v="5"/>
    <x v="276"/>
    <x v="4"/>
    <x v="0"/>
  </r>
  <r>
    <x v="44"/>
    <x v="55"/>
    <x v="24"/>
    <x v="189"/>
    <x v="55"/>
    <x v="0"/>
    <x v="4"/>
    <x v="0"/>
    <x v="1"/>
    <x v="1"/>
    <x v="44"/>
    <x v="277"/>
    <x v="7"/>
    <x v="1"/>
  </r>
  <r>
    <x v="10"/>
    <x v="10"/>
    <x v="20"/>
    <x v="4"/>
    <x v="10"/>
    <x v="0"/>
    <x v="4"/>
    <x v="0"/>
    <x v="1"/>
    <x v="1"/>
    <x v="10"/>
    <x v="28"/>
    <x v="0"/>
    <x v="1"/>
  </r>
  <r>
    <x v="57"/>
    <x v="250"/>
    <x v="16"/>
    <x v="190"/>
    <x v="210"/>
    <x v="0"/>
    <x v="4"/>
    <x v="1"/>
    <x v="1"/>
    <x v="0"/>
    <x v="57"/>
    <x v="278"/>
    <x v="8"/>
    <x v="1"/>
  </r>
  <r>
    <x v="61"/>
    <x v="225"/>
    <x v="26"/>
    <x v="191"/>
    <x v="189"/>
    <x v="0"/>
    <x v="4"/>
    <x v="1"/>
    <x v="1"/>
    <x v="0"/>
    <x v="61"/>
    <x v="279"/>
    <x v="1"/>
    <x v="1"/>
  </r>
  <r>
    <x v="13"/>
    <x v="13"/>
    <x v="29"/>
    <x v="192"/>
    <x v="13"/>
    <x v="0"/>
    <x v="4"/>
    <x v="1"/>
    <x v="1"/>
    <x v="0"/>
    <x v="13"/>
    <x v="280"/>
    <x v="9"/>
    <x v="1"/>
  </r>
  <r>
    <x v="14"/>
    <x v="14"/>
    <x v="21"/>
    <x v="184"/>
    <x v="14"/>
    <x v="0"/>
    <x v="4"/>
    <x v="2"/>
    <x v="1"/>
    <x v="1"/>
    <x v="14"/>
    <x v="281"/>
    <x v="2"/>
    <x v="1"/>
  </r>
  <r>
    <x v="85"/>
    <x v="228"/>
    <x v="28"/>
    <x v="185"/>
    <x v="191"/>
    <x v="0"/>
    <x v="4"/>
    <x v="2"/>
    <x v="1"/>
    <x v="0"/>
    <x v="85"/>
    <x v="282"/>
    <x v="3"/>
    <x v="1"/>
  </r>
  <r>
    <x v="75"/>
    <x v="251"/>
    <x v="32"/>
    <x v="193"/>
    <x v="211"/>
    <x v="0"/>
    <x v="4"/>
    <x v="2"/>
    <x v="1"/>
    <x v="0"/>
    <x v="75"/>
    <x v="283"/>
    <x v="10"/>
    <x v="1"/>
  </r>
  <r>
    <x v="47"/>
    <x v="58"/>
    <x v="26"/>
    <x v="193"/>
    <x v="17"/>
    <x v="0"/>
    <x v="4"/>
    <x v="3"/>
    <x v="1"/>
    <x v="0"/>
    <x v="47"/>
    <x v="284"/>
    <x v="4"/>
    <x v="1"/>
  </r>
  <r>
    <x v="18"/>
    <x v="18"/>
    <x v="28"/>
    <x v="4"/>
    <x v="18"/>
    <x v="0"/>
    <x v="4"/>
    <x v="3"/>
    <x v="1"/>
    <x v="1"/>
    <x v="18"/>
    <x v="47"/>
    <x v="5"/>
    <x v="1"/>
  </r>
  <r>
    <x v="48"/>
    <x v="230"/>
    <x v="3"/>
    <x v="4"/>
    <x v="193"/>
    <x v="5"/>
    <x v="4"/>
    <x v="3"/>
    <x v="1"/>
    <x v="1"/>
    <x v="48"/>
    <x v="26"/>
    <x v="5"/>
    <x v="1"/>
  </r>
  <r>
    <x v="35"/>
    <x v="59"/>
    <x v="26"/>
    <x v="4"/>
    <x v="58"/>
    <x v="0"/>
    <x v="4"/>
    <x v="3"/>
    <x v="1"/>
    <x v="0"/>
    <x v="35"/>
    <x v="36"/>
    <x v="5"/>
    <x v="1"/>
  </r>
  <r>
    <x v="88"/>
    <x v="252"/>
    <x v="26"/>
    <x v="4"/>
    <x v="212"/>
    <x v="0"/>
    <x v="4"/>
    <x v="3"/>
    <x v="1"/>
    <x v="1"/>
    <x v="88"/>
    <x v="36"/>
    <x v="6"/>
    <x v="1"/>
  </r>
  <r>
    <x v="28"/>
    <x v="60"/>
    <x v="13"/>
    <x v="186"/>
    <x v="59"/>
    <x v="0"/>
    <x v="4"/>
    <x v="0"/>
    <x v="2"/>
    <x v="0"/>
    <x v="28"/>
    <x v="285"/>
    <x v="0"/>
    <x v="2"/>
  </r>
  <r>
    <x v="23"/>
    <x v="233"/>
    <x v="15"/>
    <x v="194"/>
    <x v="196"/>
    <x v="5"/>
    <x v="4"/>
    <x v="0"/>
    <x v="2"/>
    <x v="0"/>
    <x v="23"/>
    <x v="286"/>
    <x v="11"/>
    <x v="2"/>
  </r>
  <r>
    <x v="1"/>
    <x v="234"/>
    <x v="1"/>
    <x v="189"/>
    <x v="197"/>
    <x v="0"/>
    <x v="4"/>
    <x v="0"/>
    <x v="2"/>
    <x v="0"/>
    <x v="1"/>
    <x v="287"/>
    <x v="11"/>
    <x v="2"/>
  </r>
  <r>
    <x v="12"/>
    <x v="253"/>
    <x v="13"/>
    <x v="190"/>
    <x v="213"/>
    <x v="4"/>
    <x v="4"/>
    <x v="1"/>
    <x v="2"/>
    <x v="1"/>
    <x v="12"/>
    <x v="288"/>
    <x v="8"/>
    <x v="2"/>
  </r>
  <r>
    <x v="70"/>
    <x v="235"/>
    <x v="45"/>
    <x v="191"/>
    <x v="198"/>
    <x v="0"/>
    <x v="4"/>
    <x v="1"/>
    <x v="2"/>
    <x v="0"/>
    <x v="70"/>
    <x v="289"/>
    <x v="1"/>
    <x v="2"/>
  </r>
  <r>
    <x v="0"/>
    <x v="0"/>
    <x v="6"/>
    <x v="195"/>
    <x v="0"/>
    <x v="0"/>
    <x v="0"/>
    <x v="0"/>
    <x v="0"/>
    <x v="0"/>
    <x v="0"/>
    <x v="290"/>
    <x v="0"/>
    <x v="0"/>
  </r>
  <r>
    <x v="10"/>
    <x v="54"/>
    <x v="12"/>
    <x v="196"/>
    <x v="54"/>
    <x v="0"/>
    <x v="0"/>
    <x v="1"/>
    <x v="0"/>
    <x v="0"/>
    <x v="10"/>
    <x v="291"/>
    <x v="8"/>
    <x v="0"/>
  </r>
  <r>
    <x v="2"/>
    <x v="2"/>
    <x v="0"/>
    <x v="197"/>
    <x v="2"/>
    <x v="0"/>
    <x v="0"/>
    <x v="2"/>
    <x v="0"/>
    <x v="0"/>
    <x v="2"/>
    <x v="292"/>
    <x v="2"/>
    <x v="0"/>
  </r>
  <r>
    <x v="3"/>
    <x v="3"/>
    <x v="0"/>
    <x v="198"/>
    <x v="3"/>
    <x v="0"/>
    <x v="0"/>
    <x v="2"/>
    <x v="0"/>
    <x v="0"/>
    <x v="3"/>
    <x v="293"/>
    <x v="3"/>
    <x v="0"/>
  </r>
  <r>
    <x v="4"/>
    <x v="4"/>
    <x v="13"/>
    <x v="199"/>
    <x v="4"/>
    <x v="0"/>
    <x v="0"/>
    <x v="3"/>
    <x v="0"/>
    <x v="0"/>
    <x v="4"/>
    <x v="294"/>
    <x v="4"/>
    <x v="0"/>
  </r>
  <r>
    <x v="5"/>
    <x v="5"/>
    <x v="12"/>
    <x v="200"/>
    <x v="5"/>
    <x v="0"/>
    <x v="0"/>
    <x v="3"/>
    <x v="0"/>
    <x v="0"/>
    <x v="5"/>
    <x v="295"/>
    <x v="4"/>
    <x v="0"/>
  </r>
  <r>
    <x v="6"/>
    <x v="6"/>
    <x v="32"/>
    <x v="201"/>
    <x v="6"/>
    <x v="0"/>
    <x v="0"/>
    <x v="3"/>
    <x v="0"/>
    <x v="0"/>
    <x v="6"/>
    <x v="296"/>
    <x v="5"/>
    <x v="0"/>
  </r>
  <r>
    <x v="7"/>
    <x v="7"/>
    <x v="22"/>
    <x v="202"/>
    <x v="7"/>
    <x v="0"/>
    <x v="0"/>
    <x v="3"/>
    <x v="0"/>
    <x v="0"/>
    <x v="7"/>
    <x v="297"/>
    <x v="5"/>
    <x v="0"/>
  </r>
  <r>
    <x v="8"/>
    <x v="8"/>
    <x v="0"/>
    <x v="203"/>
    <x v="8"/>
    <x v="0"/>
    <x v="0"/>
    <x v="3"/>
    <x v="0"/>
    <x v="0"/>
    <x v="8"/>
    <x v="298"/>
    <x v="6"/>
    <x v="0"/>
  </r>
  <r>
    <x v="44"/>
    <x v="55"/>
    <x v="23"/>
    <x v="198"/>
    <x v="55"/>
    <x v="0"/>
    <x v="0"/>
    <x v="0"/>
    <x v="1"/>
    <x v="0"/>
    <x v="44"/>
    <x v="299"/>
    <x v="7"/>
    <x v="1"/>
  </r>
  <r>
    <x v="10"/>
    <x v="10"/>
    <x v="11"/>
    <x v="204"/>
    <x v="10"/>
    <x v="0"/>
    <x v="0"/>
    <x v="0"/>
    <x v="1"/>
    <x v="0"/>
    <x v="10"/>
    <x v="300"/>
    <x v="0"/>
    <x v="1"/>
  </r>
  <r>
    <x v="45"/>
    <x v="56"/>
    <x v="10"/>
    <x v="205"/>
    <x v="56"/>
    <x v="0"/>
    <x v="0"/>
    <x v="1"/>
    <x v="1"/>
    <x v="0"/>
    <x v="45"/>
    <x v="301"/>
    <x v="8"/>
    <x v="1"/>
  </r>
  <r>
    <x v="12"/>
    <x v="12"/>
    <x v="6"/>
    <x v="200"/>
    <x v="12"/>
    <x v="0"/>
    <x v="0"/>
    <x v="1"/>
    <x v="1"/>
    <x v="0"/>
    <x v="12"/>
    <x v="302"/>
    <x v="1"/>
    <x v="1"/>
  </r>
  <r>
    <x v="13"/>
    <x v="13"/>
    <x v="1"/>
    <x v="206"/>
    <x v="13"/>
    <x v="0"/>
    <x v="0"/>
    <x v="1"/>
    <x v="1"/>
    <x v="0"/>
    <x v="13"/>
    <x v="303"/>
    <x v="9"/>
    <x v="1"/>
  </r>
  <r>
    <x v="14"/>
    <x v="14"/>
    <x v="9"/>
    <x v="207"/>
    <x v="14"/>
    <x v="0"/>
    <x v="0"/>
    <x v="2"/>
    <x v="1"/>
    <x v="0"/>
    <x v="14"/>
    <x v="304"/>
    <x v="2"/>
    <x v="1"/>
  </r>
  <r>
    <x v="15"/>
    <x v="15"/>
    <x v="14"/>
    <x v="97"/>
    <x v="15"/>
    <x v="0"/>
    <x v="0"/>
    <x v="2"/>
    <x v="1"/>
    <x v="0"/>
    <x v="15"/>
    <x v="305"/>
    <x v="3"/>
    <x v="1"/>
  </r>
  <r>
    <x v="46"/>
    <x v="57"/>
    <x v="22"/>
    <x v="208"/>
    <x v="57"/>
    <x v="0"/>
    <x v="0"/>
    <x v="2"/>
    <x v="1"/>
    <x v="0"/>
    <x v="46"/>
    <x v="306"/>
    <x v="10"/>
    <x v="1"/>
  </r>
  <r>
    <x v="47"/>
    <x v="58"/>
    <x v="1"/>
    <x v="209"/>
    <x v="17"/>
    <x v="0"/>
    <x v="0"/>
    <x v="3"/>
    <x v="1"/>
    <x v="0"/>
    <x v="47"/>
    <x v="307"/>
    <x v="4"/>
    <x v="1"/>
  </r>
  <r>
    <x v="18"/>
    <x v="18"/>
    <x v="13"/>
    <x v="210"/>
    <x v="18"/>
    <x v="0"/>
    <x v="0"/>
    <x v="3"/>
    <x v="1"/>
    <x v="0"/>
    <x v="18"/>
    <x v="308"/>
    <x v="5"/>
    <x v="1"/>
  </r>
  <r>
    <x v="0"/>
    <x v="19"/>
    <x v="19"/>
    <x v="4"/>
    <x v="19"/>
    <x v="0"/>
    <x v="0"/>
    <x v="3"/>
    <x v="1"/>
    <x v="1"/>
    <x v="0"/>
    <x v="25"/>
    <x v="5"/>
    <x v="1"/>
  </r>
  <r>
    <x v="35"/>
    <x v="59"/>
    <x v="0"/>
    <x v="211"/>
    <x v="58"/>
    <x v="0"/>
    <x v="0"/>
    <x v="3"/>
    <x v="1"/>
    <x v="0"/>
    <x v="35"/>
    <x v="309"/>
    <x v="5"/>
    <x v="1"/>
  </r>
  <r>
    <x v="5"/>
    <x v="62"/>
    <x v="10"/>
    <x v="198"/>
    <x v="61"/>
    <x v="0"/>
    <x v="0"/>
    <x v="0"/>
    <x v="2"/>
    <x v="0"/>
    <x v="5"/>
    <x v="310"/>
    <x v="7"/>
    <x v="2"/>
  </r>
  <r>
    <x v="28"/>
    <x v="60"/>
    <x v="8"/>
    <x v="212"/>
    <x v="59"/>
    <x v="0"/>
    <x v="0"/>
    <x v="0"/>
    <x v="2"/>
    <x v="0"/>
    <x v="28"/>
    <x v="311"/>
    <x v="0"/>
    <x v="2"/>
  </r>
  <r>
    <x v="37"/>
    <x v="121"/>
    <x v="25"/>
    <x v="4"/>
    <x v="23"/>
    <x v="0"/>
    <x v="0"/>
    <x v="0"/>
    <x v="2"/>
    <x v="1"/>
    <x v="37"/>
    <x v="44"/>
    <x v="11"/>
    <x v="2"/>
  </r>
  <r>
    <x v="9"/>
    <x v="61"/>
    <x v="36"/>
    <x v="205"/>
    <x v="60"/>
    <x v="0"/>
    <x v="0"/>
    <x v="1"/>
    <x v="2"/>
    <x v="1"/>
    <x v="9"/>
    <x v="312"/>
    <x v="8"/>
    <x v="2"/>
  </r>
  <r>
    <x v="23"/>
    <x v="25"/>
    <x v="5"/>
    <x v="200"/>
    <x v="25"/>
    <x v="1"/>
    <x v="0"/>
    <x v="1"/>
    <x v="2"/>
    <x v="0"/>
    <x v="23"/>
    <x v="313"/>
    <x v="1"/>
    <x v="2"/>
  </r>
  <r>
    <x v="72"/>
    <x v="246"/>
    <x v="18"/>
    <x v="4"/>
    <x v="206"/>
    <x v="0"/>
    <x v="3"/>
    <x v="0"/>
    <x v="0"/>
    <x v="1"/>
    <x v="72"/>
    <x v="23"/>
    <x v="7"/>
    <x v="0"/>
  </r>
  <r>
    <x v="77"/>
    <x v="210"/>
    <x v="28"/>
    <x v="4"/>
    <x v="178"/>
    <x v="0"/>
    <x v="3"/>
    <x v="0"/>
    <x v="0"/>
    <x v="1"/>
    <x v="77"/>
    <x v="47"/>
    <x v="11"/>
    <x v="0"/>
  </r>
  <r>
    <x v="10"/>
    <x v="194"/>
    <x v="1"/>
    <x v="4"/>
    <x v="166"/>
    <x v="0"/>
    <x v="3"/>
    <x v="1"/>
    <x v="0"/>
    <x v="1"/>
    <x v="10"/>
    <x v="13"/>
    <x v="1"/>
    <x v="0"/>
  </r>
  <r>
    <x v="20"/>
    <x v="195"/>
    <x v="2"/>
    <x v="4"/>
    <x v="167"/>
    <x v="0"/>
    <x v="3"/>
    <x v="2"/>
    <x v="0"/>
    <x v="2"/>
    <x v="20"/>
    <x v="9"/>
    <x v="2"/>
    <x v="0"/>
  </r>
  <r>
    <x v="82"/>
    <x v="196"/>
    <x v="10"/>
    <x v="4"/>
    <x v="168"/>
    <x v="0"/>
    <x v="3"/>
    <x v="2"/>
    <x v="0"/>
    <x v="1"/>
    <x v="82"/>
    <x v="11"/>
    <x v="10"/>
    <x v="0"/>
  </r>
  <r>
    <x v="4"/>
    <x v="197"/>
    <x v="7"/>
    <x v="4"/>
    <x v="169"/>
    <x v="0"/>
    <x v="3"/>
    <x v="3"/>
    <x v="0"/>
    <x v="2"/>
    <x v="4"/>
    <x v="7"/>
    <x v="4"/>
    <x v="0"/>
  </r>
  <r>
    <x v="86"/>
    <x v="198"/>
    <x v="8"/>
    <x v="4"/>
    <x v="155"/>
    <x v="0"/>
    <x v="3"/>
    <x v="3"/>
    <x v="0"/>
    <x v="1"/>
    <x v="86"/>
    <x v="38"/>
    <x v="5"/>
    <x v="0"/>
  </r>
  <r>
    <x v="39"/>
    <x v="199"/>
    <x v="15"/>
    <x v="4"/>
    <x v="103"/>
    <x v="0"/>
    <x v="3"/>
    <x v="3"/>
    <x v="0"/>
    <x v="1"/>
    <x v="39"/>
    <x v="27"/>
    <x v="5"/>
    <x v="0"/>
  </r>
  <r>
    <x v="87"/>
    <x v="200"/>
    <x v="8"/>
    <x v="4"/>
    <x v="170"/>
    <x v="0"/>
    <x v="3"/>
    <x v="3"/>
    <x v="0"/>
    <x v="1"/>
    <x v="87"/>
    <x v="38"/>
    <x v="5"/>
    <x v="0"/>
  </r>
  <r>
    <x v="23"/>
    <x v="201"/>
    <x v="23"/>
    <x v="4"/>
    <x v="171"/>
    <x v="0"/>
    <x v="3"/>
    <x v="3"/>
    <x v="0"/>
    <x v="2"/>
    <x v="23"/>
    <x v="31"/>
    <x v="6"/>
    <x v="0"/>
  </r>
  <r>
    <x v="25"/>
    <x v="238"/>
    <x v="24"/>
    <x v="4"/>
    <x v="200"/>
    <x v="0"/>
    <x v="3"/>
    <x v="0"/>
    <x v="1"/>
    <x v="2"/>
    <x v="25"/>
    <x v="33"/>
    <x v="7"/>
    <x v="1"/>
  </r>
  <r>
    <x v="30"/>
    <x v="202"/>
    <x v="6"/>
    <x v="4"/>
    <x v="172"/>
    <x v="0"/>
    <x v="3"/>
    <x v="0"/>
    <x v="1"/>
    <x v="1"/>
    <x v="30"/>
    <x v="24"/>
    <x v="11"/>
    <x v="1"/>
  </r>
  <r>
    <x v="23"/>
    <x v="203"/>
    <x v="30"/>
    <x v="4"/>
    <x v="173"/>
    <x v="0"/>
    <x v="3"/>
    <x v="1"/>
    <x v="1"/>
    <x v="1"/>
    <x v="23"/>
    <x v="49"/>
    <x v="8"/>
    <x v="1"/>
  </r>
  <r>
    <x v="83"/>
    <x v="254"/>
    <x v="16"/>
    <x v="4"/>
    <x v="214"/>
    <x v="0"/>
    <x v="3"/>
    <x v="1"/>
    <x v="1"/>
    <x v="1"/>
    <x v="83"/>
    <x v="21"/>
    <x v="9"/>
    <x v="1"/>
  </r>
  <r>
    <x v="36"/>
    <x v="41"/>
    <x v="8"/>
    <x v="4"/>
    <x v="41"/>
    <x v="0"/>
    <x v="3"/>
    <x v="2"/>
    <x v="1"/>
    <x v="1"/>
    <x v="36"/>
    <x v="38"/>
    <x v="3"/>
    <x v="1"/>
  </r>
  <r>
    <x v="7"/>
    <x v="205"/>
    <x v="30"/>
    <x v="4"/>
    <x v="175"/>
    <x v="0"/>
    <x v="3"/>
    <x v="2"/>
    <x v="1"/>
    <x v="2"/>
    <x v="7"/>
    <x v="49"/>
    <x v="10"/>
    <x v="1"/>
  </r>
  <r>
    <x v="38"/>
    <x v="43"/>
    <x v="14"/>
    <x v="4"/>
    <x v="43"/>
    <x v="0"/>
    <x v="3"/>
    <x v="3"/>
    <x v="1"/>
    <x v="1"/>
    <x v="38"/>
    <x v="41"/>
    <x v="4"/>
    <x v="1"/>
  </r>
  <r>
    <x v="39"/>
    <x v="44"/>
    <x v="32"/>
    <x v="4"/>
    <x v="44"/>
    <x v="0"/>
    <x v="3"/>
    <x v="3"/>
    <x v="1"/>
    <x v="1"/>
    <x v="39"/>
    <x v="53"/>
    <x v="4"/>
    <x v="1"/>
  </r>
  <r>
    <x v="40"/>
    <x v="45"/>
    <x v="5"/>
    <x v="4"/>
    <x v="45"/>
    <x v="0"/>
    <x v="3"/>
    <x v="3"/>
    <x v="1"/>
    <x v="1"/>
    <x v="40"/>
    <x v="15"/>
    <x v="5"/>
    <x v="1"/>
  </r>
  <r>
    <x v="77"/>
    <x v="206"/>
    <x v="16"/>
    <x v="213"/>
    <x v="159"/>
    <x v="0"/>
    <x v="3"/>
    <x v="3"/>
    <x v="1"/>
    <x v="0"/>
    <x v="77"/>
    <x v="314"/>
    <x v="5"/>
    <x v="1"/>
  </r>
  <r>
    <x v="10"/>
    <x v="47"/>
    <x v="15"/>
    <x v="4"/>
    <x v="47"/>
    <x v="0"/>
    <x v="3"/>
    <x v="3"/>
    <x v="1"/>
    <x v="1"/>
    <x v="10"/>
    <x v="27"/>
    <x v="5"/>
    <x v="1"/>
  </r>
  <r>
    <x v="2"/>
    <x v="188"/>
    <x v="0"/>
    <x v="4"/>
    <x v="160"/>
    <x v="0"/>
    <x v="3"/>
    <x v="3"/>
    <x v="1"/>
    <x v="1"/>
    <x v="2"/>
    <x v="32"/>
    <x v="6"/>
    <x v="1"/>
  </r>
  <r>
    <x v="3"/>
    <x v="219"/>
    <x v="22"/>
    <x v="214"/>
    <x v="183"/>
    <x v="5"/>
    <x v="3"/>
    <x v="0"/>
    <x v="2"/>
    <x v="1"/>
    <x v="3"/>
    <x v="315"/>
    <x v="7"/>
    <x v="2"/>
  </r>
  <r>
    <x v="23"/>
    <x v="208"/>
    <x v="15"/>
    <x v="215"/>
    <x v="176"/>
    <x v="0"/>
    <x v="3"/>
    <x v="0"/>
    <x v="2"/>
    <x v="0"/>
    <x v="23"/>
    <x v="316"/>
    <x v="0"/>
    <x v="2"/>
  </r>
  <r>
    <x v="39"/>
    <x v="190"/>
    <x v="18"/>
    <x v="216"/>
    <x v="162"/>
    <x v="0"/>
    <x v="3"/>
    <x v="0"/>
    <x v="2"/>
    <x v="0"/>
    <x v="39"/>
    <x v="317"/>
    <x v="11"/>
    <x v="2"/>
  </r>
  <r>
    <x v="39"/>
    <x v="255"/>
    <x v="21"/>
    <x v="4"/>
    <x v="202"/>
    <x v="2"/>
    <x v="3"/>
    <x v="1"/>
    <x v="2"/>
    <x v="1"/>
    <x v="39"/>
    <x v="29"/>
    <x v="1"/>
    <x v="2"/>
  </r>
  <r>
    <x v="46"/>
    <x v="211"/>
    <x v="12"/>
    <x v="4"/>
    <x v="179"/>
    <x v="0"/>
    <x v="1"/>
    <x v="1"/>
    <x v="0"/>
    <x v="1"/>
    <x v="46"/>
    <x v="46"/>
    <x v="1"/>
    <x v="0"/>
  </r>
  <r>
    <x v="1"/>
    <x v="212"/>
    <x v="9"/>
    <x v="4"/>
    <x v="180"/>
    <x v="0"/>
    <x v="1"/>
    <x v="2"/>
    <x v="0"/>
    <x v="1"/>
    <x v="1"/>
    <x v="10"/>
    <x v="2"/>
    <x v="0"/>
  </r>
  <r>
    <x v="42"/>
    <x v="179"/>
    <x v="26"/>
    <x v="4"/>
    <x v="153"/>
    <x v="0"/>
    <x v="1"/>
    <x v="2"/>
    <x v="0"/>
    <x v="1"/>
    <x v="42"/>
    <x v="36"/>
    <x v="10"/>
    <x v="0"/>
  </r>
  <r>
    <x v="78"/>
    <x v="180"/>
    <x v="10"/>
    <x v="4"/>
    <x v="154"/>
    <x v="0"/>
    <x v="1"/>
    <x v="3"/>
    <x v="0"/>
    <x v="1"/>
    <x v="78"/>
    <x v="11"/>
    <x v="4"/>
    <x v="0"/>
  </r>
  <r>
    <x v="13"/>
    <x v="213"/>
    <x v="25"/>
    <x v="4"/>
    <x v="155"/>
    <x v="0"/>
    <x v="1"/>
    <x v="3"/>
    <x v="0"/>
    <x v="1"/>
    <x v="13"/>
    <x v="44"/>
    <x v="5"/>
    <x v="0"/>
  </r>
  <r>
    <x v="40"/>
    <x v="172"/>
    <x v="19"/>
    <x v="4"/>
    <x v="104"/>
    <x v="0"/>
    <x v="1"/>
    <x v="3"/>
    <x v="0"/>
    <x v="1"/>
    <x v="40"/>
    <x v="25"/>
    <x v="5"/>
    <x v="0"/>
  </r>
  <r>
    <x v="74"/>
    <x v="182"/>
    <x v="26"/>
    <x v="4"/>
    <x v="105"/>
    <x v="0"/>
    <x v="1"/>
    <x v="3"/>
    <x v="0"/>
    <x v="1"/>
    <x v="74"/>
    <x v="36"/>
    <x v="6"/>
    <x v="0"/>
  </r>
  <r>
    <x v="23"/>
    <x v="157"/>
    <x v="23"/>
    <x v="4"/>
    <x v="138"/>
    <x v="0"/>
    <x v="1"/>
    <x v="0"/>
    <x v="1"/>
    <x v="1"/>
    <x v="23"/>
    <x v="31"/>
    <x v="7"/>
    <x v="1"/>
  </r>
  <r>
    <x v="83"/>
    <x v="215"/>
    <x v="27"/>
    <x v="4"/>
    <x v="156"/>
    <x v="0"/>
    <x v="1"/>
    <x v="1"/>
    <x v="1"/>
    <x v="1"/>
    <x v="83"/>
    <x v="39"/>
    <x v="8"/>
    <x v="1"/>
  </r>
  <r>
    <x v="22"/>
    <x v="113"/>
    <x v="9"/>
    <x v="4"/>
    <x v="108"/>
    <x v="3"/>
    <x v="1"/>
    <x v="1"/>
    <x v="1"/>
    <x v="1"/>
    <x v="22"/>
    <x v="10"/>
    <x v="9"/>
    <x v="1"/>
  </r>
  <r>
    <x v="70"/>
    <x v="114"/>
    <x v="14"/>
    <x v="4"/>
    <x v="109"/>
    <x v="0"/>
    <x v="1"/>
    <x v="2"/>
    <x v="1"/>
    <x v="0"/>
    <x v="70"/>
    <x v="41"/>
    <x v="2"/>
    <x v="1"/>
  </r>
  <r>
    <x v="84"/>
    <x v="184"/>
    <x v="25"/>
    <x v="4"/>
    <x v="157"/>
    <x v="0"/>
    <x v="1"/>
    <x v="2"/>
    <x v="1"/>
    <x v="1"/>
    <x v="84"/>
    <x v="44"/>
    <x v="3"/>
    <x v="1"/>
  </r>
  <r>
    <x v="69"/>
    <x v="116"/>
    <x v="27"/>
    <x v="4"/>
    <x v="111"/>
    <x v="0"/>
    <x v="1"/>
    <x v="2"/>
    <x v="1"/>
    <x v="1"/>
    <x v="69"/>
    <x v="39"/>
    <x v="3"/>
    <x v="1"/>
  </r>
  <r>
    <x v="85"/>
    <x v="185"/>
    <x v="8"/>
    <x v="4"/>
    <x v="158"/>
    <x v="0"/>
    <x v="1"/>
    <x v="3"/>
    <x v="0"/>
    <x v="1"/>
    <x v="85"/>
    <x v="38"/>
    <x v="4"/>
    <x v="0"/>
  </r>
  <r>
    <x v="23"/>
    <x v="217"/>
    <x v="30"/>
    <x v="4"/>
    <x v="113"/>
    <x v="0"/>
    <x v="1"/>
    <x v="3"/>
    <x v="1"/>
    <x v="1"/>
    <x v="23"/>
    <x v="49"/>
    <x v="4"/>
    <x v="1"/>
  </r>
  <r>
    <x v="21"/>
    <x v="175"/>
    <x v="26"/>
    <x v="4"/>
    <x v="45"/>
    <x v="0"/>
    <x v="1"/>
    <x v="3"/>
    <x v="1"/>
    <x v="0"/>
    <x v="21"/>
    <x v="36"/>
    <x v="5"/>
    <x v="1"/>
  </r>
  <r>
    <x v="45"/>
    <x v="186"/>
    <x v="18"/>
    <x v="217"/>
    <x v="159"/>
    <x v="0"/>
    <x v="1"/>
    <x v="3"/>
    <x v="1"/>
    <x v="0"/>
    <x v="45"/>
    <x v="318"/>
    <x v="5"/>
    <x v="1"/>
  </r>
  <r>
    <x v="1"/>
    <x v="218"/>
    <x v="32"/>
    <x v="218"/>
    <x v="20"/>
    <x v="0"/>
    <x v="1"/>
    <x v="3"/>
    <x v="1"/>
    <x v="0"/>
    <x v="1"/>
    <x v="319"/>
    <x v="5"/>
    <x v="1"/>
  </r>
  <r>
    <x v="90"/>
    <x v="243"/>
    <x v="4"/>
    <x v="4"/>
    <x v="203"/>
    <x v="0"/>
    <x v="1"/>
    <x v="0"/>
    <x v="2"/>
    <x v="1"/>
    <x v="90"/>
    <x v="4"/>
    <x v="7"/>
    <x v="2"/>
  </r>
  <r>
    <x v="23"/>
    <x v="241"/>
    <x v="6"/>
    <x v="4"/>
    <x v="184"/>
    <x v="0"/>
    <x v="1"/>
    <x v="0"/>
    <x v="2"/>
    <x v="1"/>
    <x v="23"/>
    <x v="24"/>
    <x v="0"/>
    <x v="2"/>
  </r>
  <r>
    <x v="61"/>
    <x v="221"/>
    <x v="2"/>
    <x v="4"/>
    <x v="185"/>
    <x v="4"/>
    <x v="1"/>
    <x v="1"/>
    <x v="2"/>
    <x v="1"/>
    <x v="61"/>
    <x v="9"/>
    <x v="8"/>
    <x v="2"/>
  </r>
  <r>
    <x v="19"/>
    <x v="122"/>
    <x v="36"/>
    <x v="4"/>
    <x v="116"/>
    <x v="0"/>
    <x v="1"/>
    <x v="1"/>
    <x v="2"/>
    <x v="2"/>
    <x v="19"/>
    <x v="75"/>
    <x v="1"/>
    <x v="2"/>
  </r>
  <r>
    <x v="17"/>
    <x v="26"/>
    <x v="26"/>
    <x v="219"/>
    <x v="26"/>
    <x v="0"/>
    <x v="3"/>
    <x v="0"/>
    <x v="0"/>
    <x v="0"/>
    <x v="17"/>
    <x v="320"/>
    <x v="7"/>
    <x v="0"/>
  </r>
  <r>
    <x v="24"/>
    <x v="27"/>
    <x v="10"/>
    <x v="4"/>
    <x v="27"/>
    <x v="0"/>
    <x v="3"/>
    <x v="0"/>
    <x v="0"/>
    <x v="0"/>
    <x v="24"/>
    <x v="11"/>
    <x v="11"/>
    <x v="0"/>
  </r>
  <r>
    <x v="25"/>
    <x v="28"/>
    <x v="28"/>
    <x v="58"/>
    <x v="28"/>
    <x v="0"/>
    <x v="3"/>
    <x v="1"/>
    <x v="0"/>
    <x v="0"/>
    <x v="25"/>
    <x v="321"/>
    <x v="1"/>
    <x v="0"/>
  </r>
  <r>
    <x v="20"/>
    <x v="195"/>
    <x v="12"/>
    <x v="4"/>
    <x v="167"/>
    <x v="0"/>
    <x v="3"/>
    <x v="2"/>
    <x v="0"/>
    <x v="1"/>
    <x v="20"/>
    <x v="46"/>
    <x v="2"/>
    <x v="0"/>
  </r>
  <r>
    <x v="26"/>
    <x v="30"/>
    <x v="20"/>
    <x v="220"/>
    <x v="30"/>
    <x v="0"/>
    <x v="3"/>
    <x v="2"/>
    <x v="0"/>
    <x v="1"/>
    <x v="26"/>
    <x v="322"/>
    <x v="10"/>
    <x v="0"/>
  </r>
  <r>
    <x v="27"/>
    <x v="31"/>
    <x v="28"/>
    <x v="4"/>
    <x v="31"/>
    <x v="0"/>
    <x v="3"/>
    <x v="3"/>
    <x v="0"/>
    <x v="1"/>
    <x v="27"/>
    <x v="47"/>
    <x v="4"/>
    <x v="0"/>
  </r>
  <r>
    <x v="28"/>
    <x v="32"/>
    <x v="12"/>
    <x v="4"/>
    <x v="32"/>
    <x v="0"/>
    <x v="3"/>
    <x v="3"/>
    <x v="0"/>
    <x v="1"/>
    <x v="28"/>
    <x v="46"/>
    <x v="5"/>
    <x v="0"/>
  </r>
  <r>
    <x v="29"/>
    <x v="33"/>
    <x v="9"/>
    <x v="221"/>
    <x v="33"/>
    <x v="0"/>
    <x v="3"/>
    <x v="3"/>
    <x v="0"/>
    <x v="1"/>
    <x v="29"/>
    <x v="323"/>
    <x v="5"/>
    <x v="0"/>
  </r>
  <r>
    <x v="87"/>
    <x v="200"/>
    <x v="11"/>
    <x v="222"/>
    <x v="170"/>
    <x v="0"/>
    <x v="3"/>
    <x v="3"/>
    <x v="0"/>
    <x v="0"/>
    <x v="87"/>
    <x v="324"/>
    <x v="5"/>
    <x v="0"/>
  </r>
  <r>
    <x v="31"/>
    <x v="35"/>
    <x v="9"/>
    <x v="58"/>
    <x v="35"/>
    <x v="0"/>
    <x v="3"/>
    <x v="3"/>
    <x v="0"/>
    <x v="1"/>
    <x v="31"/>
    <x v="325"/>
    <x v="6"/>
    <x v="0"/>
  </r>
  <r>
    <x v="32"/>
    <x v="36"/>
    <x v="4"/>
    <x v="4"/>
    <x v="36"/>
    <x v="0"/>
    <x v="3"/>
    <x v="0"/>
    <x v="1"/>
    <x v="1"/>
    <x v="32"/>
    <x v="4"/>
    <x v="7"/>
    <x v="1"/>
  </r>
  <r>
    <x v="33"/>
    <x v="37"/>
    <x v="16"/>
    <x v="4"/>
    <x v="37"/>
    <x v="0"/>
    <x v="3"/>
    <x v="0"/>
    <x v="1"/>
    <x v="0"/>
    <x v="33"/>
    <x v="21"/>
    <x v="11"/>
    <x v="1"/>
  </r>
  <r>
    <x v="23"/>
    <x v="203"/>
    <x v="0"/>
    <x v="4"/>
    <x v="173"/>
    <x v="0"/>
    <x v="3"/>
    <x v="1"/>
    <x v="1"/>
    <x v="1"/>
    <x v="23"/>
    <x v="32"/>
    <x v="8"/>
    <x v="1"/>
  </r>
  <r>
    <x v="61"/>
    <x v="256"/>
    <x v="24"/>
    <x v="223"/>
    <x v="215"/>
    <x v="0"/>
    <x v="3"/>
    <x v="1"/>
    <x v="1"/>
    <x v="1"/>
    <x v="61"/>
    <x v="326"/>
    <x v="9"/>
    <x v="1"/>
  </r>
  <r>
    <x v="20"/>
    <x v="40"/>
    <x v="28"/>
    <x v="224"/>
    <x v="40"/>
    <x v="0"/>
    <x v="3"/>
    <x v="2"/>
    <x v="1"/>
    <x v="0"/>
    <x v="20"/>
    <x v="327"/>
    <x v="2"/>
    <x v="1"/>
  </r>
  <r>
    <x v="36"/>
    <x v="41"/>
    <x v="12"/>
    <x v="4"/>
    <x v="41"/>
    <x v="0"/>
    <x v="3"/>
    <x v="2"/>
    <x v="1"/>
    <x v="1"/>
    <x v="36"/>
    <x v="46"/>
    <x v="3"/>
    <x v="1"/>
  </r>
  <r>
    <x v="37"/>
    <x v="42"/>
    <x v="20"/>
    <x v="4"/>
    <x v="42"/>
    <x v="0"/>
    <x v="3"/>
    <x v="2"/>
    <x v="1"/>
    <x v="1"/>
    <x v="37"/>
    <x v="28"/>
    <x v="10"/>
    <x v="1"/>
  </r>
  <r>
    <x v="38"/>
    <x v="43"/>
    <x v="12"/>
    <x v="4"/>
    <x v="43"/>
    <x v="0"/>
    <x v="3"/>
    <x v="3"/>
    <x v="1"/>
    <x v="1"/>
    <x v="38"/>
    <x v="46"/>
    <x v="4"/>
    <x v="1"/>
  </r>
  <r>
    <x v="39"/>
    <x v="44"/>
    <x v="9"/>
    <x v="4"/>
    <x v="44"/>
    <x v="0"/>
    <x v="3"/>
    <x v="3"/>
    <x v="1"/>
    <x v="1"/>
    <x v="39"/>
    <x v="10"/>
    <x v="4"/>
    <x v="1"/>
  </r>
  <r>
    <x v="40"/>
    <x v="45"/>
    <x v="29"/>
    <x v="4"/>
    <x v="45"/>
    <x v="0"/>
    <x v="3"/>
    <x v="3"/>
    <x v="1"/>
    <x v="1"/>
    <x v="40"/>
    <x v="48"/>
    <x v="5"/>
    <x v="1"/>
  </r>
  <r>
    <x v="8"/>
    <x v="46"/>
    <x v="28"/>
    <x v="58"/>
    <x v="46"/>
    <x v="0"/>
    <x v="3"/>
    <x v="3"/>
    <x v="1"/>
    <x v="0"/>
    <x v="8"/>
    <x v="321"/>
    <x v="5"/>
    <x v="1"/>
  </r>
  <r>
    <x v="10"/>
    <x v="47"/>
    <x v="7"/>
    <x v="4"/>
    <x v="47"/>
    <x v="0"/>
    <x v="3"/>
    <x v="3"/>
    <x v="1"/>
    <x v="1"/>
    <x v="10"/>
    <x v="7"/>
    <x v="5"/>
    <x v="1"/>
  </r>
  <r>
    <x v="39"/>
    <x v="48"/>
    <x v="2"/>
    <x v="225"/>
    <x v="48"/>
    <x v="0"/>
    <x v="3"/>
    <x v="3"/>
    <x v="1"/>
    <x v="1"/>
    <x v="39"/>
    <x v="328"/>
    <x v="6"/>
    <x v="1"/>
  </r>
  <r>
    <x v="41"/>
    <x v="49"/>
    <x v="13"/>
    <x v="4"/>
    <x v="49"/>
    <x v="0"/>
    <x v="3"/>
    <x v="0"/>
    <x v="2"/>
    <x v="1"/>
    <x v="41"/>
    <x v="17"/>
    <x v="7"/>
    <x v="2"/>
  </r>
  <r>
    <x v="4"/>
    <x v="50"/>
    <x v="2"/>
    <x v="4"/>
    <x v="50"/>
    <x v="0"/>
    <x v="3"/>
    <x v="0"/>
    <x v="2"/>
    <x v="1"/>
    <x v="4"/>
    <x v="9"/>
    <x v="0"/>
    <x v="2"/>
  </r>
  <r>
    <x v="42"/>
    <x v="51"/>
    <x v="22"/>
    <x v="226"/>
    <x v="51"/>
    <x v="0"/>
    <x v="3"/>
    <x v="0"/>
    <x v="2"/>
    <x v="0"/>
    <x v="42"/>
    <x v="329"/>
    <x v="11"/>
    <x v="2"/>
  </r>
  <r>
    <x v="56"/>
    <x v="257"/>
    <x v="37"/>
    <x v="223"/>
    <x v="177"/>
    <x v="2"/>
    <x v="3"/>
    <x v="1"/>
    <x v="2"/>
    <x v="0"/>
    <x v="56"/>
    <x v="330"/>
    <x v="1"/>
    <x v="2"/>
  </r>
  <r>
    <x v="17"/>
    <x v="26"/>
    <x v="21"/>
    <x v="227"/>
    <x v="26"/>
    <x v="0"/>
    <x v="3"/>
    <x v="0"/>
    <x v="0"/>
    <x v="0"/>
    <x v="17"/>
    <x v="331"/>
    <x v="7"/>
    <x v="0"/>
  </r>
  <r>
    <x v="8"/>
    <x v="193"/>
    <x v="11"/>
    <x v="228"/>
    <x v="165"/>
    <x v="0"/>
    <x v="3"/>
    <x v="0"/>
    <x v="0"/>
    <x v="0"/>
    <x v="8"/>
    <x v="332"/>
    <x v="11"/>
    <x v="0"/>
  </r>
  <r>
    <x v="25"/>
    <x v="28"/>
    <x v="12"/>
    <x v="229"/>
    <x v="28"/>
    <x v="0"/>
    <x v="3"/>
    <x v="1"/>
    <x v="0"/>
    <x v="1"/>
    <x v="25"/>
    <x v="333"/>
    <x v="1"/>
    <x v="0"/>
  </r>
  <r>
    <x v="20"/>
    <x v="195"/>
    <x v="14"/>
    <x v="230"/>
    <x v="167"/>
    <x v="0"/>
    <x v="3"/>
    <x v="2"/>
    <x v="0"/>
    <x v="0"/>
    <x v="20"/>
    <x v="334"/>
    <x v="2"/>
    <x v="0"/>
  </r>
  <r>
    <x v="26"/>
    <x v="30"/>
    <x v="0"/>
    <x v="231"/>
    <x v="30"/>
    <x v="0"/>
    <x v="3"/>
    <x v="2"/>
    <x v="0"/>
    <x v="0"/>
    <x v="26"/>
    <x v="335"/>
    <x v="10"/>
    <x v="0"/>
  </r>
  <r>
    <x v="27"/>
    <x v="31"/>
    <x v="7"/>
    <x v="232"/>
    <x v="31"/>
    <x v="0"/>
    <x v="3"/>
    <x v="3"/>
    <x v="0"/>
    <x v="1"/>
    <x v="27"/>
    <x v="336"/>
    <x v="4"/>
    <x v="0"/>
  </r>
  <r>
    <x v="86"/>
    <x v="198"/>
    <x v="11"/>
    <x v="233"/>
    <x v="155"/>
    <x v="0"/>
    <x v="3"/>
    <x v="3"/>
    <x v="0"/>
    <x v="0"/>
    <x v="86"/>
    <x v="337"/>
    <x v="5"/>
    <x v="0"/>
  </r>
  <r>
    <x v="29"/>
    <x v="33"/>
    <x v="25"/>
    <x v="234"/>
    <x v="33"/>
    <x v="0"/>
    <x v="3"/>
    <x v="3"/>
    <x v="0"/>
    <x v="0"/>
    <x v="29"/>
    <x v="338"/>
    <x v="5"/>
    <x v="0"/>
  </r>
  <r>
    <x v="87"/>
    <x v="200"/>
    <x v="16"/>
    <x v="235"/>
    <x v="170"/>
    <x v="0"/>
    <x v="3"/>
    <x v="3"/>
    <x v="0"/>
    <x v="0"/>
    <x v="87"/>
    <x v="339"/>
    <x v="5"/>
    <x v="0"/>
  </r>
  <r>
    <x v="31"/>
    <x v="35"/>
    <x v="11"/>
    <x v="236"/>
    <x v="35"/>
    <x v="0"/>
    <x v="3"/>
    <x v="3"/>
    <x v="0"/>
    <x v="0"/>
    <x v="31"/>
    <x v="340"/>
    <x v="6"/>
    <x v="0"/>
  </r>
  <r>
    <x v="32"/>
    <x v="36"/>
    <x v="28"/>
    <x v="237"/>
    <x v="36"/>
    <x v="0"/>
    <x v="3"/>
    <x v="0"/>
    <x v="1"/>
    <x v="0"/>
    <x v="32"/>
    <x v="341"/>
    <x v="7"/>
    <x v="1"/>
  </r>
  <r>
    <x v="33"/>
    <x v="37"/>
    <x v="3"/>
    <x v="238"/>
    <x v="37"/>
    <x v="0"/>
    <x v="3"/>
    <x v="0"/>
    <x v="1"/>
    <x v="0"/>
    <x v="33"/>
    <x v="342"/>
    <x v="11"/>
    <x v="1"/>
  </r>
  <r>
    <x v="23"/>
    <x v="203"/>
    <x v="16"/>
    <x v="239"/>
    <x v="173"/>
    <x v="0"/>
    <x v="3"/>
    <x v="1"/>
    <x v="1"/>
    <x v="0"/>
    <x v="23"/>
    <x v="343"/>
    <x v="8"/>
    <x v="1"/>
  </r>
  <r>
    <x v="61"/>
    <x v="256"/>
    <x v="4"/>
    <x v="233"/>
    <x v="215"/>
    <x v="0"/>
    <x v="3"/>
    <x v="1"/>
    <x v="1"/>
    <x v="0"/>
    <x v="61"/>
    <x v="344"/>
    <x v="9"/>
    <x v="1"/>
  </r>
  <r>
    <x v="19"/>
    <x v="258"/>
    <x v="22"/>
    <x v="240"/>
    <x v="216"/>
    <x v="0"/>
    <x v="3"/>
    <x v="2"/>
    <x v="1"/>
    <x v="0"/>
    <x v="19"/>
    <x v="345"/>
    <x v="2"/>
    <x v="1"/>
  </r>
  <r>
    <x v="36"/>
    <x v="41"/>
    <x v="30"/>
    <x v="241"/>
    <x v="41"/>
    <x v="0"/>
    <x v="3"/>
    <x v="2"/>
    <x v="1"/>
    <x v="0"/>
    <x v="36"/>
    <x v="346"/>
    <x v="3"/>
    <x v="1"/>
  </r>
  <r>
    <x v="37"/>
    <x v="42"/>
    <x v="9"/>
    <x v="242"/>
    <x v="42"/>
    <x v="0"/>
    <x v="3"/>
    <x v="2"/>
    <x v="1"/>
    <x v="0"/>
    <x v="37"/>
    <x v="347"/>
    <x v="10"/>
    <x v="1"/>
  </r>
  <r>
    <x v="38"/>
    <x v="43"/>
    <x v="16"/>
    <x v="243"/>
    <x v="43"/>
    <x v="0"/>
    <x v="3"/>
    <x v="3"/>
    <x v="1"/>
    <x v="0"/>
    <x v="38"/>
    <x v="348"/>
    <x v="4"/>
    <x v="1"/>
  </r>
  <r>
    <x v="39"/>
    <x v="44"/>
    <x v="21"/>
    <x v="233"/>
    <x v="44"/>
    <x v="0"/>
    <x v="3"/>
    <x v="3"/>
    <x v="1"/>
    <x v="0"/>
    <x v="39"/>
    <x v="349"/>
    <x v="4"/>
    <x v="1"/>
  </r>
  <r>
    <x v="40"/>
    <x v="45"/>
    <x v="2"/>
    <x v="244"/>
    <x v="45"/>
    <x v="0"/>
    <x v="3"/>
    <x v="3"/>
    <x v="1"/>
    <x v="0"/>
    <x v="40"/>
    <x v="350"/>
    <x v="5"/>
    <x v="1"/>
  </r>
  <r>
    <x v="77"/>
    <x v="206"/>
    <x v="18"/>
    <x v="4"/>
    <x v="159"/>
    <x v="0"/>
    <x v="3"/>
    <x v="3"/>
    <x v="1"/>
    <x v="0"/>
    <x v="77"/>
    <x v="23"/>
    <x v="5"/>
    <x v="1"/>
  </r>
  <r>
    <x v="10"/>
    <x v="47"/>
    <x v="1"/>
    <x v="243"/>
    <x v="47"/>
    <x v="0"/>
    <x v="3"/>
    <x v="3"/>
    <x v="1"/>
    <x v="0"/>
    <x v="10"/>
    <x v="351"/>
    <x v="5"/>
    <x v="1"/>
  </r>
  <r>
    <x v="39"/>
    <x v="48"/>
    <x v="4"/>
    <x v="245"/>
    <x v="48"/>
    <x v="0"/>
    <x v="3"/>
    <x v="3"/>
    <x v="1"/>
    <x v="1"/>
    <x v="39"/>
    <x v="352"/>
    <x v="6"/>
    <x v="1"/>
  </r>
  <r>
    <x v="41"/>
    <x v="49"/>
    <x v="11"/>
    <x v="102"/>
    <x v="49"/>
    <x v="0"/>
    <x v="3"/>
    <x v="0"/>
    <x v="2"/>
    <x v="0"/>
    <x v="41"/>
    <x v="353"/>
    <x v="7"/>
    <x v="2"/>
  </r>
  <r>
    <x v="4"/>
    <x v="50"/>
    <x v="23"/>
    <x v="234"/>
    <x v="50"/>
    <x v="0"/>
    <x v="3"/>
    <x v="0"/>
    <x v="2"/>
    <x v="0"/>
    <x v="4"/>
    <x v="354"/>
    <x v="0"/>
    <x v="2"/>
  </r>
  <r>
    <x v="63"/>
    <x v="259"/>
    <x v="9"/>
    <x v="246"/>
    <x v="217"/>
    <x v="0"/>
    <x v="3"/>
    <x v="0"/>
    <x v="2"/>
    <x v="0"/>
    <x v="63"/>
    <x v="355"/>
    <x v="11"/>
    <x v="2"/>
  </r>
  <r>
    <x v="56"/>
    <x v="257"/>
    <x v="28"/>
    <x v="233"/>
    <x v="177"/>
    <x v="2"/>
    <x v="3"/>
    <x v="1"/>
    <x v="2"/>
    <x v="0"/>
    <x v="56"/>
    <x v="356"/>
    <x v="1"/>
    <x v="2"/>
  </r>
  <r>
    <x v="86"/>
    <x v="222"/>
    <x v="2"/>
    <x v="247"/>
    <x v="186"/>
    <x v="0"/>
    <x v="5"/>
    <x v="0"/>
    <x v="0"/>
    <x v="1"/>
    <x v="86"/>
    <x v="357"/>
    <x v="0"/>
    <x v="0"/>
  </r>
  <r>
    <x v="19"/>
    <x v="64"/>
    <x v="15"/>
    <x v="248"/>
    <x v="63"/>
    <x v="0"/>
    <x v="5"/>
    <x v="1"/>
    <x v="0"/>
    <x v="0"/>
    <x v="19"/>
    <x v="358"/>
    <x v="8"/>
    <x v="0"/>
  </r>
  <r>
    <x v="91"/>
    <x v="260"/>
    <x v="23"/>
    <x v="13"/>
    <x v="187"/>
    <x v="0"/>
    <x v="5"/>
    <x v="1"/>
    <x v="0"/>
    <x v="1"/>
    <x v="91"/>
    <x v="359"/>
    <x v="9"/>
    <x v="0"/>
  </r>
  <r>
    <x v="50"/>
    <x v="66"/>
    <x v="12"/>
    <x v="249"/>
    <x v="65"/>
    <x v="0"/>
    <x v="5"/>
    <x v="2"/>
    <x v="0"/>
    <x v="1"/>
    <x v="50"/>
    <x v="360"/>
    <x v="3"/>
    <x v="0"/>
  </r>
  <r>
    <x v="16"/>
    <x v="67"/>
    <x v="27"/>
    <x v="250"/>
    <x v="66"/>
    <x v="0"/>
    <x v="5"/>
    <x v="3"/>
    <x v="0"/>
    <x v="1"/>
    <x v="16"/>
    <x v="361"/>
    <x v="4"/>
    <x v="0"/>
  </r>
  <r>
    <x v="37"/>
    <x v="68"/>
    <x v="12"/>
    <x v="251"/>
    <x v="67"/>
    <x v="3"/>
    <x v="5"/>
    <x v="3"/>
    <x v="0"/>
    <x v="1"/>
    <x v="37"/>
    <x v="362"/>
    <x v="4"/>
    <x v="0"/>
  </r>
  <r>
    <x v="51"/>
    <x v="69"/>
    <x v="2"/>
    <x v="252"/>
    <x v="68"/>
    <x v="0"/>
    <x v="5"/>
    <x v="3"/>
    <x v="0"/>
    <x v="1"/>
    <x v="51"/>
    <x v="363"/>
    <x v="5"/>
    <x v="0"/>
  </r>
  <r>
    <x v="52"/>
    <x v="70"/>
    <x v="22"/>
    <x v="248"/>
    <x v="69"/>
    <x v="0"/>
    <x v="5"/>
    <x v="3"/>
    <x v="0"/>
    <x v="0"/>
    <x v="52"/>
    <x v="364"/>
    <x v="5"/>
    <x v="0"/>
  </r>
  <r>
    <x v="53"/>
    <x v="71"/>
    <x v="12"/>
    <x v="253"/>
    <x v="70"/>
    <x v="0"/>
    <x v="5"/>
    <x v="3"/>
    <x v="0"/>
    <x v="1"/>
    <x v="53"/>
    <x v="365"/>
    <x v="5"/>
    <x v="0"/>
  </r>
  <r>
    <x v="54"/>
    <x v="72"/>
    <x v="11"/>
    <x v="4"/>
    <x v="71"/>
    <x v="0"/>
    <x v="5"/>
    <x v="0"/>
    <x v="1"/>
    <x v="0"/>
    <x v="54"/>
    <x v="12"/>
    <x v="7"/>
    <x v="1"/>
  </r>
  <r>
    <x v="55"/>
    <x v="73"/>
    <x v="4"/>
    <x v="254"/>
    <x v="72"/>
    <x v="0"/>
    <x v="5"/>
    <x v="0"/>
    <x v="1"/>
    <x v="1"/>
    <x v="55"/>
    <x v="366"/>
    <x v="0"/>
    <x v="1"/>
  </r>
  <r>
    <x v="0"/>
    <x v="74"/>
    <x v="15"/>
    <x v="255"/>
    <x v="73"/>
    <x v="3"/>
    <x v="5"/>
    <x v="1"/>
    <x v="1"/>
    <x v="0"/>
    <x v="0"/>
    <x v="367"/>
    <x v="1"/>
    <x v="1"/>
  </r>
  <r>
    <x v="23"/>
    <x v="226"/>
    <x v="22"/>
    <x v="256"/>
    <x v="190"/>
    <x v="3"/>
    <x v="5"/>
    <x v="1"/>
    <x v="1"/>
    <x v="0"/>
    <x v="23"/>
    <x v="368"/>
    <x v="9"/>
    <x v="1"/>
  </r>
  <r>
    <x v="56"/>
    <x v="76"/>
    <x v="1"/>
    <x v="257"/>
    <x v="75"/>
    <x v="0"/>
    <x v="5"/>
    <x v="2"/>
    <x v="1"/>
    <x v="1"/>
    <x v="56"/>
    <x v="369"/>
    <x v="2"/>
    <x v="1"/>
  </r>
  <r>
    <x v="57"/>
    <x v="77"/>
    <x v="15"/>
    <x v="257"/>
    <x v="76"/>
    <x v="0"/>
    <x v="5"/>
    <x v="2"/>
    <x v="1"/>
    <x v="0"/>
    <x v="57"/>
    <x v="370"/>
    <x v="3"/>
    <x v="1"/>
  </r>
  <r>
    <x v="89"/>
    <x v="229"/>
    <x v="15"/>
    <x v="13"/>
    <x v="192"/>
    <x v="0"/>
    <x v="5"/>
    <x v="2"/>
    <x v="1"/>
    <x v="0"/>
    <x v="89"/>
    <x v="371"/>
    <x v="10"/>
    <x v="1"/>
  </r>
  <r>
    <x v="29"/>
    <x v="79"/>
    <x v="28"/>
    <x v="247"/>
    <x v="78"/>
    <x v="0"/>
    <x v="5"/>
    <x v="3"/>
    <x v="1"/>
    <x v="0"/>
    <x v="29"/>
    <x v="372"/>
    <x v="4"/>
    <x v="1"/>
  </r>
  <r>
    <x v="59"/>
    <x v="80"/>
    <x v="15"/>
    <x v="254"/>
    <x v="79"/>
    <x v="0"/>
    <x v="5"/>
    <x v="3"/>
    <x v="1"/>
    <x v="0"/>
    <x v="59"/>
    <x v="373"/>
    <x v="5"/>
    <x v="1"/>
  </r>
  <r>
    <x v="48"/>
    <x v="230"/>
    <x v="32"/>
    <x v="258"/>
    <x v="193"/>
    <x v="5"/>
    <x v="5"/>
    <x v="3"/>
    <x v="1"/>
    <x v="0"/>
    <x v="48"/>
    <x v="374"/>
    <x v="5"/>
    <x v="1"/>
  </r>
  <r>
    <x v="90"/>
    <x v="231"/>
    <x v="11"/>
    <x v="259"/>
    <x v="194"/>
    <x v="0"/>
    <x v="5"/>
    <x v="3"/>
    <x v="1"/>
    <x v="0"/>
    <x v="90"/>
    <x v="375"/>
    <x v="5"/>
    <x v="1"/>
  </r>
  <r>
    <x v="23"/>
    <x v="83"/>
    <x v="30"/>
    <x v="260"/>
    <x v="82"/>
    <x v="0"/>
    <x v="5"/>
    <x v="3"/>
    <x v="1"/>
    <x v="0"/>
    <x v="23"/>
    <x v="376"/>
    <x v="6"/>
    <x v="1"/>
  </r>
  <r>
    <x v="60"/>
    <x v="85"/>
    <x v="8"/>
    <x v="261"/>
    <x v="84"/>
    <x v="0"/>
    <x v="5"/>
    <x v="0"/>
    <x v="2"/>
    <x v="0"/>
    <x v="60"/>
    <x v="377"/>
    <x v="7"/>
    <x v="2"/>
  </r>
  <r>
    <x v="23"/>
    <x v="233"/>
    <x v="9"/>
    <x v="262"/>
    <x v="196"/>
    <x v="5"/>
    <x v="5"/>
    <x v="0"/>
    <x v="2"/>
    <x v="1"/>
    <x v="23"/>
    <x v="378"/>
    <x v="11"/>
    <x v="2"/>
  </r>
  <r>
    <x v="1"/>
    <x v="234"/>
    <x v="11"/>
    <x v="263"/>
    <x v="197"/>
    <x v="0"/>
    <x v="5"/>
    <x v="0"/>
    <x v="2"/>
    <x v="0"/>
    <x v="1"/>
    <x v="379"/>
    <x v="11"/>
    <x v="2"/>
  </r>
  <r>
    <x v="61"/>
    <x v="88"/>
    <x v="0"/>
    <x v="249"/>
    <x v="87"/>
    <x v="0"/>
    <x v="5"/>
    <x v="1"/>
    <x v="2"/>
    <x v="0"/>
    <x v="61"/>
    <x v="380"/>
    <x v="8"/>
    <x v="2"/>
  </r>
  <r>
    <x v="58"/>
    <x v="89"/>
    <x v="27"/>
    <x v="255"/>
    <x v="88"/>
    <x v="4"/>
    <x v="5"/>
    <x v="1"/>
    <x v="2"/>
    <x v="1"/>
    <x v="58"/>
    <x v="381"/>
    <x v="1"/>
    <x v="2"/>
  </r>
  <r>
    <x v="17"/>
    <x v="26"/>
    <x v="32"/>
    <x v="4"/>
    <x v="26"/>
    <x v="0"/>
    <x v="3"/>
    <x v="0"/>
    <x v="0"/>
    <x v="0"/>
    <x v="17"/>
    <x v="53"/>
    <x v="7"/>
    <x v="0"/>
  </r>
  <r>
    <x v="8"/>
    <x v="193"/>
    <x v="30"/>
    <x v="4"/>
    <x v="165"/>
    <x v="0"/>
    <x v="3"/>
    <x v="0"/>
    <x v="0"/>
    <x v="1"/>
    <x v="8"/>
    <x v="49"/>
    <x v="11"/>
    <x v="0"/>
  </r>
  <r>
    <x v="25"/>
    <x v="28"/>
    <x v="0"/>
    <x v="264"/>
    <x v="28"/>
    <x v="0"/>
    <x v="3"/>
    <x v="1"/>
    <x v="0"/>
    <x v="0"/>
    <x v="25"/>
    <x v="382"/>
    <x v="1"/>
    <x v="0"/>
  </r>
  <r>
    <x v="20"/>
    <x v="195"/>
    <x v="14"/>
    <x v="265"/>
    <x v="167"/>
    <x v="0"/>
    <x v="3"/>
    <x v="2"/>
    <x v="0"/>
    <x v="0"/>
    <x v="20"/>
    <x v="383"/>
    <x v="2"/>
    <x v="0"/>
  </r>
  <r>
    <x v="26"/>
    <x v="30"/>
    <x v="18"/>
    <x v="4"/>
    <x v="30"/>
    <x v="0"/>
    <x v="3"/>
    <x v="2"/>
    <x v="0"/>
    <x v="0"/>
    <x v="26"/>
    <x v="23"/>
    <x v="10"/>
    <x v="0"/>
  </r>
  <r>
    <x v="27"/>
    <x v="31"/>
    <x v="23"/>
    <x v="4"/>
    <x v="31"/>
    <x v="0"/>
    <x v="3"/>
    <x v="3"/>
    <x v="0"/>
    <x v="1"/>
    <x v="27"/>
    <x v="31"/>
    <x v="4"/>
    <x v="0"/>
  </r>
  <r>
    <x v="86"/>
    <x v="198"/>
    <x v="28"/>
    <x v="266"/>
    <x v="155"/>
    <x v="0"/>
    <x v="3"/>
    <x v="3"/>
    <x v="0"/>
    <x v="0"/>
    <x v="86"/>
    <x v="384"/>
    <x v="5"/>
    <x v="0"/>
  </r>
  <r>
    <x v="29"/>
    <x v="33"/>
    <x v="8"/>
    <x v="4"/>
    <x v="33"/>
    <x v="0"/>
    <x v="3"/>
    <x v="3"/>
    <x v="0"/>
    <x v="0"/>
    <x v="29"/>
    <x v="38"/>
    <x v="5"/>
    <x v="0"/>
  </r>
  <r>
    <x v="87"/>
    <x v="200"/>
    <x v="10"/>
    <x v="4"/>
    <x v="170"/>
    <x v="0"/>
    <x v="3"/>
    <x v="3"/>
    <x v="0"/>
    <x v="0"/>
    <x v="87"/>
    <x v="11"/>
    <x v="5"/>
    <x v="0"/>
  </r>
  <r>
    <x v="31"/>
    <x v="35"/>
    <x v="0"/>
    <x v="4"/>
    <x v="35"/>
    <x v="0"/>
    <x v="3"/>
    <x v="3"/>
    <x v="0"/>
    <x v="1"/>
    <x v="31"/>
    <x v="32"/>
    <x v="6"/>
    <x v="0"/>
  </r>
  <r>
    <x v="33"/>
    <x v="37"/>
    <x v="28"/>
    <x v="4"/>
    <x v="37"/>
    <x v="0"/>
    <x v="3"/>
    <x v="0"/>
    <x v="1"/>
    <x v="1"/>
    <x v="33"/>
    <x v="47"/>
    <x v="11"/>
    <x v="1"/>
  </r>
  <r>
    <x v="23"/>
    <x v="203"/>
    <x v="6"/>
    <x v="4"/>
    <x v="173"/>
    <x v="0"/>
    <x v="3"/>
    <x v="1"/>
    <x v="1"/>
    <x v="1"/>
    <x v="23"/>
    <x v="24"/>
    <x v="8"/>
    <x v="1"/>
  </r>
  <r>
    <x v="61"/>
    <x v="256"/>
    <x v="9"/>
    <x v="267"/>
    <x v="215"/>
    <x v="0"/>
    <x v="3"/>
    <x v="1"/>
    <x v="1"/>
    <x v="1"/>
    <x v="61"/>
    <x v="385"/>
    <x v="9"/>
    <x v="1"/>
  </r>
  <r>
    <x v="20"/>
    <x v="40"/>
    <x v="19"/>
    <x v="4"/>
    <x v="40"/>
    <x v="0"/>
    <x v="3"/>
    <x v="2"/>
    <x v="1"/>
    <x v="1"/>
    <x v="20"/>
    <x v="25"/>
    <x v="2"/>
    <x v="1"/>
  </r>
  <r>
    <x v="36"/>
    <x v="41"/>
    <x v="6"/>
    <x v="4"/>
    <x v="41"/>
    <x v="0"/>
    <x v="3"/>
    <x v="2"/>
    <x v="1"/>
    <x v="1"/>
    <x v="36"/>
    <x v="24"/>
    <x v="3"/>
    <x v="1"/>
  </r>
  <r>
    <x v="37"/>
    <x v="42"/>
    <x v="10"/>
    <x v="4"/>
    <x v="42"/>
    <x v="0"/>
    <x v="3"/>
    <x v="2"/>
    <x v="1"/>
    <x v="0"/>
    <x v="37"/>
    <x v="11"/>
    <x v="10"/>
    <x v="1"/>
  </r>
  <r>
    <x v="38"/>
    <x v="43"/>
    <x v="18"/>
    <x v="268"/>
    <x v="43"/>
    <x v="0"/>
    <x v="3"/>
    <x v="3"/>
    <x v="1"/>
    <x v="0"/>
    <x v="38"/>
    <x v="386"/>
    <x v="4"/>
    <x v="1"/>
  </r>
  <r>
    <x v="39"/>
    <x v="44"/>
    <x v="19"/>
    <x v="4"/>
    <x v="44"/>
    <x v="0"/>
    <x v="3"/>
    <x v="3"/>
    <x v="1"/>
    <x v="1"/>
    <x v="39"/>
    <x v="25"/>
    <x v="4"/>
    <x v="1"/>
  </r>
  <r>
    <x v="40"/>
    <x v="45"/>
    <x v="7"/>
    <x v="269"/>
    <x v="45"/>
    <x v="0"/>
    <x v="3"/>
    <x v="3"/>
    <x v="1"/>
    <x v="0"/>
    <x v="40"/>
    <x v="387"/>
    <x v="5"/>
    <x v="1"/>
  </r>
  <r>
    <x v="77"/>
    <x v="206"/>
    <x v="23"/>
    <x v="270"/>
    <x v="159"/>
    <x v="0"/>
    <x v="3"/>
    <x v="3"/>
    <x v="1"/>
    <x v="0"/>
    <x v="77"/>
    <x v="388"/>
    <x v="5"/>
    <x v="1"/>
  </r>
  <r>
    <x v="10"/>
    <x v="47"/>
    <x v="3"/>
    <x v="4"/>
    <x v="47"/>
    <x v="0"/>
    <x v="3"/>
    <x v="3"/>
    <x v="1"/>
    <x v="1"/>
    <x v="10"/>
    <x v="26"/>
    <x v="5"/>
    <x v="1"/>
  </r>
  <r>
    <x v="39"/>
    <x v="48"/>
    <x v="27"/>
    <x v="4"/>
    <x v="48"/>
    <x v="0"/>
    <x v="3"/>
    <x v="3"/>
    <x v="1"/>
    <x v="1"/>
    <x v="39"/>
    <x v="39"/>
    <x v="6"/>
    <x v="1"/>
  </r>
  <r>
    <x v="41"/>
    <x v="49"/>
    <x v="15"/>
    <x v="271"/>
    <x v="49"/>
    <x v="0"/>
    <x v="3"/>
    <x v="0"/>
    <x v="2"/>
    <x v="0"/>
    <x v="41"/>
    <x v="389"/>
    <x v="7"/>
    <x v="2"/>
  </r>
  <r>
    <x v="4"/>
    <x v="50"/>
    <x v="21"/>
    <x v="4"/>
    <x v="50"/>
    <x v="0"/>
    <x v="3"/>
    <x v="0"/>
    <x v="2"/>
    <x v="1"/>
    <x v="4"/>
    <x v="29"/>
    <x v="0"/>
    <x v="2"/>
  </r>
  <r>
    <x v="63"/>
    <x v="259"/>
    <x v="6"/>
    <x v="272"/>
    <x v="217"/>
    <x v="0"/>
    <x v="3"/>
    <x v="0"/>
    <x v="2"/>
    <x v="0"/>
    <x v="63"/>
    <x v="390"/>
    <x v="11"/>
    <x v="2"/>
  </r>
  <r>
    <x v="56"/>
    <x v="257"/>
    <x v="15"/>
    <x v="267"/>
    <x v="177"/>
    <x v="2"/>
    <x v="3"/>
    <x v="1"/>
    <x v="2"/>
    <x v="0"/>
    <x v="56"/>
    <x v="391"/>
    <x v="1"/>
    <x v="2"/>
  </r>
  <r>
    <x v="48"/>
    <x v="63"/>
    <x v="8"/>
    <x v="4"/>
    <x v="62"/>
    <x v="0"/>
    <x v="3"/>
    <x v="0"/>
    <x v="0"/>
    <x v="1"/>
    <x v="48"/>
    <x v="38"/>
    <x v="0"/>
    <x v="0"/>
  </r>
  <r>
    <x v="26"/>
    <x v="123"/>
    <x v="18"/>
    <x v="4"/>
    <x v="117"/>
    <x v="0"/>
    <x v="3"/>
    <x v="1"/>
    <x v="0"/>
    <x v="1"/>
    <x v="26"/>
    <x v="23"/>
    <x v="8"/>
    <x v="0"/>
  </r>
  <r>
    <x v="23"/>
    <x v="261"/>
    <x v="2"/>
    <x v="4"/>
    <x v="218"/>
    <x v="0"/>
    <x v="3"/>
    <x v="1"/>
    <x v="0"/>
    <x v="1"/>
    <x v="23"/>
    <x v="9"/>
    <x v="9"/>
    <x v="0"/>
  </r>
  <r>
    <x v="39"/>
    <x v="125"/>
    <x v="20"/>
    <x v="4"/>
    <x v="119"/>
    <x v="0"/>
    <x v="3"/>
    <x v="2"/>
    <x v="0"/>
    <x v="1"/>
    <x v="39"/>
    <x v="28"/>
    <x v="3"/>
    <x v="0"/>
  </r>
  <r>
    <x v="23"/>
    <x v="126"/>
    <x v="28"/>
    <x v="4"/>
    <x v="120"/>
    <x v="0"/>
    <x v="3"/>
    <x v="2"/>
    <x v="0"/>
    <x v="1"/>
    <x v="23"/>
    <x v="47"/>
    <x v="10"/>
    <x v="0"/>
  </r>
  <r>
    <x v="21"/>
    <x v="262"/>
    <x v="30"/>
    <x v="4"/>
    <x v="90"/>
    <x v="0"/>
    <x v="3"/>
    <x v="3"/>
    <x v="0"/>
    <x v="1"/>
    <x v="21"/>
    <x v="49"/>
    <x v="4"/>
    <x v="0"/>
  </r>
  <r>
    <x v="76"/>
    <x v="263"/>
    <x v="10"/>
    <x v="4"/>
    <x v="219"/>
    <x v="0"/>
    <x v="3"/>
    <x v="3"/>
    <x v="0"/>
    <x v="1"/>
    <x v="76"/>
    <x v="11"/>
    <x v="5"/>
    <x v="0"/>
  </r>
  <r>
    <x v="50"/>
    <x v="129"/>
    <x v="11"/>
    <x v="4"/>
    <x v="69"/>
    <x v="0"/>
    <x v="3"/>
    <x v="3"/>
    <x v="0"/>
    <x v="1"/>
    <x v="50"/>
    <x v="12"/>
    <x v="5"/>
    <x v="0"/>
  </r>
  <r>
    <x v="34"/>
    <x v="130"/>
    <x v="4"/>
    <x v="4"/>
    <x v="70"/>
    <x v="0"/>
    <x v="3"/>
    <x v="3"/>
    <x v="0"/>
    <x v="1"/>
    <x v="34"/>
    <x v="4"/>
    <x v="5"/>
    <x v="0"/>
  </r>
  <r>
    <x v="30"/>
    <x v="131"/>
    <x v="16"/>
    <x v="4"/>
    <x v="122"/>
    <x v="0"/>
    <x v="3"/>
    <x v="0"/>
    <x v="1"/>
    <x v="0"/>
    <x v="30"/>
    <x v="21"/>
    <x v="7"/>
    <x v="1"/>
  </r>
  <r>
    <x v="56"/>
    <x v="264"/>
    <x v="29"/>
    <x v="4"/>
    <x v="220"/>
    <x v="0"/>
    <x v="3"/>
    <x v="0"/>
    <x v="1"/>
    <x v="1"/>
    <x v="56"/>
    <x v="48"/>
    <x v="0"/>
    <x v="1"/>
  </r>
  <r>
    <x v="59"/>
    <x v="265"/>
    <x v="8"/>
    <x v="4"/>
    <x v="221"/>
    <x v="0"/>
    <x v="3"/>
    <x v="0"/>
    <x v="1"/>
    <x v="1"/>
    <x v="59"/>
    <x v="38"/>
    <x v="11"/>
    <x v="1"/>
  </r>
  <r>
    <x v="0"/>
    <x v="74"/>
    <x v="22"/>
    <x v="4"/>
    <x v="73"/>
    <x v="3"/>
    <x v="3"/>
    <x v="1"/>
    <x v="1"/>
    <x v="1"/>
    <x v="0"/>
    <x v="30"/>
    <x v="1"/>
    <x v="1"/>
  </r>
  <r>
    <x v="56"/>
    <x v="76"/>
    <x v="23"/>
    <x v="4"/>
    <x v="75"/>
    <x v="0"/>
    <x v="3"/>
    <x v="2"/>
    <x v="1"/>
    <x v="1"/>
    <x v="56"/>
    <x v="31"/>
    <x v="2"/>
    <x v="1"/>
  </r>
  <r>
    <x v="39"/>
    <x v="136"/>
    <x v="30"/>
    <x v="4"/>
    <x v="76"/>
    <x v="0"/>
    <x v="3"/>
    <x v="2"/>
    <x v="1"/>
    <x v="1"/>
    <x v="39"/>
    <x v="49"/>
    <x v="3"/>
    <x v="1"/>
  </r>
  <r>
    <x v="36"/>
    <x v="137"/>
    <x v="16"/>
    <x v="4"/>
    <x v="127"/>
    <x v="0"/>
    <x v="3"/>
    <x v="2"/>
    <x v="1"/>
    <x v="0"/>
    <x v="36"/>
    <x v="21"/>
    <x v="10"/>
    <x v="1"/>
  </r>
  <r>
    <x v="77"/>
    <x v="138"/>
    <x v="22"/>
    <x v="4"/>
    <x v="78"/>
    <x v="0"/>
    <x v="3"/>
    <x v="3"/>
    <x v="1"/>
    <x v="1"/>
    <x v="77"/>
    <x v="30"/>
    <x v="4"/>
    <x v="1"/>
  </r>
  <r>
    <x v="78"/>
    <x v="139"/>
    <x v="14"/>
    <x v="4"/>
    <x v="96"/>
    <x v="0"/>
    <x v="3"/>
    <x v="3"/>
    <x v="1"/>
    <x v="0"/>
    <x v="78"/>
    <x v="41"/>
    <x v="4"/>
    <x v="1"/>
  </r>
  <r>
    <x v="17"/>
    <x v="81"/>
    <x v="16"/>
    <x v="34"/>
    <x v="80"/>
    <x v="0"/>
    <x v="3"/>
    <x v="3"/>
    <x v="1"/>
    <x v="0"/>
    <x v="17"/>
    <x v="392"/>
    <x v="5"/>
    <x v="1"/>
  </r>
  <r>
    <x v="62"/>
    <x v="140"/>
    <x v="7"/>
    <x v="4"/>
    <x v="128"/>
    <x v="0"/>
    <x v="3"/>
    <x v="3"/>
    <x v="1"/>
    <x v="1"/>
    <x v="62"/>
    <x v="7"/>
    <x v="5"/>
    <x v="1"/>
  </r>
  <r>
    <x v="23"/>
    <x v="83"/>
    <x v="27"/>
    <x v="4"/>
    <x v="82"/>
    <x v="0"/>
    <x v="3"/>
    <x v="3"/>
    <x v="1"/>
    <x v="1"/>
    <x v="23"/>
    <x v="39"/>
    <x v="6"/>
    <x v="1"/>
  </r>
  <r>
    <x v="35"/>
    <x v="154"/>
    <x v="11"/>
    <x v="4"/>
    <x v="136"/>
    <x v="0"/>
    <x v="3"/>
    <x v="0"/>
    <x v="2"/>
    <x v="1"/>
    <x v="35"/>
    <x v="12"/>
    <x v="7"/>
    <x v="2"/>
  </r>
  <r>
    <x v="23"/>
    <x v="245"/>
    <x v="16"/>
    <x v="273"/>
    <x v="205"/>
    <x v="0"/>
    <x v="3"/>
    <x v="0"/>
    <x v="2"/>
    <x v="0"/>
    <x v="23"/>
    <x v="393"/>
    <x v="0"/>
    <x v="2"/>
  </r>
  <r>
    <x v="39"/>
    <x v="160"/>
    <x v="29"/>
    <x v="4"/>
    <x v="141"/>
    <x v="0"/>
    <x v="3"/>
    <x v="0"/>
    <x v="2"/>
    <x v="1"/>
    <x v="39"/>
    <x v="48"/>
    <x v="11"/>
    <x v="2"/>
  </r>
  <r>
    <x v="58"/>
    <x v="89"/>
    <x v="2"/>
    <x v="4"/>
    <x v="88"/>
    <x v="4"/>
    <x v="3"/>
    <x v="1"/>
    <x v="2"/>
    <x v="1"/>
    <x v="58"/>
    <x v="9"/>
    <x v="1"/>
    <x v="2"/>
  </r>
  <r>
    <x v="23"/>
    <x v="150"/>
    <x v="10"/>
    <x v="4"/>
    <x v="134"/>
    <x v="0"/>
    <x v="1"/>
    <x v="0"/>
    <x v="0"/>
    <x v="1"/>
    <x v="23"/>
    <x v="11"/>
    <x v="7"/>
    <x v="0"/>
  </r>
  <r>
    <x v="45"/>
    <x v="177"/>
    <x v="12"/>
    <x v="4"/>
    <x v="151"/>
    <x v="0"/>
    <x v="1"/>
    <x v="0"/>
    <x v="0"/>
    <x v="2"/>
    <x v="45"/>
    <x v="46"/>
    <x v="11"/>
    <x v="0"/>
  </r>
  <r>
    <x v="62"/>
    <x v="90"/>
    <x v="7"/>
    <x v="4"/>
    <x v="89"/>
    <x v="0"/>
    <x v="1"/>
    <x v="1"/>
    <x v="0"/>
    <x v="2"/>
    <x v="62"/>
    <x v="7"/>
    <x v="8"/>
    <x v="0"/>
  </r>
  <r>
    <x v="67"/>
    <x v="104"/>
    <x v="32"/>
    <x v="4"/>
    <x v="99"/>
    <x v="0"/>
    <x v="1"/>
    <x v="1"/>
    <x v="0"/>
    <x v="1"/>
    <x v="67"/>
    <x v="53"/>
    <x v="1"/>
    <x v="0"/>
  </r>
  <r>
    <x v="74"/>
    <x v="124"/>
    <x v="8"/>
    <x v="4"/>
    <x v="118"/>
    <x v="0"/>
    <x v="1"/>
    <x v="1"/>
    <x v="0"/>
    <x v="1"/>
    <x v="74"/>
    <x v="38"/>
    <x v="9"/>
    <x v="0"/>
  </r>
  <r>
    <x v="51"/>
    <x v="178"/>
    <x v="2"/>
    <x v="4"/>
    <x v="152"/>
    <x v="0"/>
    <x v="1"/>
    <x v="2"/>
    <x v="0"/>
    <x v="2"/>
    <x v="51"/>
    <x v="9"/>
    <x v="2"/>
    <x v="0"/>
  </r>
  <r>
    <x v="73"/>
    <x v="163"/>
    <x v="1"/>
    <x v="4"/>
    <x v="144"/>
    <x v="0"/>
    <x v="1"/>
    <x v="2"/>
    <x v="0"/>
    <x v="1"/>
    <x v="73"/>
    <x v="13"/>
    <x v="3"/>
    <x v="0"/>
  </r>
  <r>
    <x v="42"/>
    <x v="179"/>
    <x v="22"/>
    <x v="4"/>
    <x v="153"/>
    <x v="0"/>
    <x v="1"/>
    <x v="2"/>
    <x v="0"/>
    <x v="1"/>
    <x v="42"/>
    <x v="30"/>
    <x v="10"/>
    <x v="0"/>
  </r>
  <r>
    <x v="60"/>
    <x v="164"/>
    <x v="15"/>
    <x v="4"/>
    <x v="145"/>
    <x v="0"/>
    <x v="1"/>
    <x v="2"/>
    <x v="0"/>
    <x v="1"/>
    <x v="60"/>
    <x v="27"/>
    <x v="10"/>
    <x v="0"/>
  </r>
  <r>
    <x v="54"/>
    <x v="155"/>
    <x v="14"/>
    <x v="4"/>
    <x v="137"/>
    <x v="0"/>
    <x v="1"/>
    <x v="3"/>
    <x v="0"/>
    <x v="1"/>
    <x v="54"/>
    <x v="41"/>
    <x v="4"/>
    <x v="0"/>
  </r>
  <r>
    <x v="26"/>
    <x v="127"/>
    <x v="20"/>
    <x v="4"/>
    <x v="121"/>
    <x v="0"/>
    <x v="1"/>
    <x v="3"/>
    <x v="0"/>
    <x v="2"/>
    <x v="26"/>
    <x v="28"/>
    <x v="4"/>
    <x v="0"/>
  </r>
  <r>
    <x v="43"/>
    <x v="181"/>
    <x v="25"/>
    <x v="4"/>
    <x v="155"/>
    <x v="0"/>
    <x v="1"/>
    <x v="3"/>
    <x v="0"/>
    <x v="1"/>
    <x v="43"/>
    <x v="44"/>
    <x v="5"/>
    <x v="0"/>
  </r>
  <r>
    <x v="49"/>
    <x v="92"/>
    <x v="6"/>
    <x v="4"/>
    <x v="32"/>
    <x v="0"/>
    <x v="1"/>
    <x v="3"/>
    <x v="0"/>
    <x v="1"/>
    <x v="49"/>
    <x v="24"/>
    <x v="5"/>
    <x v="0"/>
  </r>
  <r>
    <x v="7"/>
    <x v="108"/>
    <x v="3"/>
    <x v="4"/>
    <x v="103"/>
    <x v="0"/>
    <x v="1"/>
    <x v="3"/>
    <x v="0"/>
    <x v="1"/>
    <x v="7"/>
    <x v="26"/>
    <x v="5"/>
    <x v="0"/>
  </r>
  <r>
    <x v="81"/>
    <x v="165"/>
    <x v="11"/>
    <x v="4"/>
    <x v="69"/>
    <x v="0"/>
    <x v="1"/>
    <x v="3"/>
    <x v="0"/>
    <x v="1"/>
    <x v="81"/>
    <x v="12"/>
    <x v="5"/>
    <x v="0"/>
  </r>
  <r>
    <x v="40"/>
    <x v="172"/>
    <x v="18"/>
    <x v="4"/>
    <x v="104"/>
    <x v="0"/>
    <x v="1"/>
    <x v="3"/>
    <x v="0"/>
    <x v="1"/>
    <x v="40"/>
    <x v="23"/>
    <x v="5"/>
    <x v="0"/>
  </r>
  <r>
    <x v="47"/>
    <x v="166"/>
    <x v="24"/>
    <x v="4"/>
    <x v="34"/>
    <x v="0"/>
    <x v="1"/>
    <x v="3"/>
    <x v="0"/>
    <x v="2"/>
    <x v="47"/>
    <x v="33"/>
    <x v="5"/>
    <x v="0"/>
  </r>
  <r>
    <x v="23"/>
    <x v="110"/>
    <x v="7"/>
    <x v="4"/>
    <x v="105"/>
    <x v="0"/>
    <x v="1"/>
    <x v="3"/>
    <x v="0"/>
    <x v="2"/>
    <x v="23"/>
    <x v="7"/>
    <x v="6"/>
    <x v="0"/>
  </r>
  <r>
    <x v="64"/>
    <x v="93"/>
    <x v="32"/>
    <x v="4"/>
    <x v="91"/>
    <x v="0"/>
    <x v="1"/>
    <x v="3"/>
    <x v="0"/>
    <x v="1"/>
    <x v="64"/>
    <x v="53"/>
    <x v="6"/>
    <x v="0"/>
  </r>
  <r>
    <x v="69"/>
    <x v="111"/>
    <x v="30"/>
    <x v="4"/>
    <x v="106"/>
    <x v="0"/>
    <x v="1"/>
    <x v="0"/>
    <x v="1"/>
    <x v="1"/>
    <x v="69"/>
    <x v="49"/>
    <x v="0"/>
    <x v="1"/>
  </r>
  <r>
    <x v="39"/>
    <x v="95"/>
    <x v="8"/>
    <x v="4"/>
    <x v="93"/>
    <x v="0"/>
    <x v="1"/>
    <x v="0"/>
    <x v="1"/>
    <x v="1"/>
    <x v="39"/>
    <x v="38"/>
    <x v="11"/>
    <x v="1"/>
  </r>
  <r>
    <x v="60"/>
    <x v="173"/>
    <x v="20"/>
    <x v="4"/>
    <x v="148"/>
    <x v="0"/>
    <x v="1"/>
    <x v="1"/>
    <x v="1"/>
    <x v="2"/>
    <x v="60"/>
    <x v="28"/>
    <x v="8"/>
    <x v="1"/>
  </r>
  <r>
    <x v="23"/>
    <x v="168"/>
    <x v="5"/>
    <x v="4"/>
    <x v="125"/>
    <x v="0"/>
    <x v="1"/>
    <x v="1"/>
    <x v="1"/>
    <x v="2"/>
    <x v="23"/>
    <x v="15"/>
    <x v="1"/>
    <x v="1"/>
  </r>
  <r>
    <x v="22"/>
    <x v="113"/>
    <x v="23"/>
    <x v="4"/>
    <x v="108"/>
    <x v="3"/>
    <x v="1"/>
    <x v="1"/>
    <x v="1"/>
    <x v="1"/>
    <x v="22"/>
    <x v="31"/>
    <x v="9"/>
    <x v="1"/>
  </r>
  <r>
    <x v="65"/>
    <x v="96"/>
    <x v="26"/>
    <x v="4"/>
    <x v="39"/>
    <x v="0"/>
    <x v="1"/>
    <x v="1"/>
    <x v="1"/>
    <x v="1"/>
    <x v="65"/>
    <x v="36"/>
    <x v="9"/>
    <x v="1"/>
  </r>
  <r>
    <x v="70"/>
    <x v="114"/>
    <x v="6"/>
    <x v="4"/>
    <x v="109"/>
    <x v="0"/>
    <x v="1"/>
    <x v="2"/>
    <x v="1"/>
    <x v="1"/>
    <x v="70"/>
    <x v="24"/>
    <x v="2"/>
    <x v="1"/>
  </r>
  <r>
    <x v="39"/>
    <x v="169"/>
    <x v="14"/>
    <x v="4"/>
    <x v="126"/>
    <x v="0"/>
    <x v="1"/>
    <x v="2"/>
    <x v="1"/>
    <x v="1"/>
    <x v="39"/>
    <x v="41"/>
    <x v="2"/>
    <x v="1"/>
  </r>
  <r>
    <x v="84"/>
    <x v="184"/>
    <x v="13"/>
    <x v="4"/>
    <x v="157"/>
    <x v="0"/>
    <x v="1"/>
    <x v="2"/>
    <x v="1"/>
    <x v="1"/>
    <x v="84"/>
    <x v="17"/>
    <x v="3"/>
    <x v="1"/>
  </r>
  <r>
    <x v="18"/>
    <x v="97"/>
    <x v="32"/>
    <x v="4"/>
    <x v="94"/>
    <x v="0"/>
    <x v="1"/>
    <x v="2"/>
    <x v="1"/>
    <x v="1"/>
    <x v="18"/>
    <x v="53"/>
    <x v="3"/>
    <x v="1"/>
  </r>
  <r>
    <x v="69"/>
    <x v="116"/>
    <x v="5"/>
    <x v="4"/>
    <x v="111"/>
    <x v="0"/>
    <x v="1"/>
    <x v="2"/>
    <x v="1"/>
    <x v="1"/>
    <x v="69"/>
    <x v="15"/>
    <x v="3"/>
    <x v="1"/>
  </r>
  <r>
    <x v="0"/>
    <x v="170"/>
    <x v="15"/>
    <x v="4"/>
    <x v="42"/>
    <x v="0"/>
    <x v="1"/>
    <x v="2"/>
    <x v="1"/>
    <x v="0"/>
    <x v="0"/>
    <x v="27"/>
    <x v="10"/>
    <x v="1"/>
  </r>
  <r>
    <x v="85"/>
    <x v="185"/>
    <x v="10"/>
    <x v="4"/>
    <x v="158"/>
    <x v="0"/>
    <x v="1"/>
    <x v="3"/>
    <x v="0"/>
    <x v="1"/>
    <x v="85"/>
    <x v="11"/>
    <x v="4"/>
    <x v="0"/>
  </r>
  <r>
    <x v="15"/>
    <x v="98"/>
    <x v="9"/>
    <x v="4"/>
    <x v="95"/>
    <x v="0"/>
    <x v="1"/>
    <x v="3"/>
    <x v="1"/>
    <x v="2"/>
    <x v="15"/>
    <x v="10"/>
    <x v="4"/>
    <x v="1"/>
  </r>
  <r>
    <x v="68"/>
    <x v="118"/>
    <x v="7"/>
    <x v="4"/>
    <x v="113"/>
    <x v="0"/>
    <x v="1"/>
    <x v="3"/>
    <x v="1"/>
    <x v="2"/>
    <x v="68"/>
    <x v="7"/>
    <x v="4"/>
    <x v="1"/>
  </r>
  <r>
    <x v="31"/>
    <x v="99"/>
    <x v="32"/>
    <x v="4"/>
    <x v="96"/>
    <x v="0"/>
    <x v="1"/>
    <x v="3"/>
    <x v="1"/>
    <x v="1"/>
    <x v="31"/>
    <x v="53"/>
    <x v="4"/>
    <x v="1"/>
  </r>
  <r>
    <x v="21"/>
    <x v="175"/>
    <x v="29"/>
    <x v="4"/>
    <x v="45"/>
    <x v="0"/>
    <x v="1"/>
    <x v="3"/>
    <x v="1"/>
    <x v="1"/>
    <x v="21"/>
    <x v="48"/>
    <x v="5"/>
    <x v="1"/>
  </r>
  <r>
    <x v="11"/>
    <x v="152"/>
    <x v="26"/>
    <x v="4"/>
    <x v="80"/>
    <x v="0"/>
    <x v="1"/>
    <x v="3"/>
    <x v="1"/>
    <x v="1"/>
    <x v="11"/>
    <x v="36"/>
    <x v="5"/>
    <x v="1"/>
  </r>
  <r>
    <x v="45"/>
    <x v="186"/>
    <x v="26"/>
    <x v="4"/>
    <x v="159"/>
    <x v="0"/>
    <x v="1"/>
    <x v="3"/>
    <x v="1"/>
    <x v="1"/>
    <x v="45"/>
    <x v="36"/>
    <x v="5"/>
    <x v="1"/>
  </r>
  <r>
    <x v="24"/>
    <x v="100"/>
    <x v="14"/>
    <x v="4"/>
    <x v="97"/>
    <x v="4"/>
    <x v="1"/>
    <x v="3"/>
    <x v="1"/>
    <x v="0"/>
    <x v="24"/>
    <x v="41"/>
    <x v="5"/>
    <x v="1"/>
  </r>
  <r>
    <x v="10"/>
    <x v="187"/>
    <x v="0"/>
    <x v="4"/>
    <x v="20"/>
    <x v="0"/>
    <x v="1"/>
    <x v="3"/>
    <x v="1"/>
    <x v="1"/>
    <x v="10"/>
    <x v="32"/>
    <x v="5"/>
    <x v="1"/>
  </r>
  <r>
    <x v="74"/>
    <x v="159"/>
    <x v="7"/>
    <x v="4"/>
    <x v="140"/>
    <x v="0"/>
    <x v="1"/>
    <x v="3"/>
    <x v="1"/>
    <x v="2"/>
    <x v="74"/>
    <x v="7"/>
    <x v="6"/>
    <x v="1"/>
  </r>
  <r>
    <x v="23"/>
    <x v="153"/>
    <x v="22"/>
    <x v="274"/>
    <x v="48"/>
    <x v="0"/>
    <x v="1"/>
    <x v="3"/>
    <x v="1"/>
    <x v="0"/>
    <x v="23"/>
    <x v="394"/>
    <x v="6"/>
    <x v="1"/>
  </r>
  <r>
    <x v="42"/>
    <x v="101"/>
    <x v="26"/>
    <x v="275"/>
    <x v="49"/>
    <x v="0"/>
    <x v="1"/>
    <x v="0"/>
    <x v="2"/>
    <x v="0"/>
    <x v="42"/>
    <x v="395"/>
    <x v="7"/>
    <x v="2"/>
  </r>
  <r>
    <x v="16"/>
    <x v="161"/>
    <x v="25"/>
    <x v="4"/>
    <x v="142"/>
    <x v="0"/>
    <x v="1"/>
    <x v="0"/>
    <x v="2"/>
    <x v="2"/>
    <x v="16"/>
    <x v="44"/>
    <x v="0"/>
    <x v="2"/>
  </r>
  <r>
    <x v="23"/>
    <x v="245"/>
    <x v="20"/>
    <x v="4"/>
    <x v="205"/>
    <x v="0"/>
    <x v="1"/>
    <x v="0"/>
    <x v="2"/>
    <x v="1"/>
    <x v="23"/>
    <x v="28"/>
    <x v="0"/>
    <x v="2"/>
  </r>
  <r>
    <x v="23"/>
    <x v="266"/>
    <x v="8"/>
    <x v="4"/>
    <x v="222"/>
    <x v="0"/>
    <x v="1"/>
    <x v="0"/>
    <x v="2"/>
    <x v="1"/>
    <x v="23"/>
    <x v="38"/>
    <x v="11"/>
    <x v="2"/>
  </r>
  <r>
    <x v="83"/>
    <x v="176"/>
    <x v="36"/>
    <x v="4"/>
    <x v="150"/>
    <x v="0"/>
    <x v="1"/>
    <x v="1"/>
    <x v="2"/>
    <x v="2"/>
    <x v="83"/>
    <x v="75"/>
    <x v="8"/>
    <x v="2"/>
  </r>
  <r>
    <x v="23"/>
    <x v="171"/>
    <x v="46"/>
    <x v="4"/>
    <x v="147"/>
    <x v="0"/>
    <x v="1"/>
    <x v="1"/>
    <x v="2"/>
    <x v="2"/>
    <x v="23"/>
    <x v="396"/>
    <x v="1"/>
    <x v="2"/>
  </r>
  <r>
    <x v="19"/>
    <x v="122"/>
    <x v="21"/>
    <x v="4"/>
    <x v="116"/>
    <x v="0"/>
    <x v="1"/>
    <x v="1"/>
    <x v="2"/>
    <x v="1"/>
    <x v="19"/>
    <x v="29"/>
    <x v="1"/>
    <x v="2"/>
  </r>
  <r>
    <x v="48"/>
    <x v="63"/>
    <x v="19"/>
    <x v="4"/>
    <x v="62"/>
    <x v="0"/>
    <x v="6"/>
    <x v="0"/>
    <x v="0"/>
    <x v="1"/>
    <x v="48"/>
    <x v="25"/>
    <x v="0"/>
    <x v="0"/>
  </r>
  <r>
    <x v="26"/>
    <x v="123"/>
    <x v="15"/>
    <x v="276"/>
    <x v="117"/>
    <x v="0"/>
    <x v="6"/>
    <x v="1"/>
    <x v="0"/>
    <x v="0"/>
    <x v="26"/>
    <x v="397"/>
    <x v="8"/>
    <x v="0"/>
  </r>
  <r>
    <x v="23"/>
    <x v="261"/>
    <x v="2"/>
    <x v="4"/>
    <x v="218"/>
    <x v="0"/>
    <x v="6"/>
    <x v="1"/>
    <x v="0"/>
    <x v="1"/>
    <x v="23"/>
    <x v="9"/>
    <x v="9"/>
    <x v="0"/>
  </r>
  <r>
    <x v="39"/>
    <x v="125"/>
    <x v="8"/>
    <x v="277"/>
    <x v="119"/>
    <x v="0"/>
    <x v="6"/>
    <x v="2"/>
    <x v="0"/>
    <x v="0"/>
    <x v="39"/>
    <x v="398"/>
    <x v="3"/>
    <x v="0"/>
  </r>
  <r>
    <x v="23"/>
    <x v="126"/>
    <x v="6"/>
    <x v="278"/>
    <x v="120"/>
    <x v="0"/>
    <x v="6"/>
    <x v="2"/>
    <x v="0"/>
    <x v="0"/>
    <x v="23"/>
    <x v="399"/>
    <x v="10"/>
    <x v="0"/>
  </r>
  <r>
    <x v="26"/>
    <x v="127"/>
    <x v="24"/>
    <x v="4"/>
    <x v="121"/>
    <x v="0"/>
    <x v="6"/>
    <x v="3"/>
    <x v="0"/>
    <x v="1"/>
    <x v="26"/>
    <x v="33"/>
    <x v="4"/>
    <x v="0"/>
  </r>
  <r>
    <x v="76"/>
    <x v="263"/>
    <x v="6"/>
    <x v="4"/>
    <x v="219"/>
    <x v="0"/>
    <x v="6"/>
    <x v="3"/>
    <x v="0"/>
    <x v="1"/>
    <x v="76"/>
    <x v="24"/>
    <x v="5"/>
    <x v="0"/>
  </r>
  <r>
    <x v="50"/>
    <x v="129"/>
    <x v="4"/>
    <x v="279"/>
    <x v="69"/>
    <x v="0"/>
    <x v="6"/>
    <x v="3"/>
    <x v="0"/>
    <x v="1"/>
    <x v="50"/>
    <x v="400"/>
    <x v="5"/>
    <x v="0"/>
  </r>
  <r>
    <x v="34"/>
    <x v="130"/>
    <x v="21"/>
    <x v="4"/>
    <x v="70"/>
    <x v="0"/>
    <x v="6"/>
    <x v="3"/>
    <x v="0"/>
    <x v="1"/>
    <x v="34"/>
    <x v="29"/>
    <x v="5"/>
    <x v="0"/>
  </r>
  <r>
    <x v="30"/>
    <x v="131"/>
    <x v="7"/>
    <x v="4"/>
    <x v="122"/>
    <x v="0"/>
    <x v="6"/>
    <x v="0"/>
    <x v="1"/>
    <x v="1"/>
    <x v="30"/>
    <x v="7"/>
    <x v="7"/>
    <x v="1"/>
  </r>
  <r>
    <x v="56"/>
    <x v="264"/>
    <x v="10"/>
    <x v="279"/>
    <x v="220"/>
    <x v="0"/>
    <x v="6"/>
    <x v="0"/>
    <x v="1"/>
    <x v="0"/>
    <x v="56"/>
    <x v="401"/>
    <x v="0"/>
    <x v="1"/>
  </r>
  <r>
    <x v="59"/>
    <x v="265"/>
    <x v="7"/>
    <x v="276"/>
    <x v="221"/>
    <x v="0"/>
    <x v="6"/>
    <x v="0"/>
    <x v="1"/>
    <x v="1"/>
    <x v="59"/>
    <x v="402"/>
    <x v="11"/>
    <x v="1"/>
  </r>
  <r>
    <x v="0"/>
    <x v="74"/>
    <x v="13"/>
    <x v="4"/>
    <x v="73"/>
    <x v="3"/>
    <x v="6"/>
    <x v="1"/>
    <x v="1"/>
    <x v="1"/>
    <x v="0"/>
    <x v="17"/>
    <x v="1"/>
    <x v="1"/>
  </r>
  <r>
    <x v="56"/>
    <x v="76"/>
    <x v="20"/>
    <x v="4"/>
    <x v="75"/>
    <x v="0"/>
    <x v="6"/>
    <x v="2"/>
    <x v="1"/>
    <x v="1"/>
    <x v="56"/>
    <x v="28"/>
    <x v="2"/>
    <x v="1"/>
  </r>
  <r>
    <x v="39"/>
    <x v="136"/>
    <x v="5"/>
    <x v="4"/>
    <x v="76"/>
    <x v="0"/>
    <x v="6"/>
    <x v="2"/>
    <x v="1"/>
    <x v="1"/>
    <x v="39"/>
    <x v="15"/>
    <x v="3"/>
    <x v="1"/>
  </r>
  <r>
    <x v="36"/>
    <x v="137"/>
    <x v="8"/>
    <x v="4"/>
    <x v="127"/>
    <x v="0"/>
    <x v="6"/>
    <x v="2"/>
    <x v="1"/>
    <x v="0"/>
    <x v="36"/>
    <x v="38"/>
    <x v="10"/>
    <x v="1"/>
  </r>
  <r>
    <x v="77"/>
    <x v="138"/>
    <x v="23"/>
    <x v="280"/>
    <x v="78"/>
    <x v="0"/>
    <x v="6"/>
    <x v="3"/>
    <x v="1"/>
    <x v="1"/>
    <x v="77"/>
    <x v="403"/>
    <x v="4"/>
    <x v="1"/>
  </r>
  <r>
    <x v="78"/>
    <x v="139"/>
    <x v="10"/>
    <x v="4"/>
    <x v="96"/>
    <x v="0"/>
    <x v="6"/>
    <x v="3"/>
    <x v="1"/>
    <x v="0"/>
    <x v="78"/>
    <x v="11"/>
    <x v="4"/>
    <x v="1"/>
  </r>
  <r>
    <x v="24"/>
    <x v="267"/>
    <x v="22"/>
    <x v="4"/>
    <x v="223"/>
    <x v="0"/>
    <x v="6"/>
    <x v="3"/>
    <x v="1"/>
    <x v="1"/>
    <x v="24"/>
    <x v="30"/>
    <x v="5"/>
    <x v="1"/>
  </r>
  <r>
    <x v="62"/>
    <x v="140"/>
    <x v="15"/>
    <x v="4"/>
    <x v="128"/>
    <x v="0"/>
    <x v="6"/>
    <x v="3"/>
    <x v="1"/>
    <x v="0"/>
    <x v="62"/>
    <x v="27"/>
    <x v="5"/>
    <x v="1"/>
  </r>
  <r>
    <x v="23"/>
    <x v="83"/>
    <x v="2"/>
    <x v="281"/>
    <x v="82"/>
    <x v="0"/>
    <x v="6"/>
    <x v="3"/>
    <x v="1"/>
    <x v="1"/>
    <x v="23"/>
    <x v="404"/>
    <x v="6"/>
    <x v="1"/>
  </r>
  <r>
    <x v="35"/>
    <x v="154"/>
    <x v="32"/>
    <x v="282"/>
    <x v="136"/>
    <x v="0"/>
    <x v="6"/>
    <x v="0"/>
    <x v="2"/>
    <x v="0"/>
    <x v="35"/>
    <x v="405"/>
    <x v="7"/>
    <x v="2"/>
  </r>
  <r>
    <x v="23"/>
    <x v="245"/>
    <x v="18"/>
    <x v="4"/>
    <x v="205"/>
    <x v="0"/>
    <x v="6"/>
    <x v="0"/>
    <x v="2"/>
    <x v="1"/>
    <x v="23"/>
    <x v="23"/>
    <x v="0"/>
    <x v="2"/>
  </r>
  <r>
    <x v="39"/>
    <x v="160"/>
    <x v="16"/>
    <x v="283"/>
    <x v="141"/>
    <x v="0"/>
    <x v="6"/>
    <x v="0"/>
    <x v="2"/>
    <x v="0"/>
    <x v="39"/>
    <x v="406"/>
    <x v="11"/>
    <x v="2"/>
  </r>
  <r>
    <x v="58"/>
    <x v="89"/>
    <x v="7"/>
    <x v="4"/>
    <x v="88"/>
    <x v="4"/>
    <x v="6"/>
    <x v="1"/>
    <x v="2"/>
    <x v="1"/>
    <x v="58"/>
    <x v="7"/>
    <x v="1"/>
    <x v="2"/>
  </r>
  <r>
    <x v="66"/>
    <x v="103"/>
    <x v="18"/>
    <x v="284"/>
    <x v="98"/>
    <x v="0"/>
    <x v="1"/>
    <x v="0"/>
    <x v="0"/>
    <x v="0"/>
    <x v="66"/>
    <x v="407"/>
    <x v="11"/>
    <x v="0"/>
  </r>
  <r>
    <x v="67"/>
    <x v="104"/>
    <x v="15"/>
    <x v="285"/>
    <x v="99"/>
    <x v="0"/>
    <x v="1"/>
    <x v="1"/>
    <x v="0"/>
    <x v="0"/>
    <x v="67"/>
    <x v="408"/>
    <x v="1"/>
    <x v="0"/>
  </r>
  <r>
    <x v="39"/>
    <x v="105"/>
    <x v="3"/>
    <x v="286"/>
    <x v="100"/>
    <x v="0"/>
    <x v="1"/>
    <x v="2"/>
    <x v="0"/>
    <x v="1"/>
    <x v="39"/>
    <x v="409"/>
    <x v="2"/>
    <x v="0"/>
  </r>
  <r>
    <x v="41"/>
    <x v="106"/>
    <x v="5"/>
    <x v="287"/>
    <x v="101"/>
    <x v="0"/>
    <x v="1"/>
    <x v="2"/>
    <x v="0"/>
    <x v="1"/>
    <x v="41"/>
    <x v="410"/>
    <x v="10"/>
    <x v="0"/>
  </r>
  <r>
    <x v="4"/>
    <x v="4"/>
    <x v="15"/>
    <x v="288"/>
    <x v="4"/>
    <x v="0"/>
    <x v="1"/>
    <x v="3"/>
    <x v="0"/>
    <x v="0"/>
    <x v="4"/>
    <x v="411"/>
    <x v="4"/>
    <x v="0"/>
  </r>
  <r>
    <x v="42"/>
    <x v="107"/>
    <x v="22"/>
    <x v="289"/>
    <x v="102"/>
    <x v="0"/>
    <x v="1"/>
    <x v="3"/>
    <x v="0"/>
    <x v="0"/>
    <x v="42"/>
    <x v="412"/>
    <x v="5"/>
    <x v="0"/>
  </r>
  <r>
    <x v="7"/>
    <x v="108"/>
    <x v="0"/>
    <x v="290"/>
    <x v="103"/>
    <x v="0"/>
    <x v="1"/>
    <x v="3"/>
    <x v="0"/>
    <x v="0"/>
    <x v="7"/>
    <x v="413"/>
    <x v="5"/>
    <x v="0"/>
  </r>
  <r>
    <x v="68"/>
    <x v="109"/>
    <x v="5"/>
    <x v="291"/>
    <x v="104"/>
    <x v="0"/>
    <x v="1"/>
    <x v="3"/>
    <x v="0"/>
    <x v="1"/>
    <x v="68"/>
    <x v="414"/>
    <x v="5"/>
    <x v="0"/>
  </r>
  <r>
    <x v="23"/>
    <x v="110"/>
    <x v="29"/>
    <x v="287"/>
    <x v="105"/>
    <x v="0"/>
    <x v="1"/>
    <x v="3"/>
    <x v="0"/>
    <x v="0"/>
    <x v="23"/>
    <x v="415"/>
    <x v="6"/>
    <x v="0"/>
  </r>
  <r>
    <x v="9"/>
    <x v="9"/>
    <x v="21"/>
    <x v="286"/>
    <x v="9"/>
    <x v="0"/>
    <x v="1"/>
    <x v="0"/>
    <x v="1"/>
    <x v="0"/>
    <x v="9"/>
    <x v="416"/>
    <x v="7"/>
    <x v="1"/>
  </r>
  <r>
    <x v="69"/>
    <x v="111"/>
    <x v="9"/>
    <x v="292"/>
    <x v="106"/>
    <x v="0"/>
    <x v="1"/>
    <x v="0"/>
    <x v="1"/>
    <x v="1"/>
    <x v="69"/>
    <x v="417"/>
    <x v="0"/>
    <x v="1"/>
  </r>
  <r>
    <x v="48"/>
    <x v="112"/>
    <x v="2"/>
    <x v="285"/>
    <x v="107"/>
    <x v="0"/>
    <x v="1"/>
    <x v="1"/>
    <x v="1"/>
    <x v="0"/>
    <x v="48"/>
    <x v="418"/>
    <x v="8"/>
    <x v="1"/>
  </r>
  <r>
    <x v="9"/>
    <x v="268"/>
    <x v="14"/>
    <x v="293"/>
    <x v="224"/>
    <x v="0"/>
    <x v="1"/>
    <x v="1"/>
    <x v="1"/>
    <x v="0"/>
    <x v="9"/>
    <x v="419"/>
    <x v="1"/>
    <x v="1"/>
  </r>
  <r>
    <x v="87"/>
    <x v="269"/>
    <x v="3"/>
    <x v="294"/>
    <x v="225"/>
    <x v="0"/>
    <x v="1"/>
    <x v="2"/>
    <x v="1"/>
    <x v="1"/>
    <x v="87"/>
    <x v="420"/>
    <x v="2"/>
    <x v="1"/>
  </r>
  <r>
    <x v="71"/>
    <x v="115"/>
    <x v="19"/>
    <x v="232"/>
    <x v="110"/>
    <x v="0"/>
    <x v="1"/>
    <x v="2"/>
    <x v="1"/>
    <x v="0"/>
    <x v="71"/>
    <x v="421"/>
    <x v="3"/>
    <x v="1"/>
  </r>
  <r>
    <x v="69"/>
    <x v="116"/>
    <x v="30"/>
    <x v="289"/>
    <x v="111"/>
    <x v="0"/>
    <x v="1"/>
    <x v="2"/>
    <x v="1"/>
    <x v="1"/>
    <x v="69"/>
    <x v="422"/>
    <x v="3"/>
    <x v="1"/>
  </r>
  <r>
    <x v="72"/>
    <x v="117"/>
    <x v="4"/>
    <x v="295"/>
    <x v="112"/>
    <x v="0"/>
    <x v="1"/>
    <x v="3"/>
    <x v="0"/>
    <x v="1"/>
    <x v="72"/>
    <x v="423"/>
    <x v="4"/>
    <x v="0"/>
  </r>
  <r>
    <x v="68"/>
    <x v="118"/>
    <x v="26"/>
    <x v="296"/>
    <x v="113"/>
    <x v="0"/>
    <x v="1"/>
    <x v="3"/>
    <x v="1"/>
    <x v="0"/>
    <x v="68"/>
    <x v="424"/>
    <x v="4"/>
    <x v="1"/>
  </r>
  <r>
    <x v="79"/>
    <x v="149"/>
    <x v="12"/>
    <x v="255"/>
    <x v="114"/>
    <x v="0"/>
    <x v="1"/>
    <x v="3"/>
    <x v="1"/>
    <x v="1"/>
    <x v="79"/>
    <x v="425"/>
    <x v="5"/>
    <x v="1"/>
  </r>
  <r>
    <x v="0"/>
    <x v="19"/>
    <x v="19"/>
    <x v="297"/>
    <x v="19"/>
    <x v="0"/>
    <x v="1"/>
    <x v="3"/>
    <x v="1"/>
    <x v="0"/>
    <x v="0"/>
    <x v="426"/>
    <x v="5"/>
    <x v="1"/>
  </r>
  <r>
    <x v="10"/>
    <x v="187"/>
    <x v="32"/>
    <x v="298"/>
    <x v="20"/>
    <x v="0"/>
    <x v="1"/>
    <x v="3"/>
    <x v="1"/>
    <x v="0"/>
    <x v="10"/>
    <x v="427"/>
    <x v="5"/>
    <x v="1"/>
  </r>
  <r>
    <x v="73"/>
    <x v="120"/>
    <x v="12"/>
    <x v="299"/>
    <x v="115"/>
    <x v="0"/>
    <x v="1"/>
    <x v="0"/>
    <x v="2"/>
    <x v="0"/>
    <x v="73"/>
    <x v="428"/>
    <x v="7"/>
    <x v="2"/>
  </r>
  <r>
    <x v="23"/>
    <x v="220"/>
    <x v="8"/>
    <x v="4"/>
    <x v="184"/>
    <x v="0"/>
    <x v="1"/>
    <x v="0"/>
    <x v="2"/>
    <x v="0"/>
    <x v="23"/>
    <x v="38"/>
    <x v="0"/>
    <x v="2"/>
  </r>
  <r>
    <x v="39"/>
    <x v="190"/>
    <x v="23"/>
    <x v="4"/>
    <x v="162"/>
    <x v="0"/>
    <x v="1"/>
    <x v="0"/>
    <x v="2"/>
    <x v="1"/>
    <x v="39"/>
    <x v="31"/>
    <x v="11"/>
    <x v="2"/>
  </r>
  <r>
    <x v="17"/>
    <x v="26"/>
    <x v="12"/>
    <x v="4"/>
    <x v="26"/>
    <x v="0"/>
    <x v="3"/>
    <x v="0"/>
    <x v="0"/>
    <x v="1"/>
    <x v="17"/>
    <x v="46"/>
    <x v="7"/>
    <x v="0"/>
  </r>
  <r>
    <x v="8"/>
    <x v="193"/>
    <x v="25"/>
    <x v="4"/>
    <x v="165"/>
    <x v="0"/>
    <x v="3"/>
    <x v="0"/>
    <x v="0"/>
    <x v="1"/>
    <x v="8"/>
    <x v="44"/>
    <x v="11"/>
    <x v="0"/>
  </r>
  <r>
    <x v="25"/>
    <x v="28"/>
    <x v="19"/>
    <x v="300"/>
    <x v="28"/>
    <x v="0"/>
    <x v="3"/>
    <x v="1"/>
    <x v="0"/>
    <x v="1"/>
    <x v="25"/>
    <x v="429"/>
    <x v="1"/>
    <x v="0"/>
  </r>
  <r>
    <x v="20"/>
    <x v="195"/>
    <x v="0"/>
    <x v="4"/>
    <x v="167"/>
    <x v="0"/>
    <x v="3"/>
    <x v="2"/>
    <x v="0"/>
    <x v="1"/>
    <x v="20"/>
    <x v="32"/>
    <x v="2"/>
    <x v="0"/>
  </r>
  <r>
    <x v="82"/>
    <x v="196"/>
    <x v="13"/>
    <x v="301"/>
    <x v="168"/>
    <x v="0"/>
    <x v="3"/>
    <x v="2"/>
    <x v="0"/>
    <x v="1"/>
    <x v="82"/>
    <x v="430"/>
    <x v="10"/>
    <x v="0"/>
  </r>
  <r>
    <x v="27"/>
    <x v="31"/>
    <x v="30"/>
    <x v="4"/>
    <x v="31"/>
    <x v="0"/>
    <x v="3"/>
    <x v="3"/>
    <x v="0"/>
    <x v="1"/>
    <x v="27"/>
    <x v="49"/>
    <x v="4"/>
    <x v="0"/>
  </r>
  <r>
    <x v="86"/>
    <x v="198"/>
    <x v="6"/>
    <x v="302"/>
    <x v="155"/>
    <x v="0"/>
    <x v="3"/>
    <x v="3"/>
    <x v="0"/>
    <x v="0"/>
    <x v="86"/>
    <x v="431"/>
    <x v="5"/>
    <x v="0"/>
  </r>
  <r>
    <x v="39"/>
    <x v="199"/>
    <x v="29"/>
    <x v="303"/>
    <x v="103"/>
    <x v="0"/>
    <x v="3"/>
    <x v="3"/>
    <x v="0"/>
    <x v="0"/>
    <x v="39"/>
    <x v="432"/>
    <x v="5"/>
    <x v="0"/>
  </r>
  <r>
    <x v="87"/>
    <x v="200"/>
    <x v="22"/>
    <x v="304"/>
    <x v="170"/>
    <x v="0"/>
    <x v="3"/>
    <x v="3"/>
    <x v="0"/>
    <x v="0"/>
    <x v="87"/>
    <x v="433"/>
    <x v="5"/>
    <x v="0"/>
  </r>
  <r>
    <x v="31"/>
    <x v="35"/>
    <x v="11"/>
    <x v="305"/>
    <x v="35"/>
    <x v="0"/>
    <x v="3"/>
    <x v="3"/>
    <x v="0"/>
    <x v="0"/>
    <x v="31"/>
    <x v="434"/>
    <x v="6"/>
    <x v="0"/>
  </r>
  <r>
    <x v="32"/>
    <x v="36"/>
    <x v="2"/>
    <x v="4"/>
    <x v="36"/>
    <x v="0"/>
    <x v="3"/>
    <x v="0"/>
    <x v="1"/>
    <x v="1"/>
    <x v="32"/>
    <x v="9"/>
    <x v="7"/>
    <x v="1"/>
  </r>
  <r>
    <x v="30"/>
    <x v="202"/>
    <x v="29"/>
    <x v="4"/>
    <x v="172"/>
    <x v="0"/>
    <x v="3"/>
    <x v="0"/>
    <x v="1"/>
    <x v="1"/>
    <x v="30"/>
    <x v="48"/>
    <x v="11"/>
    <x v="1"/>
  </r>
  <r>
    <x v="23"/>
    <x v="203"/>
    <x v="5"/>
    <x v="306"/>
    <x v="173"/>
    <x v="0"/>
    <x v="3"/>
    <x v="1"/>
    <x v="1"/>
    <x v="1"/>
    <x v="23"/>
    <x v="435"/>
    <x v="8"/>
    <x v="1"/>
  </r>
  <r>
    <x v="61"/>
    <x v="256"/>
    <x v="18"/>
    <x v="307"/>
    <x v="215"/>
    <x v="0"/>
    <x v="3"/>
    <x v="1"/>
    <x v="1"/>
    <x v="0"/>
    <x v="61"/>
    <x v="436"/>
    <x v="9"/>
    <x v="1"/>
  </r>
  <r>
    <x v="36"/>
    <x v="41"/>
    <x v="1"/>
    <x v="4"/>
    <x v="41"/>
    <x v="0"/>
    <x v="3"/>
    <x v="2"/>
    <x v="1"/>
    <x v="1"/>
    <x v="36"/>
    <x v="13"/>
    <x v="3"/>
    <x v="1"/>
  </r>
  <r>
    <x v="91"/>
    <x v="270"/>
    <x v="18"/>
    <x v="308"/>
    <x v="226"/>
    <x v="0"/>
    <x v="3"/>
    <x v="2"/>
    <x v="1"/>
    <x v="0"/>
    <x v="91"/>
    <x v="437"/>
    <x v="10"/>
    <x v="1"/>
  </r>
  <r>
    <x v="38"/>
    <x v="43"/>
    <x v="19"/>
    <x v="4"/>
    <x v="43"/>
    <x v="0"/>
    <x v="3"/>
    <x v="3"/>
    <x v="1"/>
    <x v="1"/>
    <x v="38"/>
    <x v="25"/>
    <x v="4"/>
    <x v="1"/>
  </r>
  <r>
    <x v="39"/>
    <x v="44"/>
    <x v="29"/>
    <x v="4"/>
    <x v="44"/>
    <x v="0"/>
    <x v="3"/>
    <x v="3"/>
    <x v="1"/>
    <x v="1"/>
    <x v="39"/>
    <x v="48"/>
    <x v="4"/>
    <x v="1"/>
  </r>
  <r>
    <x v="72"/>
    <x v="271"/>
    <x v="29"/>
    <x v="309"/>
    <x v="80"/>
    <x v="0"/>
    <x v="3"/>
    <x v="3"/>
    <x v="1"/>
    <x v="1"/>
    <x v="72"/>
    <x v="438"/>
    <x v="5"/>
    <x v="1"/>
  </r>
  <r>
    <x v="8"/>
    <x v="46"/>
    <x v="12"/>
    <x v="4"/>
    <x v="46"/>
    <x v="0"/>
    <x v="3"/>
    <x v="3"/>
    <x v="1"/>
    <x v="2"/>
    <x v="8"/>
    <x v="46"/>
    <x v="5"/>
    <x v="1"/>
  </r>
  <r>
    <x v="10"/>
    <x v="47"/>
    <x v="18"/>
    <x v="4"/>
    <x v="47"/>
    <x v="0"/>
    <x v="3"/>
    <x v="3"/>
    <x v="1"/>
    <x v="0"/>
    <x v="10"/>
    <x v="23"/>
    <x v="5"/>
    <x v="1"/>
  </r>
  <r>
    <x v="39"/>
    <x v="48"/>
    <x v="32"/>
    <x v="4"/>
    <x v="48"/>
    <x v="0"/>
    <x v="3"/>
    <x v="3"/>
    <x v="1"/>
    <x v="0"/>
    <x v="39"/>
    <x v="53"/>
    <x v="6"/>
    <x v="1"/>
  </r>
  <r>
    <x v="41"/>
    <x v="49"/>
    <x v="3"/>
    <x v="310"/>
    <x v="49"/>
    <x v="0"/>
    <x v="3"/>
    <x v="0"/>
    <x v="2"/>
    <x v="1"/>
    <x v="41"/>
    <x v="439"/>
    <x v="7"/>
    <x v="2"/>
  </r>
  <r>
    <x v="39"/>
    <x v="143"/>
    <x v="24"/>
    <x v="4"/>
    <x v="50"/>
    <x v="0"/>
    <x v="3"/>
    <x v="0"/>
    <x v="2"/>
    <x v="2"/>
    <x v="39"/>
    <x v="33"/>
    <x v="0"/>
    <x v="2"/>
  </r>
  <r>
    <x v="63"/>
    <x v="259"/>
    <x v="5"/>
    <x v="4"/>
    <x v="217"/>
    <x v="0"/>
    <x v="3"/>
    <x v="0"/>
    <x v="2"/>
    <x v="1"/>
    <x v="63"/>
    <x v="15"/>
    <x v="11"/>
    <x v="2"/>
  </r>
  <r>
    <x v="56"/>
    <x v="257"/>
    <x v="15"/>
    <x v="307"/>
    <x v="177"/>
    <x v="2"/>
    <x v="3"/>
    <x v="1"/>
    <x v="2"/>
    <x v="0"/>
    <x v="56"/>
    <x v="440"/>
    <x v="1"/>
    <x v="2"/>
  </r>
  <r>
    <x v="66"/>
    <x v="103"/>
    <x v="6"/>
    <x v="4"/>
    <x v="98"/>
    <x v="0"/>
    <x v="1"/>
    <x v="0"/>
    <x v="0"/>
    <x v="1"/>
    <x v="66"/>
    <x v="24"/>
    <x v="11"/>
    <x v="0"/>
  </r>
  <r>
    <x v="67"/>
    <x v="104"/>
    <x v="15"/>
    <x v="4"/>
    <x v="99"/>
    <x v="0"/>
    <x v="1"/>
    <x v="1"/>
    <x v="0"/>
    <x v="0"/>
    <x v="67"/>
    <x v="27"/>
    <x v="1"/>
    <x v="0"/>
  </r>
  <r>
    <x v="39"/>
    <x v="105"/>
    <x v="13"/>
    <x v="4"/>
    <x v="100"/>
    <x v="0"/>
    <x v="1"/>
    <x v="2"/>
    <x v="0"/>
    <x v="1"/>
    <x v="39"/>
    <x v="17"/>
    <x v="2"/>
    <x v="0"/>
  </r>
  <r>
    <x v="41"/>
    <x v="106"/>
    <x v="9"/>
    <x v="4"/>
    <x v="101"/>
    <x v="0"/>
    <x v="1"/>
    <x v="2"/>
    <x v="0"/>
    <x v="1"/>
    <x v="41"/>
    <x v="10"/>
    <x v="10"/>
    <x v="0"/>
  </r>
  <r>
    <x v="4"/>
    <x v="4"/>
    <x v="32"/>
    <x v="4"/>
    <x v="4"/>
    <x v="0"/>
    <x v="1"/>
    <x v="3"/>
    <x v="0"/>
    <x v="1"/>
    <x v="4"/>
    <x v="53"/>
    <x v="4"/>
    <x v="0"/>
  </r>
  <r>
    <x v="42"/>
    <x v="107"/>
    <x v="5"/>
    <x v="4"/>
    <x v="102"/>
    <x v="0"/>
    <x v="1"/>
    <x v="3"/>
    <x v="0"/>
    <x v="1"/>
    <x v="42"/>
    <x v="15"/>
    <x v="5"/>
    <x v="0"/>
  </r>
  <r>
    <x v="7"/>
    <x v="108"/>
    <x v="8"/>
    <x v="4"/>
    <x v="103"/>
    <x v="0"/>
    <x v="1"/>
    <x v="3"/>
    <x v="0"/>
    <x v="1"/>
    <x v="7"/>
    <x v="38"/>
    <x v="5"/>
    <x v="0"/>
  </r>
  <r>
    <x v="68"/>
    <x v="109"/>
    <x v="10"/>
    <x v="4"/>
    <x v="104"/>
    <x v="0"/>
    <x v="1"/>
    <x v="3"/>
    <x v="0"/>
    <x v="1"/>
    <x v="68"/>
    <x v="11"/>
    <x v="5"/>
    <x v="0"/>
  </r>
  <r>
    <x v="23"/>
    <x v="110"/>
    <x v="22"/>
    <x v="4"/>
    <x v="105"/>
    <x v="0"/>
    <x v="1"/>
    <x v="3"/>
    <x v="0"/>
    <x v="1"/>
    <x v="23"/>
    <x v="30"/>
    <x v="6"/>
    <x v="0"/>
  </r>
  <r>
    <x v="9"/>
    <x v="9"/>
    <x v="11"/>
    <x v="4"/>
    <x v="9"/>
    <x v="0"/>
    <x v="1"/>
    <x v="0"/>
    <x v="1"/>
    <x v="1"/>
    <x v="9"/>
    <x v="12"/>
    <x v="7"/>
    <x v="1"/>
  </r>
  <r>
    <x v="48"/>
    <x v="112"/>
    <x v="4"/>
    <x v="4"/>
    <x v="107"/>
    <x v="0"/>
    <x v="1"/>
    <x v="1"/>
    <x v="1"/>
    <x v="1"/>
    <x v="48"/>
    <x v="4"/>
    <x v="8"/>
    <x v="1"/>
  </r>
  <r>
    <x v="9"/>
    <x v="268"/>
    <x v="2"/>
    <x v="4"/>
    <x v="224"/>
    <x v="0"/>
    <x v="1"/>
    <x v="1"/>
    <x v="1"/>
    <x v="1"/>
    <x v="9"/>
    <x v="9"/>
    <x v="1"/>
    <x v="1"/>
  </r>
  <r>
    <x v="87"/>
    <x v="269"/>
    <x v="4"/>
    <x v="4"/>
    <x v="225"/>
    <x v="0"/>
    <x v="1"/>
    <x v="2"/>
    <x v="1"/>
    <x v="2"/>
    <x v="87"/>
    <x v="4"/>
    <x v="2"/>
    <x v="1"/>
  </r>
  <r>
    <x v="71"/>
    <x v="115"/>
    <x v="0"/>
    <x v="4"/>
    <x v="110"/>
    <x v="0"/>
    <x v="1"/>
    <x v="2"/>
    <x v="1"/>
    <x v="1"/>
    <x v="71"/>
    <x v="32"/>
    <x v="3"/>
    <x v="1"/>
  </r>
  <r>
    <x v="69"/>
    <x v="116"/>
    <x v="23"/>
    <x v="4"/>
    <x v="111"/>
    <x v="0"/>
    <x v="1"/>
    <x v="2"/>
    <x v="1"/>
    <x v="1"/>
    <x v="69"/>
    <x v="31"/>
    <x v="3"/>
    <x v="1"/>
  </r>
  <r>
    <x v="72"/>
    <x v="117"/>
    <x v="10"/>
    <x v="4"/>
    <x v="112"/>
    <x v="0"/>
    <x v="1"/>
    <x v="3"/>
    <x v="0"/>
    <x v="1"/>
    <x v="72"/>
    <x v="11"/>
    <x v="4"/>
    <x v="0"/>
  </r>
  <r>
    <x v="68"/>
    <x v="118"/>
    <x v="4"/>
    <x v="4"/>
    <x v="113"/>
    <x v="0"/>
    <x v="1"/>
    <x v="3"/>
    <x v="1"/>
    <x v="1"/>
    <x v="68"/>
    <x v="4"/>
    <x v="4"/>
    <x v="1"/>
  </r>
  <r>
    <x v="24"/>
    <x v="119"/>
    <x v="32"/>
    <x v="4"/>
    <x v="114"/>
    <x v="0"/>
    <x v="1"/>
    <x v="3"/>
    <x v="1"/>
    <x v="1"/>
    <x v="24"/>
    <x v="53"/>
    <x v="5"/>
    <x v="1"/>
  </r>
  <r>
    <x v="66"/>
    <x v="272"/>
    <x v="9"/>
    <x v="4"/>
    <x v="227"/>
    <x v="0"/>
    <x v="1"/>
    <x v="3"/>
    <x v="1"/>
    <x v="1"/>
    <x v="66"/>
    <x v="10"/>
    <x v="5"/>
    <x v="1"/>
  </r>
  <r>
    <x v="10"/>
    <x v="187"/>
    <x v="36"/>
    <x v="4"/>
    <x v="20"/>
    <x v="0"/>
    <x v="1"/>
    <x v="3"/>
    <x v="1"/>
    <x v="1"/>
    <x v="10"/>
    <x v="75"/>
    <x v="5"/>
    <x v="1"/>
  </r>
  <r>
    <x v="23"/>
    <x v="273"/>
    <x v="10"/>
    <x v="4"/>
    <x v="228"/>
    <x v="0"/>
    <x v="1"/>
    <x v="3"/>
    <x v="1"/>
    <x v="1"/>
    <x v="23"/>
    <x v="11"/>
    <x v="6"/>
    <x v="1"/>
  </r>
  <r>
    <x v="73"/>
    <x v="120"/>
    <x v="16"/>
    <x v="4"/>
    <x v="115"/>
    <x v="0"/>
    <x v="1"/>
    <x v="0"/>
    <x v="2"/>
    <x v="1"/>
    <x v="73"/>
    <x v="21"/>
    <x v="7"/>
    <x v="2"/>
  </r>
  <r>
    <x v="23"/>
    <x v="220"/>
    <x v="30"/>
    <x v="311"/>
    <x v="184"/>
    <x v="0"/>
    <x v="1"/>
    <x v="0"/>
    <x v="2"/>
    <x v="1"/>
    <x v="23"/>
    <x v="441"/>
    <x v="0"/>
    <x v="2"/>
  </r>
  <r>
    <x v="39"/>
    <x v="190"/>
    <x v="24"/>
    <x v="4"/>
    <x v="162"/>
    <x v="0"/>
    <x v="1"/>
    <x v="0"/>
    <x v="2"/>
    <x v="2"/>
    <x v="39"/>
    <x v="33"/>
    <x v="11"/>
    <x v="2"/>
  </r>
  <r>
    <x v="45"/>
    <x v="177"/>
    <x v="20"/>
    <x v="4"/>
    <x v="151"/>
    <x v="0"/>
    <x v="1"/>
    <x v="0"/>
    <x v="0"/>
    <x v="1"/>
    <x v="45"/>
    <x v="28"/>
    <x v="11"/>
    <x v="0"/>
  </r>
  <r>
    <x v="46"/>
    <x v="211"/>
    <x v="1"/>
    <x v="4"/>
    <x v="179"/>
    <x v="0"/>
    <x v="1"/>
    <x v="1"/>
    <x v="0"/>
    <x v="1"/>
    <x v="46"/>
    <x v="13"/>
    <x v="1"/>
    <x v="0"/>
  </r>
  <r>
    <x v="1"/>
    <x v="212"/>
    <x v="28"/>
    <x v="4"/>
    <x v="180"/>
    <x v="0"/>
    <x v="1"/>
    <x v="2"/>
    <x v="0"/>
    <x v="1"/>
    <x v="1"/>
    <x v="47"/>
    <x v="2"/>
    <x v="0"/>
  </r>
  <r>
    <x v="42"/>
    <x v="179"/>
    <x v="11"/>
    <x v="4"/>
    <x v="153"/>
    <x v="0"/>
    <x v="1"/>
    <x v="2"/>
    <x v="0"/>
    <x v="1"/>
    <x v="42"/>
    <x v="12"/>
    <x v="10"/>
    <x v="0"/>
  </r>
  <r>
    <x v="78"/>
    <x v="180"/>
    <x v="5"/>
    <x v="4"/>
    <x v="154"/>
    <x v="0"/>
    <x v="1"/>
    <x v="3"/>
    <x v="0"/>
    <x v="1"/>
    <x v="78"/>
    <x v="15"/>
    <x v="4"/>
    <x v="0"/>
  </r>
  <r>
    <x v="13"/>
    <x v="213"/>
    <x v="7"/>
    <x v="4"/>
    <x v="155"/>
    <x v="0"/>
    <x v="1"/>
    <x v="3"/>
    <x v="0"/>
    <x v="1"/>
    <x v="13"/>
    <x v="7"/>
    <x v="5"/>
    <x v="0"/>
  </r>
  <r>
    <x v="7"/>
    <x v="108"/>
    <x v="25"/>
    <x v="4"/>
    <x v="103"/>
    <x v="0"/>
    <x v="1"/>
    <x v="3"/>
    <x v="0"/>
    <x v="1"/>
    <x v="7"/>
    <x v="44"/>
    <x v="5"/>
    <x v="0"/>
  </r>
  <r>
    <x v="40"/>
    <x v="172"/>
    <x v="3"/>
    <x v="4"/>
    <x v="104"/>
    <x v="0"/>
    <x v="1"/>
    <x v="3"/>
    <x v="0"/>
    <x v="1"/>
    <x v="40"/>
    <x v="26"/>
    <x v="5"/>
    <x v="0"/>
  </r>
  <r>
    <x v="74"/>
    <x v="182"/>
    <x v="21"/>
    <x v="4"/>
    <x v="105"/>
    <x v="0"/>
    <x v="1"/>
    <x v="3"/>
    <x v="0"/>
    <x v="1"/>
    <x v="74"/>
    <x v="29"/>
    <x v="6"/>
    <x v="0"/>
  </r>
  <r>
    <x v="23"/>
    <x v="157"/>
    <x v="3"/>
    <x v="4"/>
    <x v="138"/>
    <x v="0"/>
    <x v="1"/>
    <x v="0"/>
    <x v="1"/>
    <x v="1"/>
    <x v="23"/>
    <x v="26"/>
    <x v="7"/>
    <x v="1"/>
  </r>
  <r>
    <x v="55"/>
    <x v="214"/>
    <x v="12"/>
    <x v="4"/>
    <x v="181"/>
    <x v="0"/>
    <x v="1"/>
    <x v="0"/>
    <x v="1"/>
    <x v="2"/>
    <x v="55"/>
    <x v="46"/>
    <x v="0"/>
    <x v="1"/>
  </r>
  <r>
    <x v="22"/>
    <x v="113"/>
    <x v="28"/>
    <x v="4"/>
    <x v="108"/>
    <x v="3"/>
    <x v="1"/>
    <x v="1"/>
    <x v="1"/>
    <x v="1"/>
    <x v="22"/>
    <x v="47"/>
    <x v="9"/>
    <x v="1"/>
  </r>
  <r>
    <x v="70"/>
    <x v="114"/>
    <x v="29"/>
    <x v="4"/>
    <x v="109"/>
    <x v="0"/>
    <x v="1"/>
    <x v="2"/>
    <x v="1"/>
    <x v="1"/>
    <x v="70"/>
    <x v="48"/>
    <x v="2"/>
    <x v="1"/>
  </r>
  <r>
    <x v="84"/>
    <x v="184"/>
    <x v="28"/>
    <x v="4"/>
    <x v="157"/>
    <x v="0"/>
    <x v="1"/>
    <x v="2"/>
    <x v="1"/>
    <x v="1"/>
    <x v="84"/>
    <x v="47"/>
    <x v="3"/>
    <x v="1"/>
  </r>
  <r>
    <x v="69"/>
    <x v="116"/>
    <x v="26"/>
    <x v="4"/>
    <x v="111"/>
    <x v="0"/>
    <x v="1"/>
    <x v="2"/>
    <x v="1"/>
    <x v="1"/>
    <x v="69"/>
    <x v="36"/>
    <x v="3"/>
    <x v="1"/>
  </r>
  <r>
    <x v="85"/>
    <x v="185"/>
    <x v="25"/>
    <x v="4"/>
    <x v="158"/>
    <x v="0"/>
    <x v="1"/>
    <x v="3"/>
    <x v="0"/>
    <x v="1"/>
    <x v="85"/>
    <x v="44"/>
    <x v="4"/>
    <x v="0"/>
  </r>
  <r>
    <x v="23"/>
    <x v="217"/>
    <x v="22"/>
    <x v="4"/>
    <x v="113"/>
    <x v="0"/>
    <x v="1"/>
    <x v="3"/>
    <x v="1"/>
    <x v="1"/>
    <x v="23"/>
    <x v="30"/>
    <x v="4"/>
    <x v="1"/>
  </r>
  <r>
    <x v="21"/>
    <x v="175"/>
    <x v="11"/>
    <x v="4"/>
    <x v="45"/>
    <x v="0"/>
    <x v="1"/>
    <x v="3"/>
    <x v="1"/>
    <x v="1"/>
    <x v="21"/>
    <x v="12"/>
    <x v="5"/>
    <x v="1"/>
  </r>
  <r>
    <x v="45"/>
    <x v="186"/>
    <x v="18"/>
    <x v="312"/>
    <x v="159"/>
    <x v="0"/>
    <x v="1"/>
    <x v="3"/>
    <x v="1"/>
    <x v="0"/>
    <x v="45"/>
    <x v="442"/>
    <x v="5"/>
    <x v="1"/>
  </r>
  <r>
    <x v="1"/>
    <x v="218"/>
    <x v="27"/>
    <x v="313"/>
    <x v="20"/>
    <x v="0"/>
    <x v="1"/>
    <x v="3"/>
    <x v="1"/>
    <x v="1"/>
    <x v="1"/>
    <x v="443"/>
    <x v="5"/>
    <x v="1"/>
  </r>
  <r>
    <x v="3"/>
    <x v="219"/>
    <x v="12"/>
    <x v="4"/>
    <x v="183"/>
    <x v="5"/>
    <x v="1"/>
    <x v="0"/>
    <x v="2"/>
    <x v="1"/>
    <x v="3"/>
    <x v="46"/>
    <x v="7"/>
    <x v="2"/>
  </r>
  <r>
    <x v="23"/>
    <x v="241"/>
    <x v="22"/>
    <x v="314"/>
    <x v="184"/>
    <x v="0"/>
    <x v="1"/>
    <x v="0"/>
    <x v="2"/>
    <x v="0"/>
    <x v="23"/>
    <x v="444"/>
    <x v="0"/>
    <x v="2"/>
  </r>
  <r>
    <x v="48"/>
    <x v="191"/>
    <x v="47"/>
    <x v="4"/>
    <x v="163"/>
    <x v="1"/>
    <x v="1"/>
    <x v="1"/>
    <x v="2"/>
    <x v="2"/>
    <x v="48"/>
    <x v="445"/>
    <x v="8"/>
    <x v="2"/>
  </r>
  <r>
    <x v="19"/>
    <x v="122"/>
    <x v="30"/>
    <x v="4"/>
    <x v="116"/>
    <x v="0"/>
    <x v="1"/>
    <x v="1"/>
    <x v="2"/>
    <x v="1"/>
    <x v="19"/>
    <x v="49"/>
    <x v="1"/>
    <x v="2"/>
  </r>
  <r>
    <x v="66"/>
    <x v="103"/>
    <x v="30"/>
    <x v="315"/>
    <x v="98"/>
    <x v="0"/>
    <x v="0"/>
    <x v="0"/>
    <x v="0"/>
    <x v="0"/>
    <x v="66"/>
    <x v="446"/>
    <x v="11"/>
    <x v="0"/>
  </r>
  <r>
    <x v="67"/>
    <x v="104"/>
    <x v="21"/>
    <x v="316"/>
    <x v="99"/>
    <x v="0"/>
    <x v="0"/>
    <x v="1"/>
    <x v="0"/>
    <x v="0"/>
    <x v="67"/>
    <x v="447"/>
    <x v="1"/>
    <x v="0"/>
  </r>
  <r>
    <x v="39"/>
    <x v="105"/>
    <x v="3"/>
    <x v="317"/>
    <x v="100"/>
    <x v="0"/>
    <x v="0"/>
    <x v="2"/>
    <x v="0"/>
    <x v="0"/>
    <x v="39"/>
    <x v="448"/>
    <x v="2"/>
    <x v="0"/>
  </r>
  <r>
    <x v="88"/>
    <x v="274"/>
    <x v="20"/>
    <x v="318"/>
    <x v="229"/>
    <x v="0"/>
    <x v="0"/>
    <x v="2"/>
    <x v="0"/>
    <x v="1"/>
    <x v="88"/>
    <x v="449"/>
    <x v="10"/>
    <x v="0"/>
  </r>
  <r>
    <x v="4"/>
    <x v="4"/>
    <x v="15"/>
    <x v="319"/>
    <x v="4"/>
    <x v="0"/>
    <x v="0"/>
    <x v="3"/>
    <x v="0"/>
    <x v="0"/>
    <x v="4"/>
    <x v="450"/>
    <x v="4"/>
    <x v="0"/>
  </r>
  <r>
    <x v="42"/>
    <x v="107"/>
    <x v="19"/>
    <x v="320"/>
    <x v="102"/>
    <x v="0"/>
    <x v="0"/>
    <x v="3"/>
    <x v="0"/>
    <x v="0"/>
    <x v="42"/>
    <x v="451"/>
    <x v="5"/>
    <x v="0"/>
  </r>
  <r>
    <x v="6"/>
    <x v="6"/>
    <x v="15"/>
    <x v="317"/>
    <x v="6"/>
    <x v="0"/>
    <x v="0"/>
    <x v="3"/>
    <x v="0"/>
    <x v="0"/>
    <x v="6"/>
    <x v="452"/>
    <x v="5"/>
    <x v="0"/>
  </r>
  <r>
    <x v="68"/>
    <x v="109"/>
    <x v="30"/>
    <x v="321"/>
    <x v="104"/>
    <x v="0"/>
    <x v="0"/>
    <x v="3"/>
    <x v="0"/>
    <x v="1"/>
    <x v="68"/>
    <x v="453"/>
    <x v="5"/>
    <x v="0"/>
  </r>
  <r>
    <x v="9"/>
    <x v="9"/>
    <x v="12"/>
    <x v="166"/>
    <x v="9"/>
    <x v="0"/>
    <x v="0"/>
    <x v="0"/>
    <x v="1"/>
    <x v="0"/>
    <x v="9"/>
    <x v="454"/>
    <x v="7"/>
    <x v="1"/>
  </r>
  <r>
    <x v="6"/>
    <x v="148"/>
    <x v="19"/>
    <x v="322"/>
    <x v="133"/>
    <x v="0"/>
    <x v="0"/>
    <x v="0"/>
    <x v="1"/>
    <x v="0"/>
    <x v="6"/>
    <x v="455"/>
    <x v="0"/>
    <x v="1"/>
  </r>
  <r>
    <x v="11"/>
    <x v="11"/>
    <x v="18"/>
    <x v="323"/>
    <x v="11"/>
    <x v="0"/>
    <x v="0"/>
    <x v="1"/>
    <x v="1"/>
    <x v="0"/>
    <x v="11"/>
    <x v="456"/>
    <x v="8"/>
    <x v="1"/>
  </r>
  <r>
    <x v="9"/>
    <x v="268"/>
    <x v="28"/>
    <x v="324"/>
    <x v="224"/>
    <x v="0"/>
    <x v="0"/>
    <x v="1"/>
    <x v="1"/>
    <x v="0"/>
    <x v="9"/>
    <x v="457"/>
    <x v="1"/>
    <x v="1"/>
  </r>
  <r>
    <x v="58"/>
    <x v="275"/>
    <x v="7"/>
    <x v="325"/>
    <x v="230"/>
    <x v="0"/>
    <x v="0"/>
    <x v="1"/>
    <x v="1"/>
    <x v="0"/>
    <x v="58"/>
    <x v="458"/>
    <x v="9"/>
    <x v="1"/>
  </r>
  <r>
    <x v="71"/>
    <x v="115"/>
    <x v="29"/>
    <x v="317"/>
    <x v="110"/>
    <x v="0"/>
    <x v="0"/>
    <x v="2"/>
    <x v="1"/>
    <x v="0"/>
    <x v="71"/>
    <x v="459"/>
    <x v="3"/>
    <x v="1"/>
  </r>
  <r>
    <x v="62"/>
    <x v="276"/>
    <x v="19"/>
    <x v="326"/>
    <x v="231"/>
    <x v="0"/>
    <x v="0"/>
    <x v="2"/>
    <x v="1"/>
    <x v="0"/>
    <x v="62"/>
    <x v="460"/>
    <x v="3"/>
    <x v="1"/>
  </r>
  <r>
    <x v="16"/>
    <x v="16"/>
    <x v="25"/>
    <x v="327"/>
    <x v="16"/>
    <x v="0"/>
    <x v="0"/>
    <x v="2"/>
    <x v="1"/>
    <x v="0"/>
    <x v="16"/>
    <x v="461"/>
    <x v="10"/>
    <x v="1"/>
  </r>
  <r>
    <x v="68"/>
    <x v="118"/>
    <x v="13"/>
    <x v="318"/>
    <x v="113"/>
    <x v="0"/>
    <x v="0"/>
    <x v="3"/>
    <x v="1"/>
    <x v="0"/>
    <x v="68"/>
    <x v="462"/>
    <x v="4"/>
    <x v="1"/>
  </r>
  <r>
    <x v="79"/>
    <x v="149"/>
    <x v="27"/>
    <x v="328"/>
    <x v="114"/>
    <x v="0"/>
    <x v="0"/>
    <x v="3"/>
    <x v="1"/>
    <x v="0"/>
    <x v="79"/>
    <x v="463"/>
    <x v="5"/>
    <x v="1"/>
  </r>
  <r>
    <x v="66"/>
    <x v="272"/>
    <x v="6"/>
    <x v="329"/>
    <x v="227"/>
    <x v="0"/>
    <x v="0"/>
    <x v="3"/>
    <x v="1"/>
    <x v="0"/>
    <x v="66"/>
    <x v="464"/>
    <x v="5"/>
    <x v="1"/>
  </r>
  <r>
    <x v="10"/>
    <x v="187"/>
    <x v="18"/>
    <x v="327"/>
    <x v="20"/>
    <x v="0"/>
    <x v="0"/>
    <x v="3"/>
    <x v="1"/>
    <x v="0"/>
    <x v="10"/>
    <x v="465"/>
    <x v="5"/>
    <x v="1"/>
  </r>
  <r>
    <x v="23"/>
    <x v="273"/>
    <x v="28"/>
    <x v="330"/>
    <x v="228"/>
    <x v="0"/>
    <x v="0"/>
    <x v="3"/>
    <x v="1"/>
    <x v="0"/>
    <x v="23"/>
    <x v="466"/>
    <x v="6"/>
    <x v="1"/>
  </r>
  <r>
    <x v="73"/>
    <x v="120"/>
    <x v="22"/>
    <x v="331"/>
    <x v="115"/>
    <x v="0"/>
    <x v="0"/>
    <x v="0"/>
    <x v="2"/>
    <x v="0"/>
    <x v="73"/>
    <x v="467"/>
    <x v="7"/>
    <x v="2"/>
  </r>
  <r>
    <x v="23"/>
    <x v="220"/>
    <x v="11"/>
    <x v="4"/>
    <x v="184"/>
    <x v="0"/>
    <x v="0"/>
    <x v="0"/>
    <x v="2"/>
    <x v="1"/>
    <x v="23"/>
    <x v="12"/>
    <x v="0"/>
    <x v="2"/>
  </r>
  <r>
    <x v="39"/>
    <x v="190"/>
    <x v="5"/>
    <x v="4"/>
    <x v="162"/>
    <x v="0"/>
    <x v="0"/>
    <x v="0"/>
    <x v="2"/>
    <x v="1"/>
    <x v="39"/>
    <x v="15"/>
    <x v="11"/>
    <x v="2"/>
  </r>
  <r>
    <x v="22"/>
    <x v="24"/>
    <x v="5"/>
    <x v="323"/>
    <x v="24"/>
    <x v="0"/>
    <x v="0"/>
    <x v="1"/>
    <x v="2"/>
    <x v="0"/>
    <x v="22"/>
    <x v="468"/>
    <x v="8"/>
    <x v="2"/>
  </r>
  <r>
    <x v="86"/>
    <x v="222"/>
    <x v="2"/>
    <x v="4"/>
    <x v="186"/>
    <x v="0"/>
    <x v="3"/>
    <x v="0"/>
    <x v="0"/>
    <x v="1"/>
    <x v="86"/>
    <x v="9"/>
    <x v="0"/>
    <x v="0"/>
  </r>
  <r>
    <x v="19"/>
    <x v="64"/>
    <x v="26"/>
    <x v="118"/>
    <x v="63"/>
    <x v="0"/>
    <x v="3"/>
    <x v="1"/>
    <x v="0"/>
    <x v="0"/>
    <x v="19"/>
    <x v="469"/>
    <x v="8"/>
    <x v="0"/>
  </r>
  <r>
    <x v="91"/>
    <x v="260"/>
    <x v="29"/>
    <x v="4"/>
    <x v="187"/>
    <x v="0"/>
    <x v="3"/>
    <x v="1"/>
    <x v="0"/>
    <x v="1"/>
    <x v="91"/>
    <x v="48"/>
    <x v="9"/>
    <x v="0"/>
  </r>
  <r>
    <x v="50"/>
    <x v="66"/>
    <x v="1"/>
    <x v="4"/>
    <x v="65"/>
    <x v="0"/>
    <x v="3"/>
    <x v="2"/>
    <x v="0"/>
    <x v="1"/>
    <x v="50"/>
    <x v="13"/>
    <x v="3"/>
    <x v="0"/>
  </r>
  <r>
    <x v="16"/>
    <x v="67"/>
    <x v="6"/>
    <x v="4"/>
    <x v="66"/>
    <x v="0"/>
    <x v="3"/>
    <x v="3"/>
    <x v="0"/>
    <x v="1"/>
    <x v="16"/>
    <x v="24"/>
    <x v="4"/>
    <x v="0"/>
  </r>
  <r>
    <x v="37"/>
    <x v="68"/>
    <x v="1"/>
    <x v="4"/>
    <x v="67"/>
    <x v="3"/>
    <x v="3"/>
    <x v="3"/>
    <x v="0"/>
    <x v="1"/>
    <x v="37"/>
    <x v="13"/>
    <x v="4"/>
    <x v="0"/>
  </r>
  <r>
    <x v="51"/>
    <x v="69"/>
    <x v="7"/>
    <x v="4"/>
    <x v="68"/>
    <x v="0"/>
    <x v="3"/>
    <x v="3"/>
    <x v="0"/>
    <x v="1"/>
    <x v="51"/>
    <x v="7"/>
    <x v="5"/>
    <x v="0"/>
  </r>
  <r>
    <x v="52"/>
    <x v="70"/>
    <x v="12"/>
    <x v="4"/>
    <x v="69"/>
    <x v="0"/>
    <x v="3"/>
    <x v="3"/>
    <x v="0"/>
    <x v="1"/>
    <x v="52"/>
    <x v="46"/>
    <x v="5"/>
    <x v="0"/>
  </r>
  <r>
    <x v="53"/>
    <x v="71"/>
    <x v="8"/>
    <x v="4"/>
    <x v="70"/>
    <x v="0"/>
    <x v="3"/>
    <x v="3"/>
    <x v="0"/>
    <x v="0"/>
    <x v="53"/>
    <x v="38"/>
    <x v="5"/>
    <x v="0"/>
  </r>
  <r>
    <x v="54"/>
    <x v="72"/>
    <x v="14"/>
    <x v="4"/>
    <x v="71"/>
    <x v="0"/>
    <x v="3"/>
    <x v="0"/>
    <x v="1"/>
    <x v="0"/>
    <x v="54"/>
    <x v="41"/>
    <x v="7"/>
    <x v="1"/>
  </r>
  <r>
    <x v="55"/>
    <x v="73"/>
    <x v="3"/>
    <x v="332"/>
    <x v="72"/>
    <x v="0"/>
    <x v="3"/>
    <x v="0"/>
    <x v="1"/>
    <x v="1"/>
    <x v="55"/>
    <x v="470"/>
    <x v="0"/>
    <x v="1"/>
  </r>
  <r>
    <x v="33"/>
    <x v="277"/>
    <x v="12"/>
    <x v="4"/>
    <x v="232"/>
    <x v="0"/>
    <x v="3"/>
    <x v="1"/>
    <x v="1"/>
    <x v="1"/>
    <x v="33"/>
    <x v="46"/>
    <x v="1"/>
    <x v="1"/>
  </r>
  <r>
    <x v="23"/>
    <x v="226"/>
    <x v="1"/>
    <x v="4"/>
    <x v="190"/>
    <x v="3"/>
    <x v="3"/>
    <x v="1"/>
    <x v="1"/>
    <x v="1"/>
    <x v="23"/>
    <x v="13"/>
    <x v="9"/>
    <x v="1"/>
  </r>
  <r>
    <x v="56"/>
    <x v="76"/>
    <x v="24"/>
    <x v="332"/>
    <x v="75"/>
    <x v="0"/>
    <x v="3"/>
    <x v="2"/>
    <x v="1"/>
    <x v="1"/>
    <x v="56"/>
    <x v="471"/>
    <x v="2"/>
    <x v="1"/>
  </r>
  <r>
    <x v="57"/>
    <x v="77"/>
    <x v="12"/>
    <x v="4"/>
    <x v="76"/>
    <x v="0"/>
    <x v="3"/>
    <x v="2"/>
    <x v="1"/>
    <x v="1"/>
    <x v="57"/>
    <x v="46"/>
    <x v="3"/>
    <x v="1"/>
  </r>
  <r>
    <x v="89"/>
    <x v="229"/>
    <x v="8"/>
    <x v="333"/>
    <x v="192"/>
    <x v="0"/>
    <x v="3"/>
    <x v="2"/>
    <x v="1"/>
    <x v="0"/>
    <x v="89"/>
    <x v="472"/>
    <x v="10"/>
    <x v="1"/>
  </r>
  <r>
    <x v="29"/>
    <x v="79"/>
    <x v="7"/>
    <x v="334"/>
    <x v="78"/>
    <x v="0"/>
    <x v="3"/>
    <x v="3"/>
    <x v="1"/>
    <x v="1"/>
    <x v="29"/>
    <x v="473"/>
    <x v="4"/>
    <x v="1"/>
  </r>
  <r>
    <x v="59"/>
    <x v="80"/>
    <x v="20"/>
    <x v="334"/>
    <x v="79"/>
    <x v="0"/>
    <x v="3"/>
    <x v="3"/>
    <x v="1"/>
    <x v="1"/>
    <x v="59"/>
    <x v="474"/>
    <x v="5"/>
    <x v="1"/>
  </r>
  <r>
    <x v="86"/>
    <x v="278"/>
    <x v="1"/>
    <x v="4"/>
    <x v="233"/>
    <x v="0"/>
    <x v="3"/>
    <x v="3"/>
    <x v="1"/>
    <x v="1"/>
    <x v="86"/>
    <x v="13"/>
    <x v="5"/>
    <x v="1"/>
  </r>
  <r>
    <x v="90"/>
    <x v="231"/>
    <x v="3"/>
    <x v="4"/>
    <x v="194"/>
    <x v="0"/>
    <x v="3"/>
    <x v="3"/>
    <x v="1"/>
    <x v="1"/>
    <x v="90"/>
    <x v="26"/>
    <x v="5"/>
    <x v="1"/>
  </r>
  <r>
    <x v="49"/>
    <x v="232"/>
    <x v="14"/>
    <x v="4"/>
    <x v="195"/>
    <x v="0"/>
    <x v="3"/>
    <x v="3"/>
    <x v="1"/>
    <x v="1"/>
    <x v="49"/>
    <x v="41"/>
    <x v="6"/>
    <x v="1"/>
  </r>
  <r>
    <x v="60"/>
    <x v="85"/>
    <x v="24"/>
    <x v="335"/>
    <x v="84"/>
    <x v="0"/>
    <x v="3"/>
    <x v="0"/>
    <x v="2"/>
    <x v="1"/>
    <x v="60"/>
    <x v="475"/>
    <x v="7"/>
    <x v="2"/>
  </r>
  <r>
    <x v="23"/>
    <x v="233"/>
    <x v="8"/>
    <x v="119"/>
    <x v="196"/>
    <x v="5"/>
    <x v="3"/>
    <x v="0"/>
    <x v="2"/>
    <x v="0"/>
    <x v="23"/>
    <x v="476"/>
    <x v="11"/>
    <x v="2"/>
  </r>
  <r>
    <x v="1"/>
    <x v="234"/>
    <x v="3"/>
    <x v="4"/>
    <x v="197"/>
    <x v="0"/>
    <x v="3"/>
    <x v="0"/>
    <x v="2"/>
    <x v="1"/>
    <x v="1"/>
    <x v="26"/>
    <x v="11"/>
    <x v="2"/>
  </r>
  <r>
    <x v="61"/>
    <x v="88"/>
    <x v="48"/>
    <x v="4"/>
    <x v="87"/>
    <x v="0"/>
    <x v="3"/>
    <x v="1"/>
    <x v="2"/>
    <x v="2"/>
    <x v="61"/>
    <x v="477"/>
    <x v="8"/>
    <x v="2"/>
  </r>
  <r>
    <x v="87"/>
    <x v="279"/>
    <x v="41"/>
    <x v="4"/>
    <x v="234"/>
    <x v="1"/>
    <x v="3"/>
    <x v="1"/>
    <x v="2"/>
    <x v="1"/>
    <x v="87"/>
    <x v="478"/>
    <x v="1"/>
    <x v="2"/>
  </r>
  <r>
    <x v="23"/>
    <x v="150"/>
    <x v="19"/>
    <x v="4"/>
    <x v="134"/>
    <x v="0"/>
    <x v="1"/>
    <x v="0"/>
    <x v="0"/>
    <x v="1"/>
    <x v="23"/>
    <x v="25"/>
    <x v="7"/>
    <x v="0"/>
  </r>
  <r>
    <x v="26"/>
    <x v="123"/>
    <x v="8"/>
    <x v="4"/>
    <x v="117"/>
    <x v="0"/>
    <x v="1"/>
    <x v="1"/>
    <x v="0"/>
    <x v="0"/>
    <x v="26"/>
    <x v="38"/>
    <x v="8"/>
    <x v="0"/>
  </r>
  <r>
    <x v="74"/>
    <x v="124"/>
    <x v="32"/>
    <x v="4"/>
    <x v="118"/>
    <x v="0"/>
    <x v="1"/>
    <x v="1"/>
    <x v="0"/>
    <x v="1"/>
    <x v="74"/>
    <x v="53"/>
    <x v="9"/>
    <x v="0"/>
  </r>
  <r>
    <x v="39"/>
    <x v="125"/>
    <x v="16"/>
    <x v="4"/>
    <x v="119"/>
    <x v="0"/>
    <x v="1"/>
    <x v="2"/>
    <x v="0"/>
    <x v="1"/>
    <x v="39"/>
    <x v="21"/>
    <x v="3"/>
    <x v="0"/>
  </r>
  <r>
    <x v="28"/>
    <x v="280"/>
    <x v="21"/>
    <x v="4"/>
    <x v="235"/>
    <x v="0"/>
    <x v="1"/>
    <x v="2"/>
    <x v="0"/>
    <x v="1"/>
    <x v="28"/>
    <x v="29"/>
    <x v="10"/>
    <x v="0"/>
  </r>
  <r>
    <x v="26"/>
    <x v="127"/>
    <x v="11"/>
    <x v="4"/>
    <x v="121"/>
    <x v="0"/>
    <x v="1"/>
    <x v="3"/>
    <x v="0"/>
    <x v="1"/>
    <x v="26"/>
    <x v="12"/>
    <x v="4"/>
    <x v="0"/>
  </r>
  <r>
    <x v="70"/>
    <x v="128"/>
    <x v="5"/>
    <x v="4"/>
    <x v="32"/>
    <x v="0"/>
    <x v="1"/>
    <x v="3"/>
    <x v="0"/>
    <x v="1"/>
    <x v="70"/>
    <x v="15"/>
    <x v="5"/>
    <x v="0"/>
  </r>
  <r>
    <x v="50"/>
    <x v="129"/>
    <x v="25"/>
    <x v="4"/>
    <x v="69"/>
    <x v="0"/>
    <x v="1"/>
    <x v="3"/>
    <x v="0"/>
    <x v="1"/>
    <x v="50"/>
    <x v="44"/>
    <x v="5"/>
    <x v="0"/>
  </r>
  <r>
    <x v="34"/>
    <x v="130"/>
    <x v="26"/>
    <x v="4"/>
    <x v="70"/>
    <x v="0"/>
    <x v="1"/>
    <x v="3"/>
    <x v="0"/>
    <x v="1"/>
    <x v="34"/>
    <x v="36"/>
    <x v="5"/>
    <x v="0"/>
  </r>
  <r>
    <x v="64"/>
    <x v="93"/>
    <x v="23"/>
    <x v="4"/>
    <x v="91"/>
    <x v="0"/>
    <x v="1"/>
    <x v="3"/>
    <x v="0"/>
    <x v="1"/>
    <x v="64"/>
    <x v="31"/>
    <x v="6"/>
    <x v="0"/>
  </r>
  <r>
    <x v="75"/>
    <x v="132"/>
    <x v="24"/>
    <x v="4"/>
    <x v="123"/>
    <x v="0"/>
    <x v="1"/>
    <x v="0"/>
    <x v="1"/>
    <x v="2"/>
    <x v="75"/>
    <x v="33"/>
    <x v="0"/>
    <x v="1"/>
  </r>
  <r>
    <x v="72"/>
    <x v="151"/>
    <x v="13"/>
    <x v="4"/>
    <x v="135"/>
    <x v="0"/>
    <x v="1"/>
    <x v="0"/>
    <x v="1"/>
    <x v="2"/>
    <x v="72"/>
    <x v="17"/>
    <x v="11"/>
    <x v="1"/>
  </r>
  <r>
    <x v="73"/>
    <x v="134"/>
    <x v="7"/>
    <x v="4"/>
    <x v="125"/>
    <x v="0"/>
    <x v="1"/>
    <x v="1"/>
    <x v="1"/>
    <x v="1"/>
    <x v="73"/>
    <x v="7"/>
    <x v="1"/>
    <x v="1"/>
  </r>
  <r>
    <x v="18"/>
    <x v="135"/>
    <x v="32"/>
    <x v="4"/>
    <x v="126"/>
    <x v="0"/>
    <x v="1"/>
    <x v="2"/>
    <x v="1"/>
    <x v="1"/>
    <x v="18"/>
    <x v="53"/>
    <x v="2"/>
    <x v="1"/>
  </r>
  <r>
    <x v="39"/>
    <x v="136"/>
    <x v="28"/>
    <x v="4"/>
    <x v="76"/>
    <x v="0"/>
    <x v="1"/>
    <x v="2"/>
    <x v="1"/>
    <x v="1"/>
    <x v="39"/>
    <x v="47"/>
    <x v="3"/>
    <x v="1"/>
  </r>
  <r>
    <x v="0"/>
    <x v="170"/>
    <x v="27"/>
    <x v="4"/>
    <x v="42"/>
    <x v="0"/>
    <x v="1"/>
    <x v="2"/>
    <x v="1"/>
    <x v="2"/>
    <x v="0"/>
    <x v="39"/>
    <x v="10"/>
    <x v="1"/>
  </r>
  <r>
    <x v="77"/>
    <x v="138"/>
    <x v="10"/>
    <x v="4"/>
    <x v="78"/>
    <x v="0"/>
    <x v="1"/>
    <x v="3"/>
    <x v="1"/>
    <x v="1"/>
    <x v="77"/>
    <x v="11"/>
    <x v="4"/>
    <x v="1"/>
  </r>
  <r>
    <x v="78"/>
    <x v="139"/>
    <x v="6"/>
    <x v="4"/>
    <x v="96"/>
    <x v="0"/>
    <x v="1"/>
    <x v="3"/>
    <x v="1"/>
    <x v="1"/>
    <x v="78"/>
    <x v="24"/>
    <x v="4"/>
    <x v="1"/>
  </r>
  <r>
    <x v="11"/>
    <x v="152"/>
    <x v="4"/>
    <x v="4"/>
    <x v="80"/>
    <x v="0"/>
    <x v="1"/>
    <x v="3"/>
    <x v="1"/>
    <x v="1"/>
    <x v="11"/>
    <x v="4"/>
    <x v="5"/>
    <x v="1"/>
  </r>
  <r>
    <x v="27"/>
    <x v="82"/>
    <x v="5"/>
    <x v="4"/>
    <x v="81"/>
    <x v="0"/>
    <x v="1"/>
    <x v="3"/>
    <x v="1"/>
    <x v="1"/>
    <x v="27"/>
    <x v="15"/>
    <x v="5"/>
    <x v="1"/>
  </r>
  <r>
    <x v="74"/>
    <x v="159"/>
    <x v="1"/>
    <x v="4"/>
    <x v="140"/>
    <x v="0"/>
    <x v="1"/>
    <x v="3"/>
    <x v="1"/>
    <x v="1"/>
    <x v="74"/>
    <x v="13"/>
    <x v="6"/>
    <x v="1"/>
  </r>
  <r>
    <x v="23"/>
    <x v="153"/>
    <x v="32"/>
    <x v="4"/>
    <x v="48"/>
    <x v="0"/>
    <x v="1"/>
    <x v="3"/>
    <x v="1"/>
    <x v="0"/>
    <x v="23"/>
    <x v="53"/>
    <x v="6"/>
    <x v="1"/>
  </r>
  <r>
    <x v="35"/>
    <x v="154"/>
    <x v="7"/>
    <x v="4"/>
    <x v="136"/>
    <x v="0"/>
    <x v="1"/>
    <x v="0"/>
    <x v="2"/>
    <x v="2"/>
    <x v="35"/>
    <x v="7"/>
    <x v="7"/>
    <x v="2"/>
  </r>
  <r>
    <x v="23"/>
    <x v="245"/>
    <x v="19"/>
    <x v="4"/>
    <x v="205"/>
    <x v="0"/>
    <x v="1"/>
    <x v="0"/>
    <x v="2"/>
    <x v="1"/>
    <x v="23"/>
    <x v="25"/>
    <x v="0"/>
    <x v="2"/>
  </r>
  <r>
    <x v="23"/>
    <x v="266"/>
    <x v="9"/>
    <x v="4"/>
    <x v="222"/>
    <x v="0"/>
    <x v="1"/>
    <x v="0"/>
    <x v="2"/>
    <x v="1"/>
    <x v="23"/>
    <x v="10"/>
    <x v="11"/>
    <x v="2"/>
  </r>
  <r>
    <x v="13"/>
    <x v="144"/>
    <x v="4"/>
    <x v="4"/>
    <x v="130"/>
    <x v="0"/>
    <x v="1"/>
    <x v="1"/>
    <x v="2"/>
    <x v="1"/>
    <x v="13"/>
    <x v="4"/>
    <x v="1"/>
    <x v="2"/>
  </r>
  <r>
    <x v="40"/>
    <x v="236"/>
    <x v="8"/>
    <x v="336"/>
    <x v="199"/>
    <x v="0"/>
    <x v="3"/>
    <x v="0"/>
    <x v="0"/>
    <x v="0"/>
    <x v="40"/>
    <x v="479"/>
    <x v="7"/>
    <x v="0"/>
  </r>
  <r>
    <x v="77"/>
    <x v="210"/>
    <x v="11"/>
    <x v="337"/>
    <x v="178"/>
    <x v="0"/>
    <x v="3"/>
    <x v="0"/>
    <x v="0"/>
    <x v="0"/>
    <x v="77"/>
    <x v="480"/>
    <x v="11"/>
    <x v="0"/>
  </r>
  <r>
    <x v="84"/>
    <x v="237"/>
    <x v="5"/>
    <x v="338"/>
    <x v="166"/>
    <x v="0"/>
    <x v="3"/>
    <x v="1"/>
    <x v="0"/>
    <x v="1"/>
    <x v="84"/>
    <x v="481"/>
    <x v="1"/>
    <x v="0"/>
  </r>
  <r>
    <x v="42"/>
    <x v="179"/>
    <x v="1"/>
    <x v="4"/>
    <x v="153"/>
    <x v="0"/>
    <x v="3"/>
    <x v="2"/>
    <x v="0"/>
    <x v="1"/>
    <x v="42"/>
    <x v="13"/>
    <x v="10"/>
    <x v="0"/>
  </r>
  <r>
    <x v="4"/>
    <x v="197"/>
    <x v="25"/>
    <x v="4"/>
    <x v="169"/>
    <x v="0"/>
    <x v="3"/>
    <x v="3"/>
    <x v="0"/>
    <x v="1"/>
    <x v="4"/>
    <x v="44"/>
    <x v="4"/>
    <x v="0"/>
  </r>
  <r>
    <x v="86"/>
    <x v="198"/>
    <x v="15"/>
    <x v="339"/>
    <x v="155"/>
    <x v="0"/>
    <x v="3"/>
    <x v="3"/>
    <x v="0"/>
    <x v="0"/>
    <x v="86"/>
    <x v="482"/>
    <x v="5"/>
    <x v="0"/>
  </r>
  <r>
    <x v="39"/>
    <x v="199"/>
    <x v="5"/>
    <x v="4"/>
    <x v="103"/>
    <x v="0"/>
    <x v="3"/>
    <x v="3"/>
    <x v="0"/>
    <x v="1"/>
    <x v="39"/>
    <x v="15"/>
    <x v="5"/>
    <x v="0"/>
  </r>
  <r>
    <x v="87"/>
    <x v="200"/>
    <x v="16"/>
    <x v="340"/>
    <x v="170"/>
    <x v="0"/>
    <x v="3"/>
    <x v="3"/>
    <x v="0"/>
    <x v="0"/>
    <x v="87"/>
    <x v="483"/>
    <x v="5"/>
    <x v="0"/>
  </r>
  <r>
    <x v="74"/>
    <x v="182"/>
    <x v="6"/>
    <x v="338"/>
    <x v="105"/>
    <x v="0"/>
    <x v="3"/>
    <x v="3"/>
    <x v="0"/>
    <x v="0"/>
    <x v="74"/>
    <x v="484"/>
    <x v="6"/>
    <x v="0"/>
  </r>
  <r>
    <x v="52"/>
    <x v="281"/>
    <x v="19"/>
    <x v="214"/>
    <x v="236"/>
    <x v="0"/>
    <x v="3"/>
    <x v="0"/>
    <x v="1"/>
    <x v="1"/>
    <x v="52"/>
    <x v="485"/>
    <x v="7"/>
    <x v="1"/>
  </r>
  <r>
    <x v="30"/>
    <x v="202"/>
    <x v="1"/>
    <x v="4"/>
    <x v="172"/>
    <x v="0"/>
    <x v="3"/>
    <x v="0"/>
    <x v="1"/>
    <x v="1"/>
    <x v="30"/>
    <x v="13"/>
    <x v="11"/>
    <x v="1"/>
  </r>
  <r>
    <x v="83"/>
    <x v="215"/>
    <x v="13"/>
    <x v="341"/>
    <x v="156"/>
    <x v="0"/>
    <x v="3"/>
    <x v="1"/>
    <x v="1"/>
    <x v="1"/>
    <x v="83"/>
    <x v="486"/>
    <x v="8"/>
    <x v="1"/>
  </r>
  <r>
    <x v="36"/>
    <x v="41"/>
    <x v="21"/>
    <x v="4"/>
    <x v="41"/>
    <x v="0"/>
    <x v="3"/>
    <x v="2"/>
    <x v="1"/>
    <x v="1"/>
    <x v="36"/>
    <x v="29"/>
    <x v="3"/>
    <x v="1"/>
  </r>
  <r>
    <x v="65"/>
    <x v="216"/>
    <x v="21"/>
    <x v="342"/>
    <x v="182"/>
    <x v="0"/>
    <x v="3"/>
    <x v="2"/>
    <x v="1"/>
    <x v="0"/>
    <x v="65"/>
    <x v="487"/>
    <x v="10"/>
    <x v="1"/>
  </r>
  <r>
    <x v="22"/>
    <x v="239"/>
    <x v="19"/>
    <x v="337"/>
    <x v="66"/>
    <x v="0"/>
    <x v="3"/>
    <x v="3"/>
    <x v="0"/>
    <x v="1"/>
    <x v="22"/>
    <x v="488"/>
    <x v="4"/>
    <x v="0"/>
  </r>
  <r>
    <x v="23"/>
    <x v="217"/>
    <x v="2"/>
    <x v="343"/>
    <x v="113"/>
    <x v="0"/>
    <x v="3"/>
    <x v="3"/>
    <x v="1"/>
    <x v="1"/>
    <x v="23"/>
    <x v="489"/>
    <x v="4"/>
    <x v="1"/>
  </r>
  <r>
    <x v="77"/>
    <x v="206"/>
    <x v="24"/>
    <x v="4"/>
    <x v="159"/>
    <x v="0"/>
    <x v="3"/>
    <x v="3"/>
    <x v="1"/>
    <x v="2"/>
    <x v="77"/>
    <x v="33"/>
    <x v="5"/>
    <x v="1"/>
  </r>
  <r>
    <x v="67"/>
    <x v="240"/>
    <x v="15"/>
    <x v="4"/>
    <x v="201"/>
    <x v="0"/>
    <x v="3"/>
    <x v="3"/>
    <x v="1"/>
    <x v="0"/>
    <x v="67"/>
    <x v="27"/>
    <x v="5"/>
    <x v="1"/>
  </r>
  <r>
    <x v="3"/>
    <x v="219"/>
    <x v="30"/>
    <x v="344"/>
    <x v="183"/>
    <x v="5"/>
    <x v="3"/>
    <x v="0"/>
    <x v="2"/>
    <x v="0"/>
    <x v="3"/>
    <x v="490"/>
    <x v="7"/>
    <x v="2"/>
  </r>
  <r>
    <x v="23"/>
    <x v="208"/>
    <x v="22"/>
    <x v="4"/>
    <x v="176"/>
    <x v="0"/>
    <x v="3"/>
    <x v="0"/>
    <x v="2"/>
    <x v="1"/>
    <x v="23"/>
    <x v="30"/>
    <x v="0"/>
    <x v="2"/>
  </r>
  <r>
    <x v="61"/>
    <x v="221"/>
    <x v="44"/>
    <x v="341"/>
    <x v="185"/>
    <x v="4"/>
    <x v="3"/>
    <x v="1"/>
    <x v="2"/>
    <x v="0"/>
    <x v="61"/>
    <x v="491"/>
    <x v="8"/>
    <x v="2"/>
  </r>
  <r>
    <x v="20"/>
    <x v="242"/>
    <x v="17"/>
    <x v="345"/>
    <x v="202"/>
    <x v="2"/>
    <x v="3"/>
    <x v="1"/>
    <x v="2"/>
    <x v="1"/>
    <x v="20"/>
    <x v="492"/>
    <x v="1"/>
    <x v="2"/>
  </r>
  <r>
    <x v="48"/>
    <x v="63"/>
    <x v="2"/>
    <x v="346"/>
    <x v="62"/>
    <x v="0"/>
    <x v="3"/>
    <x v="0"/>
    <x v="0"/>
    <x v="1"/>
    <x v="48"/>
    <x v="493"/>
    <x v="0"/>
    <x v="0"/>
  </r>
  <r>
    <x v="26"/>
    <x v="123"/>
    <x v="10"/>
    <x v="347"/>
    <x v="117"/>
    <x v="0"/>
    <x v="3"/>
    <x v="1"/>
    <x v="0"/>
    <x v="0"/>
    <x v="26"/>
    <x v="494"/>
    <x v="8"/>
    <x v="0"/>
  </r>
  <r>
    <x v="23"/>
    <x v="261"/>
    <x v="30"/>
    <x v="348"/>
    <x v="218"/>
    <x v="0"/>
    <x v="3"/>
    <x v="1"/>
    <x v="0"/>
    <x v="1"/>
    <x v="23"/>
    <x v="495"/>
    <x v="9"/>
    <x v="0"/>
  </r>
  <r>
    <x v="39"/>
    <x v="125"/>
    <x v="16"/>
    <x v="349"/>
    <x v="119"/>
    <x v="0"/>
    <x v="3"/>
    <x v="2"/>
    <x v="0"/>
    <x v="0"/>
    <x v="39"/>
    <x v="496"/>
    <x v="3"/>
    <x v="0"/>
  </r>
  <r>
    <x v="23"/>
    <x v="126"/>
    <x v="8"/>
    <x v="350"/>
    <x v="120"/>
    <x v="0"/>
    <x v="3"/>
    <x v="2"/>
    <x v="0"/>
    <x v="0"/>
    <x v="23"/>
    <x v="497"/>
    <x v="10"/>
    <x v="0"/>
  </r>
  <r>
    <x v="21"/>
    <x v="262"/>
    <x v="18"/>
    <x v="351"/>
    <x v="90"/>
    <x v="0"/>
    <x v="3"/>
    <x v="3"/>
    <x v="0"/>
    <x v="0"/>
    <x v="21"/>
    <x v="498"/>
    <x v="4"/>
    <x v="0"/>
  </r>
  <r>
    <x v="76"/>
    <x v="263"/>
    <x v="21"/>
    <x v="352"/>
    <x v="219"/>
    <x v="0"/>
    <x v="3"/>
    <x v="3"/>
    <x v="0"/>
    <x v="0"/>
    <x v="76"/>
    <x v="499"/>
    <x v="5"/>
    <x v="0"/>
  </r>
  <r>
    <x v="50"/>
    <x v="129"/>
    <x v="20"/>
    <x v="353"/>
    <x v="69"/>
    <x v="0"/>
    <x v="3"/>
    <x v="3"/>
    <x v="0"/>
    <x v="1"/>
    <x v="50"/>
    <x v="500"/>
    <x v="5"/>
    <x v="0"/>
  </r>
  <r>
    <x v="53"/>
    <x v="71"/>
    <x v="24"/>
    <x v="4"/>
    <x v="70"/>
    <x v="0"/>
    <x v="3"/>
    <x v="3"/>
    <x v="0"/>
    <x v="1"/>
    <x v="53"/>
    <x v="33"/>
    <x v="5"/>
    <x v="0"/>
  </r>
  <r>
    <x v="30"/>
    <x v="131"/>
    <x v="3"/>
    <x v="354"/>
    <x v="122"/>
    <x v="0"/>
    <x v="3"/>
    <x v="0"/>
    <x v="1"/>
    <x v="1"/>
    <x v="30"/>
    <x v="501"/>
    <x v="7"/>
    <x v="1"/>
  </r>
  <r>
    <x v="56"/>
    <x v="264"/>
    <x v="25"/>
    <x v="355"/>
    <x v="220"/>
    <x v="0"/>
    <x v="3"/>
    <x v="0"/>
    <x v="1"/>
    <x v="1"/>
    <x v="56"/>
    <x v="502"/>
    <x v="0"/>
    <x v="1"/>
  </r>
  <r>
    <x v="59"/>
    <x v="265"/>
    <x v="10"/>
    <x v="355"/>
    <x v="221"/>
    <x v="0"/>
    <x v="3"/>
    <x v="0"/>
    <x v="1"/>
    <x v="0"/>
    <x v="59"/>
    <x v="503"/>
    <x v="11"/>
    <x v="1"/>
  </r>
  <r>
    <x v="0"/>
    <x v="74"/>
    <x v="13"/>
    <x v="356"/>
    <x v="73"/>
    <x v="3"/>
    <x v="3"/>
    <x v="1"/>
    <x v="1"/>
    <x v="1"/>
    <x v="0"/>
    <x v="504"/>
    <x v="1"/>
    <x v="1"/>
  </r>
  <r>
    <x v="43"/>
    <x v="75"/>
    <x v="14"/>
    <x v="355"/>
    <x v="74"/>
    <x v="0"/>
    <x v="3"/>
    <x v="1"/>
    <x v="1"/>
    <x v="0"/>
    <x v="43"/>
    <x v="505"/>
    <x v="9"/>
    <x v="1"/>
  </r>
  <r>
    <x v="56"/>
    <x v="76"/>
    <x v="29"/>
    <x v="357"/>
    <x v="75"/>
    <x v="0"/>
    <x v="3"/>
    <x v="2"/>
    <x v="1"/>
    <x v="0"/>
    <x v="56"/>
    <x v="506"/>
    <x v="2"/>
    <x v="1"/>
  </r>
  <r>
    <x v="57"/>
    <x v="77"/>
    <x v="1"/>
    <x v="4"/>
    <x v="76"/>
    <x v="0"/>
    <x v="3"/>
    <x v="2"/>
    <x v="1"/>
    <x v="1"/>
    <x v="57"/>
    <x v="13"/>
    <x v="3"/>
    <x v="1"/>
  </r>
  <r>
    <x v="36"/>
    <x v="137"/>
    <x v="4"/>
    <x v="4"/>
    <x v="127"/>
    <x v="0"/>
    <x v="3"/>
    <x v="2"/>
    <x v="1"/>
    <x v="1"/>
    <x v="36"/>
    <x v="4"/>
    <x v="10"/>
    <x v="1"/>
  </r>
  <r>
    <x v="77"/>
    <x v="138"/>
    <x v="25"/>
    <x v="358"/>
    <x v="78"/>
    <x v="0"/>
    <x v="3"/>
    <x v="3"/>
    <x v="1"/>
    <x v="1"/>
    <x v="77"/>
    <x v="507"/>
    <x v="4"/>
    <x v="1"/>
  </r>
  <r>
    <x v="14"/>
    <x v="282"/>
    <x v="5"/>
    <x v="4"/>
    <x v="237"/>
    <x v="0"/>
    <x v="3"/>
    <x v="3"/>
    <x v="1"/>
    <x v="1"/>
    <x v="14"/>
    <x v="15"/>
    <x v="4"/>
    <x v="1"/>
  </r>
  <r>
    <x v="24"/>
    <x v="267"/>
    <x v="24"/>
    <x v="359"/>
    <x v="223"/>
    <x v="0"/>
    <x v="3"/>
    <x v="3"/>
    <x v="1"/>
    <x v="1"/>
    <x v="24"/>
    <x v="508"/>
    <x v="5"/>
    <x v="1"/>
  </r>
  <r>
    <x v="27"/>
    <x v="82"/>
    <x v="6"/>
    <x v="4"/>
    <x v="81"/>
    <x v="0"/>
    <x v="3"/>
    <x v="3"/>
    <x v="1"/>
    <x v="1"/>
    <x v="27"/>
    <x v="24"/>
    <x v="5"/>
    <x v="1"/>
  </r>
  <r>
    <x v="23"/>
    <x v="83"/>
    <x v="0"/>
    <x v="4"/>
    <x v="82"/>
    <x v="0"/>
    <x v="3"/>
    <x v="3"/>
    <x v="1"/>
    <x v="1"/>
    <x v="23"/>
    <x v="32"/>
    <x v="6"/>
    <x v="1"/>
  </r>
  <r>
    <x v="35"/>
    <x v="154"/>
    <x v="2"/>
    <x v="360"/>
    <x v="136"/>
    <x v="0"/>
    <x v="3"/>
    <x v="0"/>
    <x v="2"/>
    <x v="1"/>
    <x v="35"/>
    <x v="509"/>
    <x v="7"/>
    <x v="2"/>
  </r>
  <r>
    <x v="23"/>
    <x v="245"/>
    <x v="11"/>
    <x v="361"/>
    <x v="205"/>
    <x v="0"/>
    <x v="3"/>
    <x v="0"/>
    <x v="2"/>
    <x v="0"/>
    <x v="23"/>
    <x v="510"/>
    <x v="0"/>
    <x v="2"/>
  </r>
  <r>
    <x v="39"/>
    <x v="160"/>
    <x v="3"/>
    <x v="4"/>
    <x v="141"/>
    <x v="0"/>
    <x v="3"/>
    <x v="0"/>
    <x v="2"/>
    <x v="1"/>
    <x v="39"/>
    <x v="26"/>
    <x v="11"/>
    <x v="2"/>
  </r>
  <r>
    <x v="58"/>
    <x v="89"/>
    <x v="49"/>
    <x v="356"/>
    <x v="88"/>
    <x v="4"/>
    <x v="3"/>
    <x v="1"/>
    <x v="2"/>
    <x v="0"/>
    <x v="58"/>
    <x v="511"/>
    <x v="1"/>
    <x v="2"/>
  </r>
  <r>
    <x v="17"/>
    <x v="26"/>
    <x v="5"/>
    <x v="4"/>
    <x v="26"/>
    <x v="0"/>
    <x v="2"/>
    <x v="0"/>
    <x v="0"/>
    <x v="1"/>
    <x v="17"/>
    <x v="15"/>
    <x v="7"/>
    <x v="0"/>
  </r>
  <r>
    <x v="62"/>
    <x v="90"/>
    <x v="2"/>
    <x v="4"/>
    <x v="89"/>
    <x v="0"/>
    <x v="2"/>
    <x v="1"/>
    <x v="0"/>
    <x v="1"/>
    <x v="62"/>
    <x v="9"/>
    <x v="8"/>
    <x v="0"/>
  </r>
  <r>
    <x v="25"/>
    <x v="28"/>
    <x v="24"/>
    <x v="4"/>
    <x v="28"/>
    <x v="0"/>
    <x v="2"/>
    <x v="1"/>
    <x v="0"/>
    <x v="2"/>
    <x v="25"/>
    <x v="33"/>
    <x v="1"/>
    <x v="0"/>
  </r>
  <r>
    <x v="5"/>
    <x v="29"/>
    <x v="23"/>
    <x v="4"/>
    <x v="29"/>
    <x v="0"/>
    <x v="2"/>
    <x v="2"/>
    <x v="0"/>
    <x v="1"/>
    <x v="5"/>
    <x v="31"/>
    <x v="2"/>
    <x v="0"/>
  </r>
  <r>
    <x v="26"/>
    <x v="30"/>
    <x v="4"/>
    <x v="4"/>
    <x v="30"/>
    <x v="0"/>
    <x v="2"/>
    <x v="2"/>
    <x v="0"/>
    <x v="1"/>
    <x v="26"/>
    <x v="4"/>
    <x v="10"/>
    <x v="0"/>
  </r>
  <r>
    <x v="63"/>
    <x v="91"/>
    <x v="3"/>
    <x v="4"/>
    <x v="90"/>
    <x v="5"/>
    <x v="2"/>
    <x v="3"/>
    <x v="0"/>
    <x v="1"/>
    <x v="63"/>
    <x v="26"/>
    <x v="4"/>
    <x v="0"/>
  </r>
  <r>
    <x v="49"/>
    <x v="92"/>
    <x v="20"/>
    <x v="4"/>
    <x v="32"/>
    <x v="0"/>
    <x v="2"/>
    <x v="3"/>
    <x v="0"/>
    <x v="1"/>
    <x v="49"/>
    <x v="28"/>
    <x v="5"/>
    <x v="0"/>
  </r>
  <r>
    <x v="29"/>
    <x v="33"/>
    <x v="15"/>
    <x v="4"/>
    <x v="33"/>
    <x v="0"/>
    <x v="2"/>
    <x v="3"/>
    <x v="0"/>
    <x v="0"/>
    <x v="29"/>
    <x v="27"/>
    <x v="5"/>
    <x v="0"/>
  </r>
  <r>
    <x v="30"/>
    <x v="34"/>
    <x v="22"/>
    <x v="4"/>
    <x v="34"/>
    <x v="0"/>
    <x v="2"/>
    <x v="3"/>
    <x v="0"/>
    <x v="1"/>
    <x v="30"/>
    <x v="30"/>
    <x v="5"/>
    <x v="0"/>
  </r>
  <r>
    <x v="64"/>
    <x v="93"/>
    <x v="20"/>
    <x v="4"/>
    <x v="91"/>
    <x v="0"/>
    <x v="2"/>
    <x v="3"/>
    <x v="0"/>
    <x v="1"/>
    <x v="64"/>
    <x v="28"/>
    <x v="6"/>
    <x v="0"/>
  </r>
  <r>
    <x v="65"/>
    <x v="94"/>
    <x v="19"/>
    <x v="4"/>
    <x v="92"/>
    <x v="0"/>
    <x v="2"/>
    <x v="0"/>
    <x v="1"/>
    <x v="1"/>
    <x v="65"/>
    <x v="25"/>
    <x v="0"/>
    <x v="1"/>
  </r>
  <r>
    <x v="39"/>
    <x v="95"/>
    <x v="2"/>
    <x v="4"/>
    <x v="93"/>
    <x v="0"/>
    <x v="2"/>
    <x v="0"/>
    <x v="1"/>
    <x v="1"/>
    <x v="39"/>
    <x v="9"/>
    <x v="11"/>
    <x v="1"/>
  </r>
  <r>
    <x v="34"/>
    <x v="38"/>
    <x v="15"/>
    <x v="4"/>
    <x v="38"/>
    <x v="0"/>
    <x v="2"/>
    <x v="1"/>
    <x v="1"/>
    <x v="0"/>
    <x v="34"/>
    <x v="27"/>
    <x v="1"/>
    <x v="1"/>
  </r>
  <r>
    <x v="65"/>
    <x v="96"/>
    <x v="2"/>
    <x v="4"/>
    <x v="39"/>
    <x v="0"/>
    <x v="2"/>
    <x v="1"/>
    <x v="1"/>
    <x v="1"/>
    <x v="65"/>
    <x v="9"/>
    <x v="9"/>
    <x v="1"/>
  </r>
  <r>
    <x v="20"/>
    <x v="40"/>
    <x v="19"/>
    <x v="4"/>
    <x v="40"/>
    <x v="0"/>
    <x v="2"/>
    <x v="2"/>
    <x v="1"/>
    <x v="1"/>
    <x v="20"/>
    <x v="25"/>
    <x v="2"/>
    <x v="1"/>
  </r>
  <r>
    <x v="18"/>
    <x v="97"/>
    <x v="32"/>
    <x v="362"/>
    <x v="94"/>
    <x v="0"/>
    <x v="2"/>
    <x v="2"/>
    <x v="1"/>
    <x v="0"/>
    <x v="18"/>
    <x v="512"/>
    <x v="3"/>
    <x v="1"/>
  </r>
  <r>
    <x v="37"/>
    <x v="42"/>
    <x v="7"/>
    <x v="4"/>
    <x v="42"/>
    <x v="0"/>
    <x v="2"/>
    <x v="2"/>
    <x v="1"/>
    <x v="1"/>
    <x v="37"/>
    <x v="7"/>
    <x v="10"/>
    <x v="1"/>
  </r>
  <r>
    <x v="15"/>
    <x v="98"/>
    <x v="8"/>
    <x v="362"/>
    <x v="95"/>
    <x v="0"/>
    <x v="2"/>
    <x v="3"/>
    <x v="1"/>
    <x v="0"/>
    <x v="15"/>
    <x v="513"/>
    <x v="4"/>
    <x v="1"/>
  </r>
  <r>
    <x v="31"/>
    <x v="99"/>
    <x v="11"/>
    <x v="4"/>
    <x v="96"/>
    <x v="0"/>
    <x v="2"/>
    <x v="3"/>
    <x v="1"/>
    <x v="0"/>
    <x v="31"/>
    <x v="12"/>
    <x v="4"/>
    <x v="1"/>
  </r>
  <r>
    <x v="72"/>
    <x v="271"/>
    <x v="20"/>
    <x v="4"/>
    <x v="80"/>
    <x v="0"/>
    <x v="2"/>
    <x v="3"/>
    <x v="1"/>
    <x v="1"/>
    <x v="72"/>
    <x v="28"/>
    <x v="5"/>
    <x v="1"/>
  </r>
  <r>
    <x v="24"/>
    <x v="100"/>
    <x v="4"/>
    <x v="4"/>
    <x v="97"/>
    <x v="4"/>
    <x v="2"/>
    <x v="3"/>
    <x v="1"/>
    <x v="1"/>
    <x v="24"/>
    <x v="4"/>
    <x v="5"/>
    <x v="1"/>
  </r>
  <r>
    <x v="10"/>
    <x v="47"/>
    <x v="3"/>
    <x v="4"/>
    <x v="47"/>
    <x v="0"/>
    <x v="2"/>
    <x v="3"/>
    <x v="1"/>
    <x v="1"/>
    <x v="10"/>
    <x v="26"/>
    <x v="5"/>
    <x v="1"/>
  </r>
  <r>
    <x v="39"/>
    <x v="48"/>
    <x v="11"/>
    <x v="4"/>
    <x v="48"/>
    <x v="0"/>
    <x v="2"/>
    <x v="3"/>
    <x v="1"/>
    <x v="1"/>
    <x v="39"/>
    <x v="12"/>
    <x v="6"/>
    <x v="1"/>
  </r>
  <r>
    <x v="42"/>
    <x v="101"/>
    <x v="6"/>
    <x v="363"/>
    <x v="49"/>
    <x v="0"/>
    <x v="2"/>
    <x v="0"/>
    <x v="2"/>
    <x v="0"/>
    <x v="42"/>
    <x v="514"/>
    <x v="7"/>
    <x v="2"/>
  </r>
  <r>
    <x v="39"/>
    <x v="143"/>
    <x v="25"/>
    <x v="4"/>
    <x v="50"/>
    <x v="0"/>
    <x v="2"/>
    <x v="0"/>
    <x v="2"/>
    <x v="1"/>
    <x v="39"/>
    <x v="44"/>
    <x v="0"/>
    <x v="2"/>
  </r>
  <r>
    <x v="43"/>
    <x v="52"/>
    <x v="12"/>
    <x v="4"/>
    <x v="52"/>
    <x v="0"/>
    <x v="2"/>
    <x v="1"/>
    <x v="2"/>
    <x v="1"/>
    <x v="43"/>
    <x v="46"/>
    <x v="1"/>
    <x v="2"/>
  </r>
  <r>
    <x v="14"/>
    <x v="102"/>
    <x v="19"/>
    <x v="4"/>
    <x v="53"/>
    <x v="2"/>
    <x v="2"/>
    <x v="1"/>
    <x v="2"/>
    <x v="1"/>
    <x v="14"/>
    <x v="25"/>
    <x v="1"/>
    <x v="2"/>
  </r>
  <r>
    <x v="17"/>
    <x v="26"/>
    <x v="2"/>
    <x v="364"/>
    <x v="26"/>
    <x v="0"/>
    <x v="3"/>
    <x v="0"/>
    <x v="0"/>
    <x v="0"/>
    <x v="17"/>
    <x v="515"/>
    <x v="7"/>
    <x v="0"/>
  </r>
  <r>
    <x v="39"/>
    <x v="145"/>
    <x v="24"/>
    <x v="365"/>
    <x v="131"/>
    <x v="0"/>
    <x v="3"/>
    <x v="0"/>
    <x v="0"/>
    <x v="0"/>
    <x v="39"/>
    <x v="516"/>
    <x v="11"/>
    <x v="0"/>
  </r>
  <r>
    <x v="25"/>
    <x v="28"/>
    <x v="30"/>
    <x v="366"/>
    <x v="28"/>
    <x v="0"/>
    <x v="3"/>
    <x v="1"/>
    <x v="0"/>
    <x v="0"/>
    <x v="25"/>
    <x v="517"/>
    <x v="1"/>
    <x v="0"/>
  </r>
  <r>
    <x v="5"/>
    <x v="29"/>
    <x v="6"/>
    <x v="367"/>
    <x v="29"/>
    <x v="0"/>
    <x v="3"/>
    <x v="2"/>
    <x v="0"/>
    <x v="0"/>
    <x v="5"/>
    <x v="518"/>
    <x v="2"/>
    <x v="0"/>
  </r>
  <r>
    <x v="26"/>
    <x v="30"/>
    <x v="0"/>
    <x v="368"/>
    <x v="30"/>
    <x v="0"/>
    <x v="3"/>
    <x v="2"/>
    <x v="0"/>
    <x v="0"/>
    <x v="26"/>
    <x v="519"/>
    <x v="10"/>
    <x v="0"/>
  </r>
  <r>
    <x v="63"/>
    <x v="91"/>
    <x v="32"/>
    <x v="366"/>
    <x v="90"/>
    <x v="5"/>
    <x v="3"/>
    <x v="3"/>
    <x v="0"/>
    <x v="0"/>
    <x v="63"/>
    <x v="520"/>
    <x v="4"/>
    <x v="0"/>
  </r>
  <r>
    <x v="28"/>
    <x v="32"/>
    <x v="4"/>
    <x v="369"/>
    <x v="32"/>
    <x v="0"/>
    <x v="3"/>
    <x v="3"/>
    <x v="0"/>
    <x v="0"/>
    <x v="28"/>
    <x v="521"/>
    <x v="5"/>
    <x v="0"/>
  </r>
  <r>
    <x v="29"/>
    <x v="33"/>
    <x v="23"/>
    <x v="159"/>
    <x v="33"/>
    <x v="0"/>
    <x v="3"/>
    <x v="3"/>
    <x v="0"/>
    <x v="0"/>
    <x v="29"/>
    <x v="522"/>
    <x v="5"/>
    <x v="0"/>
  </r>
  <r>
    <x v="30"/>
    <x v="34"/>
    <x v="2"/>
    <x v="369"/>
    <x v="34"/>
    <x v="0"/>
    <x v="3"/>
    <x v="3"/>
    <x v="0"/>
    <x v="0"/>
    <x v="30"/>
    <x v="523"/>
    <x v="5"/>
    <x v="0"/>
  </r>
  <r>
    <x v="31"/>
    <x v="35"/>
    <x v="15"/>
    <x v="370"/>
    <x v="35"/>
    <x v="0"/>
    <x v="3"/>
    <x v="3"/>
    <x v="0"/>
    <x v="0"/>
    <x v="31"/>
    <x v="524"/>
    <x v="6"/>
    <x v="0"/>
  </r>
  <r>
    <x v="32"/>
    <x v="36"/>
    <x v="12"/>
    <x v="371"/>
    <x v="36"/>
    <x v="0"/>
    <x v="3"/>
    <x v="0"/>
    <x v="1"/>
    <x v="0"/>
    <x v="32"/>
    <x v="525"/>
    <x v="7"/>
    <x v="1"/>
  </r>
  <r>
    <x v="39"/>
    <x v="95"/>
    <x v="25"/>
    <x v="81"/>
    <x v="93"/>
    <x v="0"/>
    <x v="3"/>
    <x v="0"/>
    <x v="1"/>
    <x v="0"/>
    <x v="39"/>
    <x v="526"/>
    <x v="11"/>
    <x v="1"/>
  </r>
  <r>
    <x v="34"/>
    <x v="38"/>
    <x v="3"/>
    <x v="372"/>
    <x v="38"/>
    <x v="0"/>
    <x v="3"/>
    <x v="1"/>
    <x v="1"/>
    <x v="0"/>
    <x v="34"/>
    <x v="527"/>
    <x v="1"/>
    <x v="1"/>
  </r>
  <r>
    <x v="35"/>
    <x v="39"/>
    <x v="15"/>
    <x v="372"/>
    <x v="39"/>
    <x v="0"/>
    <x v="3"/>
    <x v="1"/>
    <x v="1"/>
    <x v="0"/>
    <x v="35"/>
    <x v="528"/>
    <x v="9"/>
    <x v="1"/>
  </r>
  <r>
    <x v="20"/>
    <x v="40"/>
    <x v="27"/>
    <x v="373"/>
    <x v="40"/>
    <x v="0"/>
    <x v="3"/>
    <x v="2"/>
    <x v="1"/>
    <x v="0"/>
    <x v="20"/>
    <x v="529"/>
    <x v="2"/>
    <x v="1"/>
  </r>
  <r>
    <x v="18"/>
    <x v="97"/>
    <x v="27"/>
    <x v="372"/>
    <x v="94"/>
    <x v="0"/>
    <x v="3"/>
    <x v="2"/>
    <x v="1"/>
    <x v="0"/>
    <x v="18"/>
    <x v="530"/>
    <x v="3"/>
    <x v="1"/>
  </r>
  <r>
    <x v="37"/>
    <x v="42"/>
    <x v="6"/>
    <x v="374"/>
    <x v="42"/>
    <x v="0"/>
    <x v="3"/>
    <x v="2"/>
    <x v="1"/>
    <x v="0"/>
    <x v="37"/>
    <x v="531"/>
    <x v="10"/>
    <x v="1"/>
  </r>
  <r>
    <x v="38"/>
    <x v="43"/>
    <x v="1"/>
    <x v="159"/>
    <x v="43"/>
    <x v="0"/>
    <x v="3"/>
    <x v="3"/>
    <x v="1"/>
    <x v="0"/>
    <x v="38"/>
    <x v="532"/>
    <x v="4"/>
    <x v="1"/>
  </r>
  <r>
    <x v="39"/>
    <x v="44"/>
    <x v="25"/>
    <x v="275"/>
    <x v="44"/>
    <x v="0"/>
    <x v="3"/>
    <x v="3"/>
    <x v="1"/>
    <x v="0"/>
    <x v="39"/>
    <x v="533"/>
    <x v="4"/>
    <x v="1"/>
  </r>
  <r>
    <x v="11"/>
    <x v="152"/>
    <x v="19"/>
    <x v="4"/>
    <x v="80"/>
    <x v="0"/>
    <x v="3"/>
    <x v="3"/>
    <x v="1"/>
    <x v="1"/>
    <x v="11"/>
    <x v="25"/>
    <x v="5"/>
    <x v="1"/>
  </r>
  <r>
    <x v="8"/>
    <x v="46"/>
    <x v="16"/>
    <x v="375"/>
    <x v="46"/>
    <x v="0"/>
    <x v="3"/>
    <x v="3"/>
    <x v="1"/>
    <x v="0"/>
    <x v="8"/>
    <x v="534"/>
    <x v="5"/>
    <x v="1"/>
  </r>
  <r>
    <x v="25"/>
    <x v="141"/>
    <x v="6"/>
    <x v="4"/>
    <x v="79"/>
    <x v="0"/>
    <x v="3"/>
    <x v="3"/>
    <x v="1"/>
    <x v="2"/>
    <x v="25"/>
    <x v="24"/>
    <x v="5"/>
    <x v="1"/>
  </r>
  <r>
    <x v="23"/>
    <x v="153"/>
    <x v="0"/>
    <x v="4"/>
    <x v="48"/>
    <x v="0"/>
    <x v="3"/>
    <x v="3"/>
    <x v="1"/>
    <x v="1"/>
    <x v="23"/>
    <x v="32"/>
    <x v="6"/>
    <x v="1"/>
  </r>
  <r>
    <x v="42"/>
    <x v="101"/>
    <x v="14"/>
    <x v="4"/>
    <x v="49"/>
    <x v="0"/>
    <x v="3"/>
    <x v="0"/>
    <x v="2"/>
    <x v="0"/>
    <x v="42"/>
    <x v="41"/>
    <x v="7"/>
    <x v="2"/>
  </r>
  <r>
    <x v="39"/>
    <x v="143"/>
    <x v="25"/>
    <x v="4"/>
    <x v="50"/>
    <x v="0"/>
    <x v="3"/>
    <x v="0"/>
    <x v="2"/>
    <x v="2"/>
    <x v="39"/>
    <x v="44"/>
    <x v="0"/>
    <x v="2"/>
  </r>
  <r>
    <x v="43"/>
    <x v="52"/>
    <x v="21"/>
    <x v="372"/>
    <x v="52"/>
    <x v="0"/>
    <x v="3"/>
    <x v="1"/>
    <x v="2"/>
    <x v="0"/>
    <x v="43"/>
    <x v="535"/>
    <x v="1"/>
    <x v="2"/>
  </r>
  <r>
    <x v="23"/>
    <x v="53"/>
    <x v="18"/>
    <x v="372"/>
    <x v="53"/>
    <x v="2"/>
    <x v="3"/>
    <x v="1"/>
    <x v="2"/>
    <x v="0"/>
    <x v="23"/>
    <x v="536"/>
    <x v="1"/>
    <x v="2"/>
  </r>
  <r>
    <x v="66"/>
    <x v="103"/>
    <x v="27"/>
    <x v="4"/>
    <x v="98"/>
    <x v="0"/>
    <x v="1"/>
    <x v="0"/>
    <x v="0"/>
    <x v="1"/>
    <x v="66"/>
    <x v="39"/>
    <x v="11"/>
    <x v="0"/>
  </r>
  <r>
    <x v="67"/>
    <x v="104"/>
    <x v="11"/>
    <x v="4"/>
    <x v="99"/>
    <x v="0"/>
    <x v="1"/>
    <x v="1"/>
    <x v="0"/>
    <x v="1"/>
    <x v="67"/>
    <x v="12"/>
    <x v="1"/>
    <x v="0"/>
  </r>
  <r>
    <x v="39"/>
    <x v="105"/>
    <x v="28"/>
    <x v="4"/>
    <x v="100"/>
    <x v="0"/>
    <x v="1"/>
    <x v="2"/>
    <x v="0"/>
    <x v="1"/>
    <x v="39"/>
    <x v="47"/>
    <x v="2"/>
    <x v="0"/>
  </r>
  <r>
    <x v="88"/>
    <x v="274"/>
    <x v="6"/>
    <x v="4"/>
    <x v="229"/>
    <x v="0"/>
    <x v="1"/>
    <x v="2"/>
    <x v="0"/>
    <x v="1"/>
    <x v="88"/>
    <x v="24"/>
    <x v="10"/>
    <x v="0"/>
  </r>
  <r>
    <x v="4"/>
    <x v="4"/>
    <x v="22"/>
    <x v="4"/>
    <x v="4"/>
    <x v="0"/>
    <x v="1"/>
    <x v="3"/>
    <x v="0"/>
    <x v="1"/>
    <x v="4"/>
    <x v="30"/>
    <x v="4"/>
    <x v="0"/>
  </r>
  <r>
    <x v="42"/>
    <x v="107"/>
    <x v="29"/>
    <x v="4"/>
    <x v="102"/>
    <x v="0"/>
    <x v="1"/>
    <x v="3"/>
    <x v="0"/>
    <x v="1"/>
    <x v="42"/>
    <x v="48"/>
    <x v="5"/>
    <x v="0"/>
  </r>
  <r>
    <x v="6"/>
    <x v="6"/>
    <x v="27"/>
    <x v="4"/>
    <x v="6"/>
    <x v="0"/>
    <x v="1"/>
    <x v="3"/>
    <x v="0"/>
    <x v="1"/>
    <x v="6"/>
    <x v="39"/>
    <x v="5"/>
    <x v="0"/>
  </r>
  <r>
    <x v="68"/>
    <x v="109"/>
    <x v="22"/>
    <x v="4"/>
    <x v="104"/>
    <x v="0"/>
    <x v="1"/>
    <x v="3"/>
    <x v="0"/>
    <x v="1"/>
    <x v="68"/>
    <x v="30"/>
    <x v="5"/>
    <x v="0"/>
  </r>
  <r>
    <x v="9"/>
    <x v="9"/>
    <x v="2"/>
    <x v="4"/>
    <x v="9"/>
    <x v="0"/>
    <x v="1"/>
    <x v="0"/>
    <x v="1"/>
    <x v="1"/>
    <x v="9"/>
    <x v="9"/>
    <x v="7"/>
    <x v="1"/>
  </r>
  <r>
    <x v="69"/>
    <x v="111"/>
    <x v="21"/>
    <x v="4"/>
    <x v="106"/>
    <x v="0"/>
    <x v="1"/>
    <x v="0"/>
    <x v="1"/>
    <x v="1"/>
    <x v="69"/>
    <x v="29"/>
    <x v="0"/>
    <x v="1"/>
  </r>
  <r>
    <x v="48"/>
    <x v="112"/>
    <x v="27"/>
    <x v="4"/>
    <x v="107"/>
    <x v="0"/>
    <x v="1"/>
    <x v="1"/>
    <x v="1"/>
    <x v="1"/>
    <x v="48"/>
    <x v="39"/>
    <x v="8"/>
    <x v="1"/>
  </r>
  <r>
    <x v="9"/>
    <x v="268"/>
    <x v="18"/>
    <x v="4"/>
    <x v="224"/>
    <x v="0"/>
    <x v="1"/>
    <x v="1"/>
    <x v="1"/>
    <x v="1"/>
    <x v="9"/>
    <x v="23"/>
    <x v="1"/>
    <x v="1"/>
  </r>
  <r>
    <x v="58"/>
    <x v="275"/>
    <x v="14"/>
    <x v="4"/>
    <x v="230"/>
    <x v="0"/>
    <x v="1"/>
    <x v="1"/>
    <x v="1"/>
    <x v="0"/>
    <x v="58"/>
    <x v="41"/>
    <x v="9"/>
    <x v="1"/>
  </r>
  <r>
    <x v="71"/>
    <x v="115"/>
    <x v="7"/>
    <x v="4"/>
    <x v="110"/>
    <x v="0"/>
    <x v="1"/>
    <x v="2"/>
    <x v="1"/>
    <x v="1"/>
    <x v="71"/>
    <x v="7"/>
    <x v="3"/>
    <x v="1"/>
  </r>
  <r>
    <x v="69"/>
    <x v="116"/>
    <x v="1"/>
    <x v="4"/>
    <x v="111"/>
    <x v="0"/>
    <x v="1"/>
    <x v="2"/>
    <x v="1"/>
    <x v="1"/>
    <x v="69"/>
    <x v="13"/>
    <x v="3"/>
    <x v="1"/>
  </r>
  <r>
    <x v="16"/>
    <x v="16"/>
    <x v="4"/>
    <x v="4"/>
    <x v="16"/>
    <x v="0"/>
    <x v="1"/>
    <x v="2"/>
    <x v="1"/>
    <x v="2"/>
    <x v="16"/>
    <x v="4"/>
    <x v="10"/>
    <x v="1"/>
  </r>
  <r>
    <x v="68"/>
    <x v="118"/>
    <x v="23"/>
    <x v="4"/>
    <x v="113"/>
    <x v="0"/>
    <x v="1"/>
    <x v="3"/>
    <x v="1"/>
    <x v="1"/>
    <x v="68"/>
    <x v="31"/>
    <x v="4"/>
    <x v="1"/>
  </r>
  <r>
    <x v="79"/>
    <x v="149"/>
    <x v="3"/>
    <x v="4"/>
    <x v="114"/>
    <x v="0"/>
    <x v="1"/>
    <x v="3"/>
    <x v="1"/>
    <x v="2"/>
    <x v="79"/>
    <x v="26"/>
    <x v="5"/>
    <x v="1"/>
  </r>
  <r>
    <x v="66"/>
    <x v="272"/>
    <x v="24"/>
    <x v="4"/>
    <x v="227"/>
    <x v="0"/>
    <x v="1"/>
    <x v="3"/>
    <x v="1"/>
    <x v="1"/>
    <x v="66"/>
    <x v="33"/>
    <x v="5"/>
    <x v="1"/>
  </r>
  <r>
    <x v="10"/>
    <x v="187"/>
    <x v="19"/>
    <x v="4"/>
    <x v="20"/>
    <x v="0"/>
    <x v="1"/>
    <x v="3"/>
    <x v="1"/>
    <x v="1"/>
    <x v="10"/>
    <x v="25"/>
    <x v="5"/>
    <x v="1"/>
  </r>
  <r>
    <x v="23"/>
    <x v="273"/>
    <x v="32"/>
    <x v="4"/>
    <x v="228"/>
    <x v="0"/>
    <x v="1"/>
    <x v="3"/>
    <x v="1"/>
    <x v="1"/>
    <x v="23"/>
    <x v="53"/>
    <x v="6"/>
    <x v="1"/>
  </r>
  <r>
    <x v="73"/>
    <x v="120"/>
    <x v="11"/>
    <x v="376"/>
    <x v="115"/>
    <x v="0"/>
    <x v="1"/>
    <x v="0"/>
    <x v="2"/>
    <x v="0"/>
    <x v="73"/>
    <x v="537"/>
    <x v="7"/>
    <x v="2"/>
  </r>
  <r>
    <x v="23"/>
    <x v="220"/>
    <x v="4"/>
    <x v="318"/>
    <x v="184"/>
    <x v="0"/>
    <x v="1"/>
    <x v="0"/>
    <x v="2"/>
    <x v="1"/>
    <x v="23"/>
    <x v="538"/>
    <x v="0"/>
    <x v="2"/>
  </r>
  <r>
    <x v="39"/>
    <x v="190"/>
    <x v="4"/>
    <x v="4"/>
    <x v="162"/>
    <x v="0"/>
    <x v="1"/>
    <x v="0"/>
    <x v="2"/>
    <x v="1"/>
    <x v="39"/>
    <x v="4"/>
    <x v="11"/>
    <x v="2"/>
  </r>
  <r>
    <x v="77"/>
    <x v="210"/>
    <x v="13"/>
    <x v="377"/>
    <x v="178"/>
    <x v="0"/>
    <x v="1"/>
    <x v="0"/>
    <x v="0"/>
    <x v="0"/>
    <x v="77"/>
    <x v="539"/>
    <x v="11"/>
    <x v="0"/>
  </r>
  <r>
    <x v="84"/>
    <x v="237"/>
    <x v="10"/>
    <x v="177"/>
    <x v="166"/>
    <x v="0"/>
    <x v="1"/>
    <x v="1"/>
    <x v="0"/>
    <x v="0"/>
    <x v="84"/>
    <x v="540"/>
    <x v="1"/>
    <x v="0"/>
  </r>
  <r>
    <x v="42"/>
    <x v="179"/>
    <x v="6"/>
    <x v="378"/>
    <x v="153"/>
    <x v="0"/>
    <x v="1"/>
    <x v="2"/>
    <x v="0"/>
    <x v="0"/>
    <x v="42"/>
    <x v="541"/>
    <x v="10"/>
    <x v="0"/>
  </r>
  <r>
    <x v="78"/>
    <x v="180"/>
    <x v="32"/>
    <x v="379"/>
    <x v="154"/>
    <x v="0"/>
    <x v="1"/>
    <x v="3"/>
    <x v="0"/>
    <x v="0"/>
    <x v="78"/>
    <x v="542"/>
    <x v="4"/>
    <x v="0"/>
  </r>
  <r>
    <x v="86"/>
    <x v="198"/>
    <x v="25"/>
    <x v="380"/>
    <x v="155"/>
    <x v="0"/>
    <x v="1"/>
    <x v="3"/>
    <x v="0"/>
    <x v="0"/>
    <x v="86"/>
    <x v="543"/>
    <x v="5"/>
    <x v="0"/>
  </r>
  <r>
    <x v="39"/>
    <x v="199"/>
    <x v="27"/>
    <x v="381"/>
    <x v="103"/>
    <x v="0"/>
    <x v="1"/>
    <x v="3"/>
    <x v="0"/>
    <x v="1"/>
    <x v="39"/>
    <x v="544"/>
    <x v="5"/>
    <x v="0"/>
  </r>
  <r>
    <x v="87"/>
    <x v="200"/>
    <x v="32"/>
    <x v="382"/>
    <x v="170"/>
    <x v="0"/>
    <x v="1"/>
    <x v="3"/>
    <x v="0"/>
    <x v="0"/>
    <x v="87"/>
    <x v="545"/>
    <x v="5"/>
    <x v="0"/>
  </r>
  <r>
    <x v="74"/>
    <x v="182"/>
    <x v="3"/>
    <x v="382"/>
    <x v="105"/>
    <x v="0"/>
    <x v="1"/>
    <x v="3"/>
    <x v="0"/>
    <x v="1"/>
    <x v="74"/>
    <x v="546"/>
    <x v="6"/>
    <x v="0"/>
  </r>
  <r>
    <x v="52"/>
    <x v="281"/>
    <x v="32"/>
    <x v="383"/>
    <x v="236"/>
    <x v="0"/>
    <x v="1"/>
    <x v="0"/>
    <x v="1"/>
    <x v="0"/>
    <x v="52"/>
    <x v="547"/>
    <x v="7"/>
    <x v="1"/>
  </r>
  <r>
    <x v="30"/>
    <x v="202"/>
    <x v="9"/>
    <x v="177"/>
    <x v="172"/>
    <x v="0"/>
    <x v="1"/>
    <x v="0"/>
    <x v="1"/>
    <x v="0"/>
    <x v="30"/>
    <x v="548"/>
    <x v="11"/>
    <x v="1"/>
  </r>
  <r>
    <x v="83"/>
    <x v="215"/>
    <x v="0"/>
    <x v="129"/>
    <x v="156"/>
    <x v="0"/>
    <x v="1"/>
    <x v="1"/>
    <x v="1"/>
    <x v="0"/>
    <x v="83"/>
    <x v="549"/>
    <x v="8"/>
    <x v="1"/>
  </r>
  <r>
    <x v="74"/>
    <x v="283"/>
    <x v="5"/>
    <x v="384"/>
    <x v="238"/>
    <x v="0"/>
    <x v="1"/>
    <x v="2"/>
    <x v="1"/>
    <x v="0"/>
    <x v="74"/>
    <x v="550"/>
    <x v="2"/>
    <x v="1"/>
  </r>
  <r>
    <x v="23"/>
    <x v="284"/>
    <x v="18"/>
    <x v="385"/>
    <x v="239"/>
    <x v="0"/>
    <x v="1"/>
    <x v="2"/>
    <x v="1"/>
    <x v="0"/>
    <x v="23"/>
    <x v="551"/>
    <x v="3"/>
    <x v="1"/>
  </r>
  <r>
    <x v="65"/>
    <x v="216"/>
    <x v="10"/>
    <x v="386"/>
    <x v="182"/>
    <x v="0"/>
    <x v="1"/>
    <x v="2"/>
    <x v="1"/>
    <x v="0"/>
    <x v="65"/>
    <x v="552"/>
    <x v="10"/>
    <x v="1"/>
  </r>
  <r>
    <x v="22"/>
    <x v="239"/>
    <x v="10"/>
    <x v="387"/>
    <x v="66"/>
    <x v="0"/>
    <x v="1"/>
    <x v="3"/>
    <x v="0"/>
    <x v="0"/>
    <x v="22"/>
    <x v="553"/>
    <x v="4"/>
    <x v="0"/>
  </r>
  <r>
    <x v="23"/>
    <x v="217"/>
    <x v="32"/>
    <x v="129"/>
    <x v="113"/>
    <x v="0"/>
    <x v="1"/>
    <x v="3"/>
    <x v="1"/>
    <x v="0"/>
    <x v="23"/>
    <x v="554"/>
    <x v="4"/>
    <x v="1"/>
  </r>
  <r>
    <x v="77"/>
    <x v="206"/>
    <x v="15"/>
    <x v="4"/>
    <x v="159"/>
    <x v="0"/>
    <x v="1"/>
    <x v="3"/>
    <x v="1"/>
    <x v="1"/>
    <x v="77"/>
    <x v="27"/>
    <x v="5"/>
    <x v="1"/>
  </r>
  <r>
    <x v="67"/>
    <x v="240"/>
    <x v="18"/>
    <x v="388"/>
    <x v="201"/>
    <x v="0"/>
    <x v="1"/>
    <x v="3"/>
    <x v="1"/>
    <x v="0"/>
    <x v="67"/>
    <x v="555"/>
    <x v="5"/>
    <x v="1"/>
  </r>
  <r>
    <x v="3"/>
    <x v="219"/>
    <x v="27"/>
    <x v="389"/>
    <x v="183"/>
    <x v="5"/>
    <x v="1"/>
    <x v="0"/>
    <x v="2"/>
    <x v="1"/>
    <x v="3"/>
    <x v="556"/>
    <x v="7"/>
    <x v="2"/>
  </r>
  <r>
    <x v="23"/>
    <x v="208"/>
    <x v="16"/>
    <x v="4"/>
    <x v="176"/>
    <x v="0"/>
    <x v="1"/>
    <x v="0"/>
    <x v="2"/>
    <x v="1"/>
    <x v="23"/>
    <x v="21"/>
    <x v="0"/>
    <x v="2"/>
  </r>
  <r>
    <x v="61"/>
    <x v="221"/>
    <x v="17"/>
    <x v="129"/>
    <x v="185"/>
    <x v="4"/>
    <x v="1"/>
    <x v="1"/>
    <x v="2"/>
    <x v="1"/>
    <x v="61"/>
    <x v="557"/>
    <x v="8"/>
    <x v="2"/>
  </r>
  <r>
    <x v="20"/>
    <x v="242"/>
    <x v="5"/>
    <x v="177"/>
    <x v="202"/>
    <x v="2"/>
    <x v="1"/>
    <x v="1"/>
    <x v="2"/>
    <x v="0"/>
    <x v="20"/>
    <x v="558"/>
    <x v="1"/>
    <x v="2"/>
  </r>
  <r>
    <x v="77"/>
    <x v="210"/>
    <x v="5"/>
    <x v="389"/>
    <x v="178"/>
    <x v="0"/>
    <x v="1"/>
    <x v="0"/>
    <x v="0"/>
    <x v="1"/>
    <x v="77"/>
    <x v="559"/>
    <x v="11"/>
    <x v="0"/>
  </r>
  <r>
    <x v="84"/>
    <x v="237"/>
    <x v="8"/>
    <x v="390"/>
    <x v="166"/>
    <x v="0"/>
    <x v="1"/>
    <x v="1"/>
    <x v="0"/>
    <x v="0"/>
    <x v="84"/>
    <x v="560"/>
    <x v="1"/>
    <x v="0"/>
  </r>
  <r>
    <x v="42"/>
    <x v="179"/>
    <x v="32"/>
    <x v="391"/>
    <x v="153"/>
    <x v="0"/>
    <x v="1"/>
    <x v="2"/>
    <x v="0"/>
    <x v="0"/>
    <x v="42"/>
    <x v="561"/>
    <x v="10"/>
    <x v="0"/>
  </r>
  <r>
    <x v="78"/>
    <x v="180"/>
    <x v="9"/>
    <x v="392"/>
    <x v="154"/>
    <x v="0"/>
    <x v="1"/>
    <x v="3"/>
    <x v="0"/>
    <x v="0"/>
    <x v="78"/>
    <x v="562"/>
    <x v="4"/>
    <x v="0"/>
  </r>
  <r>
    <x v="13"/>
    <x v="213"/>
    <x v="22"/>
    <x v="393"/>
    <x v="155"/>
    <x v="0"/>
    <x v="1"/>
    <x v="3"/>
    <x v="0"/>
    <x v="0"/>
    <x v="13"/>
    <x v="563"/>
    <x v="5"/>
    <x v="0"/>
  </r>
  <r>
    <x v="39"/>
    <x v="199"/>
    <x v="20"/>
    <x v="394"/>
    <x v="103"/>
    <x v="0"/>
    <x v="1"/>
    <x v="3"/>
    <x v="0"/>
    <x v="1"/>
    <x v="39"/>
    <x v="564"/>
    <x v="5"/>
    <x v="0"/>
  </r>
  <r>
    <x v="40"/>
    <x v="172"/>
    <x v="9"/>
    <x v="395"/>
    <x v="104"/>
    <x v="0"/>
    <x v="1"/>
    <x v="3"/>
    <x v="0"/>
    <x v="0"/>
    <x v="40"/>
    <x v="565"/>
    <x v="5"/>
    <x v="0"/>
  </r>
  <r>
    <x v="74"/>
    <x v="182"/>
    <x v="14"/>
    <x v="396"/>
    <x v="105"/>
    <x v="0"/>
    <x v="1"/>
    <x v="3"/>
    <x v="0"/>
    <x v="0"/>
    <x v="74"/>
    <x v="566"/>
    <x v="6"/>
    <x v="0"/>
  </r>
  <r>
    <x v="23"/>
    <x v="157"/>
    <x v="2"/>
    <x v="397"/>
    <x v="138"/>
    <x v="0"/>
    <x v="1"/>
    <x v="0"/>
    <x v="1"/>
    <x v="1"/>
    <x v="23"/>
    <x v="567"/>
    <x v="7"/>
    <x v="1"/>
  </r>
  <r>
    <x v="55"/>
    <x v="214"/>
    <x v="15"/>
    <x v="391"/>
    <x v="181"/>
    <x v="0"/>
    <x v="1"/>
    <x v="0"/>
    <x v="1"/>
    <x v="0"/>
    <x v="55"/>
    <x v="568"/>
    <x v="0"/>
    <x v="1"/>
  </r>
  <r>
    <x v="83"/>
    <x v="215"/>
    <x v="8"/>
    <x v="398"/>
    <x v="156"/>
    <x v="0"/>
    <x v="1"/>
    <x v="1"/>
    <x v="1"/>
    <x v="0"/>
    <x v="83"/>
    <x v="569"/>
    <x v="8"/>
    <x v="1"/>
  </r>
  <r>
    <x v="74"/>
    <x v="283"/>
    <x v="23"/>
    <x v="399"/>
    <x v="238"/>
    <x v="0"/>
    <x v="1"/>
    <x v="2"/>
    <x v="1"/>
    <x v="1"/>
    <x v="74"/>
    <x v="570"/>
    <x v="2"/>
    <x v="1"/>
  </r>
  <r>
    <x v="23"/>
    <x v="284"/>
    <x v="22"/>
    <x v="400"/>
    <x v="239"/>
    <x v="0"/>
    <x v="1"/>
    <x v="2"/>
    <x v="1"/>
    <x v="0"/>
    <x v="23"/>
    <x v="571"/>
    <x v="3"/>
    <x v="1"/>
  </r>
  <r>
    <x v="65"/>
    <x v="216"/>
    <x v="5"/>
    <x v="401"/>
    <x v="182"/>
    <x v="0"/>
    <x v="1"/>
    <x v="2"/>
    <x v="1"/>
    <x v="0"/>
    <x v="65"/>
    <x v="572"/>
    <x v="10"/>
    <x v="1"/>
  </r>
  <r>
    <x v="85"/>
    <x v="185"/>
    <x v="26"/>
    <x v="402"/>
    <x v="158"/>
    <x v="0"/>
    <x v="1"/>
    <x v="3"/>
    <x v="0"/>
    <x v="0"/>
    <x v="85"/>
    <x v="573"/>
    <x v="4"/>
    <x v="0"/>
  </r>
  <r>
    <x v="23"/>
    <x v="217"/>
    <x v="18"/>
    <x v="403"/>
    <x v="113"/>
    <x v="0"/>
    <x v="1"/>
    <x v="3"/>
    <x v="1"/>
    <x v="0"/>
    <x v="23"/>
    <x v="574"/>
    <x v="4"/>
    <x v="1"/>
  </r>
  <r>
    <x v="21"/>
    <x v="175"/>
    <x v="0"/>
    <x v="404"/>
    <x v="45"/>
    <x v="0"/>
    <x v="1"/>
    <x v="3"/>
    <x v="1"/>
    <x v="0"/>
    <x v="21"/>
    <x v="575"/>
    <x v="5"/>
    <x v="1"/>
  </r>
  <r>
    <x v="77"/>
    <x v="206"/>
    <x v="10"/>
    <x v="405"/>
    <x v="159"/>
    <x v="0"/>
    <x v="1"/>
    <x v="3"/>
    <x v="1"/>
    <x v="0"/>
    <x v="77"/>
    <x v="576"/>
    <x v="5"/>
    <x v="1"/>
  </r>
  <r>
    <x v="67"/>
    <x v="240"/>
    <x v="6"/>
    <x v="406"/>
    <x v="201"/>
    <x v="0"/>
    <x v="1"/>
    <x v="3"/>
    <x v="1"/>
    <x v="0"/>
    <x v="67"/>
    <x v="577"/>
    <x v="5"/>
    <x v="1"/>
  </r>
  <r>
    <x v="3"/>
    <x v="219"/>
    <x v="15"/>
    <x v="407"/>
    <x v="183"/>
    <x v="5"/>
    <x v="1"/>
    <x v="0"/>
    <x v="2"/>
    <x v="0"/>
    <x v="3"/>
    <x v="578"/>
    <x v="7"/>
    <x v="2"/>
  </r>
  <r>
    <x v="23"/>
    <x v="208"/>
    <x v="1"/>
    <x v="4"/>
    <x v="176"/>
    <x v="0"/>
    <x v="1"/>
    <x v="0"/>
    <x v="2"/>
    <x v="1"/>
    <x v="23"/>
    <x v="13"/>
    <x v="0"/>
    <x v="2"/>
  </r>
  <r>
    <x v="61"/>
    <x v="221"/>
    <x v="18"/>
    <x v="398"/>
    <x v="185"/>
    <x v="4"/>
    <x v="1"/>
    <x v="1"/>
    <x v="2"/>
    <x v="0"/>
    <x v="61"/>
    <x v="579"/>
    <x v="8"/>
    <x v="2"/>
  </r>
  <r>
    <x v="20"/>
    <x v="242"/>
    <x v="46"/>
    <x v="408"/>
    <x v="202"/>
    <x v="2"/>
    <x v="1"/>
    <x v="1"/>
    <x v="2"/>
    <x v="1"/>
    <x v="20"/>
    <x v="580"/>
    <x v="1"/>
    <x v="2"/>
  </r>
  <r>
    <x v="23"/>
    <x v="150"/>
    <x v="21"/>
    <x v="409"/>
    <x v="134"/>
    <x v="0"/>
    <x v="1"/>
    <x v="0"/>
    <x v="0"/>
    <x v="0"/>
    <x v="23"/>
    <x v="581"/>
    <x v="7"/>
    <x v="0"/>
  </r>
  <r>
    <x v="27"/>
    <x v="162"/>
    <x v="20"/>
    <x v="410"/>
    <x v="143"/>
    <x v="0"/>
    <x v="1"/>
    <x v="1"/>
    <x v="0"/>
    <x v="1"/>
    <x v="27"/>
    <x v="582"/>
    <x v="8"/>
    <x v="0"/>
  </r>
  <r>
    <x v="74"/>
    <x v="124"/>
    <x v="14"/>
    <x v="411"/>
    <x v="118"/>
    <x v="0"/>
    <x v="1"/>
    <x v="1"/>
    <x v="0"/>
    <x v="0"/>
    <x v="74"/>
    <x v="583"/>
    <x v="9"/>
    <x v="0"/>
  </r>
  <r>
    <x v="73"/>
    <x v="163"/>
    <x v="14"/>
    <x v="38"/>
    <x v="144"/>
    <x v="0"/>
    <x v="1"/>
    <x v="2"/>
    <x v="0"/>
    <x v="0"/>
    <x v="73"/>
    <x v="584"/>
    <x v="3"/>
    <x v="0"/>
  </r>
  <r>
    <x v="28"/>
    <x v="280"/>
    <x v="32"/>
    <x v="412"/>
    <x v="235"/>
    <x v="0"/>
    <x v="1"/>
    <x v="2"/>
    <x v="0"/>
    <x v="0"/>
    <x v="28"/>
    <x v="585"/>
    <x v="10"/>
    <x v="0"/>
  </r>
  <r>
    <x v="26"/>
    <x v="127"/>
    <x v="32"/>
    <x v="410"/>
    <x v="121"/>
    <x v="0"/>
    <x v="1"/>
    <x v="3"/>
    <x v="0"/>
    <x v="0"/>
    <x v="26"/>
    <x v="586"/>
    <x v="4"/>
    <x v="0"/>
  </r>
  <r>
    <x v="70"/>
    <x v="128"/>
    <x v="26"/>
    <x v="413"/>
    <x v="32"/>
    <x v="0"/>
    <x v="1"/>
    <x v="3"/>
    <x v="0"/>
    <x v="0"/>
    <x v="70"/>
    <x v="587"/>
    <x v="5"/>
    <x v="0"/>
  </r>
  <r>
    <x v="81"/>
    <x v="165"/>
    <x v="28"/>
    <x v="414"/>
    <x v="69"/>
    <x v="0"/>
    <x v="1"/>
    <x v="3"/>
    <x v="0"/>
    <x v="0"/>
    <x v="81"/>
    <x v="588"/>
    <x v="5"/>
    <x v="0"/>
  </r>
  <r>
    <x v="47"/>
    <x v="166"/>
    <x v="27"/>
    <x v="415"/>
    <x v="34"/>
    <x v="0"/>
    <x v="1"/>
    <x v="3"/>
    <x v="0"/>
    <x v="0"/>
    <x v="47"/>
    <x v="589"/>
    <x v="5"/>
    <x v="0"/>
  </r>
  <r>
    <x v="64"/>
    <x v="93"/>
    <x v="4"/>
    <x v="416"/>
    <x v="91"/>
    <x v="0"/>
    <x v="1"/>
    <x v="3"/>
    <x v="0"/>
    <x v="0"/>
    <x v="64"/>
    <x v="590"/>
    <x v="6"/>
    <x v="0"/>
  </r>
  <r>
    <x v="75"/>
    <x v="132"/>
    <x v="18"/>
    <x v="109"/>
    <x v="123"/>
    <x v="0"/>
    <x v="1"/>
    <x v="0"/>
    <x v="1"/>
    <x v="0"/>
    <x v="75"/>
    <x v="591"/>
    <x v="0"/>
    <x v="1"/>
  </r>
  <r>
    <x v="72"/>
    <x v="151"/>
    <x v="5"/>
    <x v="38"/>
    <x v="135"/>
    <x v="0"/>
    <x v="1"/>
    <x v="0"/>
    <x v="1"/>
    <x v="0"/>
    <x v="72"/>
    <x v="592"/>
    <x v="11"/>
    <x v="1"/>
  </r>
  <r>
    <x v="23"/>
    <x v="168"/>
    <x v="27"/>
    <x v="417"/>
    <x v="125"/>
    <x v="0"/>
    <x v="1"/>
    <x v="1"/>
    <x v="1"/>
    <x v="0"/>
    <x v="23"/>
    <x v="593"/>
    <x v="1"/>
    <x v="1"/>
  </r>
  <r>
    <x v="65"/>
    <x v="96"/>
    <x v="11"/>
    <x v="416"/>
    <x v="39"/>
    <x v="0"/>
    <x v="1"/>
    <x v="1"/>
    <x v="1"/>
    <x v="0"/>
    <x v="65"/>
    <x v="594"/>
    <x v="9"/>
    <x v="1"/>
  </r>
  <r>
    <x v="39"/>
    <x v="169"/>
    <x v="3"/>
    <x v="74"/>
    <x v="126"/>
    <x v="0"/>
    <x v="1"/>
    <x v="2"/>
    <x v="1"/>
    <x v="0"/>
    <x v="39"/>
    <x v="595"/>
    <x v="2"/>
    <x v="1"/>
  </r>
  <r>
    <x v="39"/>
    <x v="136"/>
    <x v="6"/>
    <x v="416"/>
    <x v="76"/>
    <x v="0"/>
    <x v="1"/>
    <x v="2"/>
    <x v="1"/>
    <x v="0"/>
    <x v="39"/>
    <x v="596"/>
    <x v="3"/>
    <x v="1"/>
  </r>
  <r>
    <x v="0"/>
    <x v="170"/>
    <x v="23"/>
    <x v="418"/>
    <x v="42"/>
    <x v="0"/>
    <x v="1"/>
    <x v="2"/>
    <x v="1"/>
    <x v="0"/>
    <x v="0"/>
    <x v="597"/>
    <x v="10"/>
    <x v="1"/>
  </r>
  <r>
    <x v="15"/>
    <x v="98"/>
    <x v="3"/>
    <x v="419"/>
    <x v="95"/>
    <x v="0"/>
    <x v="1"/>
    <x v="3"/>
    <x v="1"/>
    <x v="0"/>
    <x v="15"/>
    <x v="598"/>
    <x v="4"/>
    <x v="1"/>
  </r>
  <r>
    <x v="78"/>
    <x v="139"/>
    <x v="27"/>
    <x v="420"/>
    <x v="96"/>
    <x v="0"/>
    <x v="1"/>
    <x v="3"/>
    <x v="1"/>
    <x v="0"/>
    <x v="78"/>
    <x v="599"/>
    <x v="4"/>
    <x v="1"/>
  </r>
  <r>
    <x v="11"/>
    <x v="152"/>
    <x v="32"/>
    <x v="421"/>
    <x v="80"/>
    <x v="0"/>
    <x v="1"/>
    <x v="3"/>
    <x v="1"/>
    <x v="0"/>
    <x v="11"/>
    <x v="229"/>
    <x v="5"/>
    <x v="1"/>
  </r>
  <r>
    <x v="62"/>
    <x v="140"/>
    <x v="3"/>
    <x v="4"/>
    <x v="128"/>
    <x v="0"/>
    <x v="1"/>
    <x v="3"/>
    <x v="1"/>
    <x v="1"/>
    <x v="62"/>
    <x v="26"/>
    <x v="5"/>
    <x v="1"/>
  </r>
  <r>
    <x v="74"/>
    <x v="159"/>
    <x v="7"/>
    <x v="422"/>
    <x v="140"/>
    <x v="0"/>
    <x v="1"/>
    <x v="3"/>
    <x v="1"/>
    <x v="0"/>
    <x v="74"/>
    <x v="600"/>
    <x v="6"/>
    <x v="1"/>
  </r>
  <r>
    <x v="23"/>
    <x v="153"/>
    <x v="27"/>
    <x v="423"/>
    <x v="48"/>
    <x v="0"/>
    <x v="1"/>
    <x v="3"/>
    <x v="1"/>
    <x v="0"/>
    <x v="23"/>
    <x v="601"/>
    <x v="6"/>
    <x v="1"/>
  </r>
  <r>
    <x v="39"/>
    <x v="142"/>
    <x v="32"/>
    <x v="424"/>
    <x v="129"/>
    <x v="0"/>
    <x v="1"/>
    <x v="0"/>
    <x v="2"/>
    <x v="0"/>
    <x v="39"/>
    <x v="602"/>
    <x v="7"/>
    <x v="2"/>
  </r>
  <r>
    <x v="23"/>
    <x v="245"/>
    <x v="8"/>
    <x v="280"/>
    <x v="205"/>
    <x v="0"/>
    <x v="1"/>
    <x v="0"/>
    <x v="2"/>
    <x v="0"/>
    <x v="23"/>
    <x v="603"/>
    <x v="0"/>
    <x v="2"/>
  </r>
  <r>
    <x v="23"/>
    <x v="266"/>
    <x v="28"/>
    <x v="425"/>
    <x v="222"/>
    <x v="0"/>
    <x v="1"/>
    <x v="0"/>
    <x v="2"/>
    <x v="0"/>
    <x v="23"/>
    <x v="604"/>
    <x v="11"/>
    <x v="2"/>
  </r>
  <r>
    <x v="23"/>
    <x v="171"/>
    <x v="15"/>
    <x v="417"/>
    <x v="147"/>
    <x v="0"/>
    <x v="1"/>
    <x v="1"/>
    <x v="2"/>
    <x v="0"/>
    <x v="23"/>
    <x v="605"/>
    <x v="1"/>
    <x v="2"/>
  </r>
  <r>
    <x v="14"/>
    <x v="102"/>
    <x v="36"/>
    <x v="416"/>
    <x v="53"/>
    <x v="2"/>
    <x v="1"/>
    <x v="1"/>
    <x v="2"/>
    <x v="0"/>
    <x v="14"/>
    <x v="606"/>
    <x v="1"/>
    <x v="2"/>
  </r>
  <r>
    <x v="0"/>
    <x v="0"/>
    <x v="32"/>
    <x v="4"/>
    <x v="0"/>
    <x v="0"/>
    <x v="0"/>
    <x v="0"/>
    <x v="0"/>
    <x v="0"/>
    <x v="0"/>
    <x v="53"/>
    <x v="0"/>
    <x v="0"/>
  </r>
  <r>
    <x v="10"/>
    <x v="54"/>
    <x v="21"/>
    <x v="426"/>
    <x v="54"/>
    <x v="0"/>
    <x v="0"/>
    <x v="1"/>
    <x v="0"/>
    <x v="1"/>
    <x v="10"/>
    <x v="607"/>
    <x v="8"/>
    <x v="0"/>
  </r>
  <r>
    <x v="2"/>
    <x v="2"/>
    <x v="21"/>
    <x v="427"/>
    <x v="2"/>
    <x v="0"/>
    <x v="0"/>
    <x v="2"/>
    <x v="0"/>
    <x v="1"/>
    <x v="2"/>
    <x v="608"/>
    <x v="2"/>
    <x v="0"/>
  </r>
  <r>
    <x v="3"/>
    <x v="3"/>
    <x v="30"/>
    <x v="276"/>
    <x v="3"/>
    <x v="0"/>
    <x v="0"/>
    <x v="2"/>
    <x v="0"/>
    <x v="1"/>
    <x v="3"/>
    <x v="609"/>
    <x v="3"/>
    <x v="0"/>
  </r>
  <r>
    <x v="4"/>
    <x v="4"/>
    <x v="27"/>
    <x v="4"/>
    <x v="4"/>
    <x v="0"/>
    <x v="0"/>
    <x v="3"/>
    <x v="0"/>
    <x v="1"/>
    <x v="4"/>
    <x v="39"/>
    <x v="4"/>
    <x v="0"/>
  </r>
  <r>
    <x v="5"/>
    <x v="5"/>
    <x v="24"/>
    <x v="4"/>
    <x v="5"/>
    <x v="0"/>
    <x v="0"/>
    <x v="3"/>
    <x v="0"/>
    <x v="1"/>
    <x v="5"/>
    <x v="33"/>
    <x v="4"/>
    <x v="0"/>
  </r>
  <r>
    <x v="6"/>
    <x v="6"/>
    <x v="7"/>
    <x v="4"/>
    <x v="6"/>
    <x v="0"/>
    <x v="0"/>
    <x v="3"/>
    <x v="0"/>
    <x v="1"/>
    <x v="6"/>
    <x v="7"/>
    <x v="5"/>
    <x v="0"/>
  </r>
  <r>
    <x v="7"/>
    <x v="7"/>
    <x v="32"/>
    <x v="4"/>
    <x v="7"/>
    <x v="0"/>
    <x v="0"/>
    <x v="3"/>
    <x v="0"/>
    <x v="0"/>
    <x v="7"/>
    <x v="53"/>
    <x v="5"/>
    <x v="0"/>
  </r>
  <r>
    <x v="8"/>
    <x v="8"/>
    <x v="25"/>
    <x v="4"/>
    <x v="8"/>
    <x v="0"/>
    <x v="0"/>
    <x v="3"/>
    <x v="0"/>
    <x v="1"/>
    <x v="8"/>
    <x v="44"/>
    <x v="6"/>
    <x v="0"/>
  </r>
  <r>
    <x v="9"/>
    <x v="9"/>
    <x v="32"/>
    <x v="428"/>
    <x v="9"/>
    <x v="0"/>
    <x v="0"/>
    <x v="0"/>
    <x v="1"/>
    <x v="0"/>
    <x v="9"/>
    <x v="610"/>
    <x v="7"/>
    <x v="1"/>
  </r>
  <r>
    <x v="10"/>
    <x v="10"/>
    <x v="22"/>
    <x v="429"/>
    <x v="10"/>
    <x v="0"/>
    <x v="0"/>
    <x v="0"/>
    <x v="1"/>
    <x v="0"/>
    <x v="10"/>
    <x v="611"/>
    <x v="0"/>
    <x v="1"/>
  </r>
  <r>
    <x v="11"/>
    <x v="11"/>
    <x v="14"/>
    <x v="4"/>
    <x v="11"/>
    <x v="0"/>
    <x v="0"/>
    <x v="1"/>
    <x v="1"/>
    <x v="0"/>
    <x v="11"/>
    <x v="41"/>
    <x v="8"/>
    <x v="1"/>
  </r>
  <r>
    <x v="12"/>
    <x v="12"/>
    <x v="18"/>
    <x v="4"/>
    <x v="12"/>
    <x v="0"/>
    <x v="0"/>
    <x v="1"/>
    <x v="1"/>
    <x v="0"/>
    <x v="12"/>
    <x v="23"/>
    <x v="1"/>
    <x v="1"/>
  </r>
  <r>
    <x v="13"/>
    <x v="13"/>
    <x v="13"/>
    <x v="4"/>
    <x v="13"/>
    <x v="0"/>
    <x v="0"/>
    <x v="1"/>
    <x v="1"/>
    <x v="1"/>
    <x v="13"/>
    <x v="17"/>
    <x v="9"/>
    <x v="1"/>
  </r>
  <r>
    <x v="14"/>
    <x v="14"/>
    <x v="15"/>
    <x v="4"/>
    <x v="14"/>
    <x v="0"/>
    <x v="0"/>
    <x v="2"/>
    <x v="1"/>
    <x v="0"/>
    <x v="14"/>
    <x v="27"/>
    <x v="2"/>
    <x v="1"/>
  </r>
  <r>
    <x v="15"/>
    <x v="15"/>
    <x v="1"/>
    <x v="4"/>
    <x v="15"/>
    <x v="0"/>
    <x v="0"/>
    <x v="2"/>
    <x v="1"/>
    <x v="1"/>
    <x v="15"/>
    <x v="13"/>
    <x v="3"/>
    <x v="1"/>
  </r>
  <r>
    <x v="16"/>
    <x v="16"/>
    <x v="20"/>
    <x v="4"/>
    <x v="16"/>
    <x v="0"/>
    <x v="0"/>
    <x v="2"/>
    <x v="1"/>
    <x v="1"/>
    <x v="16"/>
    <x v="28"/>
    <x v="10"/>
    <x v="1"/>
  </r>
  <r>
    <x v="17"/>
    <x v="17"/>
    <x v="15"/>
    <x v="4"/>
    <x v="17"/>
    <x v="0"/>
    <x v="0"/>
    <x v="3"/>
    <x v="1"/>
    <x v="0"/>
    <x v="17"/>
    <x v="27"/>
    <x v="4"/>
    <x v="1"/>
  </r>
  <r>
    <x v="18"/>
    <x v="18"/>
    <x v="7"/>
    <x v="4"/>
    <x v="18"/>
    <x v="0"/>
    <x v="0"/>
    <x v="3"/>
    <x v="1"/>
    <x v="1"/>
    <x v="18"/>
    <x v="7"/>
    <x v="5"/>
    <x v="1"/>
  </r>
  <r>
    <x v="0"/>
    <x v="19"/>
    <x v="0"/>
    <x v="430"/>
    <x v="19"/>
    <x v="0"/>
    <x v="0"/>
    <x v="3"/>
    <x v="1"/>
    <x v="0"/>
    <x v="0"/>
    <x v="612"/>
    <x v="5"/>
    <x v="1"/>
  </r>
  <r>
    <x v="35"/>
    <x v="59"/>
    <x v="26"/>
    <x v="431"/>
    <x v="58"/>
    <x v="0"/>
    <x v="0"/>
    <x v="3"/>
    <x v="1"/>
    <x v="0"/>
    <x v="35"/>
    <x v="613"/>
    <x v="5"/>
    <x v="1"/>
  </r>
  <r>
    <x v="5"/>
    <x v="62"/>
    <x v="24"/>
    <x v="432"/>
    <x v="61"/>
    <x v="0"/>
    <x v="0"/>
    <x v="0"/>
    <x v="2"/>
    <x v="1"/>
    <x v="5"/>
    <x v="614"/>
    <x v="7"/>
    <x v="2"/>
  </r>
  <r>
    <x v="28"/>
    <x v="60"/>
    <x v="19"/>
    <x v="4"/>
    <x v="59"/>
    <x v="0"/>
    <x v="0"/>
    <x v="0"/>
    <x v="2"/>
    <x v="1"/>
    <x v="28"/>
    <x v="25"/>
    <x v="0"/>
    <x v="2"/>
  </r>
  <r>
    <x v="37"/>
    <x v="121"/>
    <x v="3"/>
    <x v="4"/>
    <x v="23"/>
    <x v="0"/>
    <x v="0"/>
    <x v="0"/>
    <x v="2"/>
    <x v="1"/>
    <x v="37"/>
    <x v="26"/>
    <x v="11"/>
    <x v="2"/>
  </r>
  <r>
    <x v="22"/>
    <x v="24"/>
    <x v="12"/>
    <x v="4"/>
    <x v="24"/>
    <x v="0"/>
    <x v="0"/>
    <x v="1"/>
    <x v="2"/>
    <x v="1"/>
    <x v="22"/>
    <x v="46"/>
    <x v="8"/>
    <x v="2"/>
  </r>
  <r>
    <x v="23"/>
    <x v="25"/>
    <x v="21"/>
    <x v="4"/>
    <x v="25"/>
    <x v="1"/>
    <x v="0"/>
    <x v="1"/>
    <x v="2"/>
    <x v="1"/>
    <x v="23"/>
    <x v="29"/>
    <x v="1"/>
    <x v="2"/>
  </r>
  <r>
    <x v="77"/>
    <x v="210"/>
    <x v="6"/>
    <x v="433"/>
    <x v="178"/>
    <x v="0"/>
    <x v="1"/>
    <x v="0"/>
    <x v="0"/>
    <x v="0"/>
    <x v="77"/>
    <x v="615"/>
    <x v="11"/>
    <x v="0"/>
  </r>
  <r>
    <x v="46"/>
    <x v="211"/>
    <x v="24"/>
    <x v="372"/>
    <x v="179"/>
    <x v="0"/>
    <x v="1"/>
    <x v="1"/>
    <x v="0"/>
    <x v="0"/>
    <x v="46"/>
    <x v="616"/>
    <x v="1"/>
    <x v="0"/>
  </r>
  <r>
    <x v="1"/>
    <x v="212"/>
    <x v="18"/>
    <x v="365"/>
    <x v="180"/>
    <x v="0"/>
    <x v="1"/>
    <x v="2"/>
    <x v="0"/>
    <x v="0"/>
    <x v="1"/>
    <x v="617"/>
    <x v="2"/>
    <x v="0"/>
  </r>
  <r>
    <x v="42"/>
    <x v="179"/>
    <x v="20"/>
    <x v="275"/>
    <x v="153"/>
    <x v="0"/>
    <x v="1"/>
    <x v="2"/>
    <x v="0"/>
    <x v="0"/>
    <x v="42"/>
    <x v="618"/>
    <x v="10"/>
    <x v="0"/>
  </r>
  <r>
    <x v="78"/>
    <x v="180"/>
    <x v="10"/>
    <x v="370"/>
    <x v="154"/>
    <x v="0"/>
    <x v="1"/>
    <x v="3"/>
    <x v="0"/>
    <x v="0"/>
    <x v="78"/>
    <x v="619"/>
    <x v="4"/>
    <x v="0"/>
  </r>
  <r>
    <x v="13"/>
    <x v="213"/>
    <x v="1"/>
    <x v="368"/>
    <x v="155"/>
    <x v="0"/>
    <x v="1"/>
    <x v="3"/>
    <x v="0"/>
    <x v="0"/>
    <x v="13"/>
    <x v="620"/>
    <x v="5"/>
    <x v="0"/>
  </r>
  <r>
    <x v="7"/>
    <x v="108"/>
    <x v="1"/>
    <x v="366"/>
    <x v="103"/>
    <x v="0"/>
    <x v="1"/>
    <x v="3"/>
    <x v="0"/>
    <x v="0"/>
    <x v="7"/>
    <x v="621"/>
    <x v="5"/>
    <x v="0"/>
  </r>
  <r>
    <x v="40"/>
    <x v="172"/>
    <x v="20"/>
    <x v="366"/>
    <x v="104"/>
    <x v="0"/>
    <x v="1"/>
    <x v="3"/>
    <x v="0"/>
    <x v="0"/>
    <x v="40"/>
    <x v="622"/>
    <x v="5"/>
    <x v="0"/>
  </r>
  <r>
    <x v="74"/>
    <x v="182"/>
    <x v="3"/>
    <x v="365"/>
    <x v="105"/>
    <x v="0"/>
    <x v="1"/>
    <x v="3"/>
    <x v="0"/>
    <x v="0"/>
    <x v="74"/>
    <x v="623"/>
    <x v="6"/>
    <x v="0"/>
  </r>
  <r>
    <x v="23"/>
    <x v="157"/>
    <x v="3"/>
    <x v="370"/>
    <x v="138"/>
    <x v="0"/>
    <x v="1"/>
    <x v="0"/>
    <x v="1"/>
    <x v="0"/>
    <x v="23"/>
    <x v="624"/>
    <x v="7"/>
    <x v="1"/>
  </r>
  <r>
    <x v="55"/>
    <x v="214"/>
    <x v="5"/>
    <x v="367"/>
    <x v="181"/>
    <x v="0"/>
    <x v="1"/>
    <x v="0"/>
    <x v="1"/>
    <x v="0"/>
    <x v="55"/>
    <x v="625"/>
    <x v="0"/>
    <x v="1"/>
  </r>
  <r>
    <x v="83"/>
    <x v="215"/>
    <x v="15"/>
    <x v="81"/>
    <x v="156"/>
    <x v="0"/>
    <x v="1"/>
    <x v="1"/>
    <x v="1"/>
    <x v="0"/>
    <x v="83"/>
    <x v="626"/>
    <x v="8"/>
    <x v="1"/>
  </r>
  <r>
    <x v="70"/>
    <x v="114"/>
    <x v="11"/>
    <x v="434"/>
    <x v="109"/>
    <x v="0"/>
    <x v="1"/>
    <x v="2"/>
    <x v="1"/>
    <x v="0"/>
    <x v="70"/>
    <x v="627"/>
    <x v="2"/>
    <x v="1"/>
  </r>
  <r>
    <x v="84"/>
    <x v="184"/>
    <x v="21"/>
    <x v="371"/>
    <x v="157"/>
    <x v="0"/>
    <x v="1"/>
    <x v="2"/>
    <x v="1"/>
    <x v="0"/>
    <x v="84"/>
    <x v="628"/>
    <x v="3"/>
    <x v="1"/>
  </r>
  <r>
    <x v="65"/>
    <x v="216"/>
    <x v="24"/>
    <x v="218"/>
    <x v="182"/>
    <x v="0"/>
    <x v="1"/>
    <x v="2"/>
    <x v="1"/>
    <x v="0"/>
    <x v="65"/>
    <x v="629"/>
    <x v="10"/>
    <x v="1"/>
  </r>
  <r>
    <x v="85"/>
    <x v="185"/>
    <x v="8"/>
    <x v="435"/>
    <x v="158"/>
    <x v="0"/>
    <x v="1"/>
    <x v="3"/>
    <x v="0"/>
    <x v="0"/>
    <x v="85"/>
    <x v="630"/>
    <x v="4"/>
    <x v="0"/>
  </r>
  <r>
    <x v="23"/>
    <x v="217"/>
    <x v="3"/>
    <x v="159"/>
    <x v="113"/>
    <x v="0"/>
    <x v="1"/>
    <x v="3"/>
    <x v="1"/>
    <x v="0"/>
    <x v="23"/>
    <x v="631"/>
    <x v="4"/>
    <x v="1"/>
  </r>
  <r>
    <x v="21"/>
    <x v="175"/>
    <x v="7"/>
    <x v="436"/>
    <x v="45"/>
    <x v="0"/>
    <x v="1"/>
    <x v="3"/>
    <x v="1"/>
    <x v="0"/>
    <x v="21"/>
    <x v="632"/>
    <x v="5"/>
    <x v="1"/>
  </r>
  <r>
    <x v="77"/>
    <x v="206"/>
    <x v="14"/>
    <x v="437"/>
    <x v="159"/>
    <x v="0"/>
    <x v="1"/>
    <x v="3"/>
    <x v="1"/>
    <x v="0"/>
    <x v="77"/>
    <x v="633"/>
    <x v="5"/>
    <x v="1"/>
  </r>
  <r>
    <x v="1"/>
    <x v="218"/>
    <x v="26"/>
    <x v="438"/>
    <x v="20"/>
    <x v="0"/>
    <x v="1"/>
    <x v="3"/>
    <x v="1"/>
    <x v="0"/>
    <x v="1"/>
    <x v="634"/>
    <x v="5"/>
    <x v="1"/>
  </r>
  <r>
    <x v="3"/>
    <x v="219"/>
    <x v="19"/>
    <x v="183"/>
    <x v="183"/>
    <x v="5"/>
    <x v="1"/>
    <x v="0"/>
    <x v="2"/>
    <x v="0"/>
    <x v="3"/>
    <x v="635"/>
    <x v="7"/>
    <x v="2"/>
  </r>
  <r>
    <x v="23"/>
    <x v="241"/>
    <x v="22"/>
    <x v="4"/>
    <x v="184"/>
    <x v="0"/>
    <x v="1"/>
    <x v="0"/>
    <x v="2"/>
    <x v="1"/>
    <x v="23"/>
    <x v="30"/>
    <x v="0"/>
    <x v="2"/>
  </r>
  <r>
    <x v="61"/>
    <x v="221"/>
    <x v="33"/>
    <x v="81"/>
    <x v="185"/>
    <x v="4"/>
    <x v="1"/>
    <x v="1"/>
    <x v="2"/>
    <x v="0"/>
    <x v="61"/>
    <x v="636"/>
    <x v="8"/>
    <x v="2"/>
  </r>
  <r>
    <x v="20"/>
    <x v="242"/>
    <x v="9"/>
    <x v="407"/>
    <x v="202"/>
    <x v="2"/>
    <x v="1"/>
    <x v="1"/>
    <x v="2"/>
    <x v="0"/>
    <x v="20"/>
    <x v="637"/>
    <x v="1"/>
    <x v="2"/>
  </r>
  <r>
    <x v="86"/>
    <x v="222"/>
    <x v="11"/>
    <x v="439"/>
    <x v="186"/>
    <x v="0"/>
    <x v="4"/>
    <x v="0"/>
    <x v="0"/>
    <x v="0"/>
    <x v="86"/>
    <x v="638"/>
    <x v="0"/>
    <x v="0"/>
  </r>
  <r>
    <x v="10"/>
    <x v="54"/>
    <x v="25"/>
    <x v="4"/>
    <x v="54"/>
    <x v="0"/>
    <x v="4"/>
    <x v="1"/>
    <x v="0"/>
    <x v="1"/>
    <x v="10"/>
    <x v="44"/>
    <x v="8"/>
    <x v="0"/>
  </r>
  <r>
    <x v="23"/>
    <x v="249"/>
    <x v="2"/>
    <x v="440"/>
    <x v="209"/>
    <x v="0"/>
    <x v="4"/>
    <x v="1"/>
    <x v="0"/>
    <x v="1"/>
    <x v="23"/>
    <x v="639"/>
    <x v="9"/>
    <x v="0"/>
  </r>
  <r>
    <x v="3"/>
    <x v="3"/>
    <x v="23"/>
    <x v="441"/>
    <x v="3"/>
    <x v="0"/>
    <x v="4"/>
    <x v="2"/>
    <x v="0"/>
    <x v="1"/>
    <x v="3"/>
    <x v="640"/>
    <x v="3"/>
    <x v="0"/>
  </r>
  <r>
    <x v="5"/>
    <x v="5"/>
    <x v="4"/>
    <x v="4"/>
    <x v="5"/>
    <x v="0"/>
    <x v="4"/>
    <x v="3"/>
    <x v="0"/>
    <x v="1"/>
    <x v="5"/>
    <x v="4"/>
    <x v="4"/>
    <x v="0"/>
  </r>
  <r>
    <x v="44"/>
    <x v="55"/>
    <x v="26"/>
    <x v="442"/>
    <x v="55"/>
    <x v="0"/>
    <x v="4"/>
    <x v="0"/>
    <x v="1"/>
    <x v="0"/>
    <x v="44"/>
    <x v="641"/>
    <x v="7"/>
    <x v="1"/>
  </r>
  <r>
    <x v="10"/>
    <x v="10"/>
    <x v="1"/>
    <x v="4"/>
    <x v="10"/>
    <x v="0"/>
    <x v="4"/>
    <x v="0"/>
    <x v="1"/>
    <x v="1"/>
    <x v="10"/>
    <x v="13"/>
    <x v="0"/>
    <x v="1"/>
  </r>
  <r>
    <x v="57"/>
    <x v="250"/>
    <x v="10"/>
    <x v="443"/>
    <x v="210"/>
    <x v="0"/>
    <x v="4"/>
    <x v="1"/>
    <x v="1"/>
    <x v="0"/>
    <x v="57"/>
    <x v="642"/>
    <x v="8"/>
    <x v="1"/>
  </r>
  <r>
    <x v="61"/>
    <x v="225"/>
    <x v="28"/>
    <x v="439"/>
    <x v="189"/>
    <x v="0"/>
    <x v="4"/>
    <x v="1"/>
    <x v="1"/>
    <x v="0"/>
    <x v="61"/>
    <x v="643"/>
    <x v="1"/>
    <x v="1"/>
  </r>
  <r>
    <x v="23"/>
    <x v="226"/>
    <x v="1"/>
    <x v="444"/>
    <x v="190"/>
    <x v="3"/>
    <x v="4"/>
    <x v="1"/>
    <x v="1"/>
    <x v="1"/>
    <x v="23"/>
    <x v="644"/>
    <x v="9"/>
    <x v="1"/>
  </r>
  <r>
    <x v="14"/>
    <x v="14"/>
    <x v="32"/>
    <x v="445"/>
    <x v="14"/>
    <x v="0"/>
    <x v="4"/>
    <x v="2"/>
    <x v="1"/>
    <x v="0"/>
    <x v="14"/>
    <x v="645"/>
    <x v="2"/>
    <x v="1"/>
  </r>
  <r>
    <x v="85"/>
    <x v="228"/>
    <x v="8"/>
    <x v="4"/>
    <x v="191"/>
    <x v="0"/>
    <x v="4"/>
    <x v="2"/>
    <x v="1"/>
    <x v="0"/>
    <x v="85"/>
    <x v="38"/>
    <x v="3"/>
    <x v="1"/>
  </r>
  <r>
    <x v="75"/>
    <x v="251"/>
    <x v="22"/>
    <x v="4"/>
    <x v="211"/>
    <x v="0"/>
    <x v="4"/>
    <x v="2"/>
    <x v="1"/>
    <x v="1"/>
    <x v="75"/>
    <x v="30"/>
    <x v="10"/>
    <x v="1"/>
  </r>
  <r>
    <x v="47"/>
    <x v="58"/>
    <x v="28"/>
    <x v="4"/>
    <x v="17"/>
    <x v="0"/>
    <x v="4"/>
    <x v="3"/>
    <x v="1"/>
    <x v="1"/>
    <x v="47"/>
    <x v="47"/>
    <x v="4"/>
    <x v="1"/>
  </r>
  <r>
    <x v="59"/>
    <x v="80"/>
    <x v="32"/>
    <x v="4"/>
    <x v="79"/>
    <x v="0"/>
    <x v="4"/>
    <x v="3"/>
    <x v="1"/>
    <x v="0"/>
    <x v="59"/>
    <x v="53"/>
    <x v="5"/>
    <x v="1"/>
  </r>
  <r>
    <x v="86"/>
    <x v="278"/>
    <x v="20"/>
    <x v="441"/>
    <x v="233"/>
    <x v="0"/>
    <x v="4"/>
    <x v="3"/>
    <x v="1"/>
    <x v="1"/>
    <x v="86"/>
    <x v="646"/>
    <x v="5"/>
    <x v="1"/>
  </r>
  <r>
    <x v="35"/>
    <x v="59"/>
    <x v="15"/>
    <x v="446"/>
    <x v="58"/>
    <x v="0"/>
    <x v="4"/>
    <x v="3"/>
    <x v="1"/>
    <x v="0"/>
    <x v="35"/>
    <x v="647"/>
    <x v="5"/>
    <x v="1"/>
  </r>
  <r>
    <x v="88"/>
    <x v="252"/>
    <x v="11"/>
    <x v="447"/>
    <x v="212"/>
    <x v="0"/>
    <x v="4"/>
    <x v="3"/>
    <x v="1"/>
    <x v="0"/>
    <x v="88"/>
    <x v="648"/>
    <x v="6"/>
    <x v="1"/>
  </r>
  <r>
    <x v="28"/>
    <x v="60"/>
    <x v="12"/>
    <x v="440"/>
    <x v="59"/>
    <x v="0"/>
    <x v="4"/>
    <x v="0"/>
    <x v="2"/>
    <x v="1"/>
    <x v="28"/>
    <x v="649"/>
    <x v="0"/>
    <x v="2"/>
  </r>
  <r>
    <x v="23"/>
    <x v="233"/>
    <x v="29"/>
    <x v="448"/>
    <x v="196"/>
    <x v="5"/>
    <x v="4"/>
    <x v="0"/>
    <x v="2"/>
    <x v="0"/>
    <x v="23"/>
    <x v="650"/>
    <x v="11"/>
    <x v="2"/>
  </r>
  <r>
    <x v="1"/>
    <x v="234"/>
    <x v="30"/>
    <x v="4"/>
    <x v="197"/>
    <x v="0"/>
    <x v="4"/>
    <x v="0"/>
    <x v="2"/>
    <x v="1"/>
    <x v="1"/>
    <x v="49"/>
    <x v="11"/>
    <x v="2"/>
  </r>
  <r>
    <x v="12"/>
    <x v="253"/>
    <x v="19"/>
    <x v="443"/>
    <x v="213"/>
    <x v="4"/>
    <x v="4"/>
    <x v="1"/>
    <x v="2"/>
    <x v="1"/>
    <x v="12"/>
    <x v="651"/>
    <x v="8"/>
    <x v="2"/>
  </r>
  <r>
    <x v="70"/>
    <x v="235"/>
    <x v="20"/>
    <x v="439"/>
    <x v="198"/>
    <x v="0"/>
    <x v="4"/>
    <x v="1"/>
    <x v="2"/>
    <x v="1"/>
    <x v="70"/>
    <x v="652"/>
    <x v="1"/>
    <x v="2"/>
  </r>
  <r>
    <x v="72"/>
    <x v="246"/>
    <x v="3"/>
    <x v="449"/>
    <x v="206"/>
    <x v="0"/>
    <x v="3"/>
    <x v="0"/>
    <x v="0"/>
    <x v="0"/>
    <x v="72"/>
    <x v="653"/>
    <x v="7"/>
    <x v="0"/>
  </r>
  <r>
    <x v="77"/>
    <x v="210"/>
    <x v="14"/>
    <x v="450"/>
    <x v="178"/>
    <x v="0"/>
    <x v="3"/>
    <x v="0"/>
    <x v="0"/>
    <x v="0"/>
    <x v="77"/>
    <x v="654"/>
    <x v="11"/>
    <x v="0"/>
  </r>
  <r>
    <x v="84"/>
    <x v="237"/>
    <x v="3"/>
    <x v="451"/>
    <x v="166"/>
    <x v="0"/>
    <x v="3"/>
    <x v="1"/>
    <x v="0"/>
    <x v="0"/>
    <x v="84"/>
    <x v="655"/>
    <x v="1"/>
    <x v="0"/>
  </r>
  <r>
    <x v="82"/>
    <x v="196"/>
    <x v="5"/>
    <x v="452"/>
    <x v="168"/>
    <x v="0"/>
    <x v="3"/>
    <x v="2"/>
    <x v="0"/>
    <x v="0"/>
    <x v="82"/>
    <x v="656"/>
    <x v="10"/>
    <x v="0"/>
  </r>
  <r>
    <x v="4"/>
    <x v="197"/>
    <x v="9"/>
    <x v="453"/>
    <x v="169"/>
    <x v="0"/>
    <x v="3"/>
    <x v="3"/>
    <x v="0"/>
    <x v="0"/>
    <x v="4"/>
    <x v="657"/>
    <x v="4"/>
    <x v="0"/>
  </r>
  <r>
    <x v="86"/>
    <x v="198"/>
    <x v="28"/>
    <x v="454"/>
    <x v="155"/>
    <x v="0"/>
    <x v="3"/>
    <x v="3"/>
    <x v="0"/>
    <x v="0"/>
    <x v="86"/>
    <x v="658"/>
    <x v="5"/>
    <x v="0"/>
  </r>
  <r>
    <x v="39"/>
    <x v="199"/>
    <x v="25"/>
    <x v="455"/>
    <x v="103"/>
    <x v="0"/>
    <x v="3"/>
    <x v="3"/>
    <x v="0"/>
    <x v="0"/>
    <x v="39"/>
    <x v="659"/>
    <x v="5"/>
    <x v="0"/>
  </r>
  <r>
    <x v="87"/>
    <x v="200"/>
    <x v="18"/>
    <x v="456"/>
    <x v="170"/>
    <x v="0"/>
    <x v="3"/>
    <x v="3"/>
    <x v="0"/>
    <x v="0"/>
    <x v="87"/>
    <x v="660"/>
    <x v="5"/>
    <x v="0"/>
  </r>
  <r>
    <x v="23"/>
    <x v="201"/>
    <x v="22"/>
    <x v="457"/>
    <x v="171"/>
    <x v="0"/>
    <x v="3"/>
    <x v="3"/>
    <x v="0"/>
    <x v="0"/>
    <x v="23"/>
    <x v="661"/>
    <x v="6"/>
    <x v="0"/>
  </r>
  <r>
    <x v="25"/>
    <x v="238"/>
    <x v="14"/>
    <x v="458"/>
    <x v="200"/>
    <x v="0"/>
    <x v="3"/>
    <x v="0"/>
    <x v="1"/>
    <x v="0"/>
    <x v="25"/>
    <x v="662"/>
    <x v="7"/>
    <x v="1"/>
  </r>
  <r>
    <x v="30"/>
    <x v="202"/>
    <x v="13"/>
    <x v="456"/>
    <x v="172"/>
    <x v="0"/>
    <x v="3"/>
    <x v="0"/>
    <x v="1"/>
    <x v="0"/>
    <x v="30"/>
    <x v="663"/>
    <x v="11"/>
    <x v="1"/>
  </r>
  <r>
    <x v="64"/>
    <x v="247"/>
    <x v="29"/>
    <x v="459"/>
    <x v="207"/>
    <x v="0"/>
    <x v="3"/>
    <x v="1"/>
    <x v="1"/>
    <x v="0"/>
    <x v="64"/>
    <x v="664"/>
    <x v="8"/>
    <x v="1"/>
  </r>
  <r>
    <x v="36"/>
    <x v="41"/>
    <x v="14"/>
    <x v="460"/>
    <x v="41"/>
    <x v="0"/>
    <x v="3"/>
    <x v="2"/>
    <x v="1"/>
    <x v="0"/>
    <x v="36"/>
    <x v="665"/>
    <x v="3"/>
    <x v="1"/>
  </r>
  <r>
    <x v="65"/>
    <x v="216"/>
    <x v="6"/>
    <x v="461"/>
    <x v="182"/>
    <x v="0"/>
    <x v="3"/>
    <x v="2"/>
    <x v="1"/>
    <x v="0"/>
    <x v="65"/>
    <x v="666"/>
    <x v="10"/>
    <x v="1"/>
  </r>
  <r>
    <x v="38"/>
    <x v="43"/>
    <x v="10"/>
    <x v="462"/>
    <x v="43"/>
    <x v="0"/>
    <x v="3"/>
    <x v="3"/>
    <x v="1"/>
    <x v="0"/>
    <x v="38"/>
    <x v="667"/>
    <x v="4"/>
    <x v="1"/>
  </r>
  <r>
    <x v="39"/>
    <x v="44"/>
    <x v="25"/>
    <x v="459"/>
    <x v="44"/>
    <x v="0"/>
    <x v="3"/>
    <x v="3"/>
    <x v="1"/>
    <x v="0"/>
    <x v="39"/>
    <x v="668"/>
    <x v="4"/>
    <x v="1"/>
  </r>
  <r>
    <x v="40"/>
    <x v="45"/>
    <x v="14"/>
    <x v="4"/>
    <x v="45"/>
    <x v="0"/>
    <x v="3"/>
    <x v="3"/>
    <x v="1"/>
    <x v="0"/>
    <x v="40"/>
    <x v="41"/>
    <x v="5"/>
    <x v="1"/>
  </r>
  <r>
    <x v="77"/>
    <x v="206"/>
    <x v="3"/>
    <x v="343"/>
    <x v="159"/>
    <x v="0"/>
    <x v="3"/>
    <x v="3"/>
    <x v="1"/>
    <x v="1"/>
    <x v="77"/>
    <x v="669"/>
    <x v="5"/>
    <x v="1"/>
  </r>
  <r>
    <x v="67"/>
    <x v="240"/>
    <x v="14"/>
    <x v="463"/>
    <x v="201"/>
    <x v="0"/>
    <x v="3"/>
    <x v="3"/>
    <x v="1"/>
    <x v="0"/>
    <x v="67"/>
    <x v="670"/>
    <x v="5"/>
    <x v="1"/>
  </r>
  <r>
    <x v="2"/>
    <x v="188"/>
    <x v="7"/>
    <x v="4"/>
    <x v="160"/>
    <x v="0"/>
    <x v="3"/>
    <x v="3"/>
    <x v="1"/>
    <x v="2"/>
    <x v="2"/>
    <x v="7"/>
    <x v="6"/>
    <x v="1"/>
  </r>
  <r>
    <x v="3"/>
    <x v="219"/>
    <x v="10"/>
    <x v="464"/>
    <x v="183"/>
    <x v="5"/>
    <x v="3"/>
    <x v="0"/>
    <x v="2"/>
    <x v="0"/>
    <x v="3"/>
    <x v="671"/>
    <x v="7"/>
    <x v="2"/>
  </r>
  <r>
    <x v="23"/>
    <x v="208"/>
    <x v="22"/>
    <x v="465"/>
    <x v="176"/>
    <x v="0"/>
    <x v="3"/>
    <x v="0"/>
    <x v="2"/>
    <x v="0"/>
    <x v="23"/>
    <x v="387"/>
    <x v="0"/>
    <x v="2"/>
  </r>
  <r>
    <x v="42"/>
    <x v="51"/>
    <x v="29"/>
    <x v="4"/>
    <x v="51"/>
    <x v="0"/>
    <x v="3"/>
    <x v="0"/>
    <x v="2"/>
    <x v="2"/>
    <x v="42"/>
    <x v="48"/>
    <x v="11"/>
    <x v="2"/>
  </r>
  <r>
    <x v="65"/>
    <x v="248"/>
    <x v="40"/>
    <x v="459"/>
    <x v="208"/>
    <x v="0"/>
    <x v="3"/>
    <x v="1"/>
    <x v="2"/>
    <x v="0"/>
    <x v="65"/>
    <x v="672"/>
    <x v="8"/>
    <x v="2"/>
  </r>
  <r>
    <x v="20"/>
    <x v="242"/>
    <x v="3"/>
    <x v="466"/>
    <x v="202"/>
    <x v="2"/>
    <x v="3"/>
    <x v="1"/>
    <x v="2"/>
    <x v="0"/>
    <x v="20"/>
    <x v="673"/>
    <x v="1"/>
    <x v="2"/>
  </r>
  <r>
    <x v="0"/>
    <x v="0"/>
    <x v="19"/>
    <x v="467"/>
    <x v="0"/>
    <x v="0"/>
    <x v="0"/>
    <x v="0"/>
    <x v="0"/>
    <x v="1"/>
    <x v="0"/>
    <x v="674"/>
    <x v="0"/>
    <x v="0"/>
  </r>
  <r>
    <x v="10"/>
    <x v="54"/>
    <x v="1"/>
    <x v="60"/>
    <x v="54"/>
    <x v="0"/>
    <x v="0"/>
    <x v="1"/>
    <x v="0"/>
    <x v="0"/>
    <x v="10"/>
    <x v="675"/>
    <x v="8"/>
    <x v="0"/>
  </r>
  <r>
    <x v="2"/>
    <x v="2"/>
    <x v="30"/>
    <x v="467"/>
    <x v="2"/>
    <x v="0"/>
    <x v="0"/>
    <x v="2"/>
    <x v="0"/>
    <x v="1"/>
    <x v="2"/>
    <x v="676"/>
    <x v="2"/>
    <x v="0"/>
  </r>
  <r>
    <x v="3"/>
    <x v="3"/>
    <x v="20"/>
    <x v="467"/>
    <x v="3"/>
    <x v="0"/>
    <x v="0"/>
    <x v="2"/>
    <x v="0"/>
    <x v="1"/>
    <x v="3"/>
    <x v="677"/>
    <x v="3"/>
    <x v="0"/>
  </r>
  <r>
    <x v="17"/>
    <x v="285"/>
    <x v="8"/>
    <x v="468"/>
    <x v="4"/>
    <x v="0"/>
    <x v="0"/>
    <x v="3"/>
    <x v="0"/>
    <x v="0"/>
    <x v="17"/>
    <x v="678"/>
    <x v="4"/>
    <x v="0"/>
  </r>
  <r>
    <x v="5"/>
    <x v="5"/>
    <x v="6"/>
    <x v="469"/>
    <x v="5"/>
    <x v="0"/>
    <x v="0"/>
    <x v="3"/>
    <x v="0"/>
    <x v="0"/>
    <x v="5"/>
    <x v="679"/>
    <x v="4"/>
    <x v="0"/>
  </r>
  <r>
    <x v="6"/>
    <x v="6"/>
    <x v="11"/>
    <x v="470"/>
    <x v="6"/>
    <x v="0"/>
    <x v="0"/>
    <x v="3"/>
    <x v="0"/>
    <x v="0"/>
    <x v="6"/>
    <x v="680"/>
    <x v="5"/>
    <x v="0"/>
  </r>
  <r>
    <x v="7"/>
    <x v="7"/>
    <x v="23"/>
    <x v="471"/>
    <x v="7"/>
    <x v="0"/>
    <x v="0"/>
    <x v="3"/>
    <x v="0"/>
    <x v="1"/>
    <x v="7"/>
    <x v="681"/>
    <x v="5"/>
    <x v="0"/>
  </r>
  <r>
    <x v="8"/>
    <x v="8"/>
    <x v="32"/>
    <x v="472"/>
    <x v="8"/>
    <x v="0"/>
    <x v="0"/>
    <x v="3"/>
    <x v="0"/>
    <x v="0"/>
    <x v="8"/>
    <x v="682"/>
    <x v="6"/>
    <x v="0"/>
  </r>
  <r>
    <x v="44"/>
    <x v="55"/>
    <x v="0"/>
    <x v="473"/>
    <x v="55"/>
    <x v="0"/>
    <x v="0"/>
    <x v="0"/>
    <x v="1"/>
    <x v="0"/>
    <x v="44"/>
    <x v="683"/>
    <x v="7"/>
    <x v="1"/>
  </r>
  <r>
    <x v="10"/>
    <x v="10"/>
    <x v="19"/>
    <x v="474"/>
    <x v="10"/>
    <x v="0"/>
    <x v="0"/>
    <x v="0"/>
    <x v="1"/>
    <x v="0"/>
    <x v="10"/>
    <x v="684"/>
    <x v="0"/>
    <x v="1"/>
  </r>
  <r>
    <x v="45"/>
    <x v="56"/>
    <x v="5"/>
    <x v="475"/>
    <x v="56"/>
    <x v="0"/>
    <x v="0"/>
    <x v="1"/>
    <x v="1"/>
    <x v="1"/>
    <x v="45"/>
    <x v="685"/>
    <x v="8"/>
    <x v="1"/>
  </r>
  <r>
    <x v="61"/>
    <x v="225"/>
    <x v="22"/>
    <x v="475"/>
    <x v="189"/>
    <x v="0"/>
    <x v="0"/>
    <x v="1"/>
    <x v="1"/>
    <x v="0"/>
    <x v="61"/>
    <x v="686"/>
    <x v="1"/>
    <x v="1"/>
  </r>
  <r>
    <x v="13"/>
    <x v="13"/>
    <x v="9"/>
    <x v="476"/>
    <x v="13"/>
    <x v="0"/>
    <x v="0"/>
    <x v="1"/>
    <x v="1"/>
    <x v="0"/>
    <x v="13"/>
    <x v="687"/>
    <x v="9"/>
    <x v="1"/>
  </r>
  <r>
    <x v="14"/>
    <x v="14"/>
    <x v="0"/>
    <x v="477"/>
    <x v="14"/>
    <x v="0"/>
    <x v="0"/>
    <x v="2"/>
    <x v="1"/>
    <x v="0"/>
    <x v="14"/>
    <x v="688"/>
    <x v="2"/>
    <x v="1"/>
  </r>
  <r>
    <x v="15"/>
    <x v="15"/>
    <x v="25"/>
    <x v="478"/>
    <x v="15"/>
    <x v="0"/>
    <x v="0"/>
    <x v="2"/>
    <x v="1"/>
    <x v="0"/>
    <x v="15"/>
    <x v="689"/>
    <x v="3"/>
    <x v="1"/>
  </r>
  <r>
    <x v="75"/>
    <x v="251"/>
    <x v="22"/>
    <x v="479"/>
    <x v="211"/>
    <x v="0"/>
    <x v="0"/>
    <x v="2"/>
    <x v="1"/>
    <x v="0"/>
    <x v="75"/>
    <x v="690"/>
    <x v="10"/>
    <x v="1"/>
  </r>
  <r>
    <x v="47"/>
    <x v="58"/>
    <x v="20"/>
    <x v="480"/>
    <x v="17"/>
    <x v="0"/>
    <x v="0"/>
    <x v="3"/>
    <x v="1"/>
    <x v="0"/>
    <x v="47"/>
    <x v="691"/>
    <x v="4"/>
    <x v="1"/>
  </r>
  <r>
    <x v="18"/>
    <x v="18"/>
    <x v="18"/>
    <x v="481"/>
    <x v="18"/>
    <x v="0"/>
    <x v="0"/>
    <x v="3"/>
    <x v="1"/>
    <x v="0"/>
    <x v="18"/>
    <x v="692"/>
    <x v="5"/>
    <x v="1"/>
  </r>
  <r>
    <x v="0"/>
    <x v="19"/>
    <x v="9"/>
    <x v="482"/>
    <x v="19"/>
    <x v="0"/>
    <x v="0"/>
    <x v="3"/>
    <x v="1"/>
    <x v="1"/>
    <x v="0"/>
    <x v="693"/>
    <x v="5"/>
    <x v="1"/>
  </r>
  <r>
    <x v="53"/>
    <x v="286"/>
    <x v="36"/>
    <x v="477"/>
    <x v="20"/>
    <x v="0"/>
    <x v="0"/>
    <x v="3"/>
    <x v="1"/>
    <x v="1"/>
    <x v="53"/>
    <x v="694"/>
    <x v="5"/>
    <x v="1"/>
  </r>
  <r>
    <x v="73"/>
    <x v="120"/>
    <x v="15"/>
    <x v="4"/>
    <x v="115"/>
    <x v="0"/>
    <x v="0"/>
    <x v="0"/>
    <x v="2"/>
    <x v="1"/>
    <x v="73"/>
    <x v="27"/>
    <x v="7"/>
    <x v="2"/>
  </r>
  <r>
    <x v="14"/>
    <x v="22"/>
    <x v="10"/>
    <x v="4"/>
    <x v="22"/>
    <x v="0"/>
    <x v="0"/>
    <x v="0"/>
    <x v="2"/>
    <x v="0"/>
    <x v="14"/>
    <x v="11"/>
    <x v="0"/>
    <x v="2"/>
  </r>
  <r>
    <x v="37"/>
    <x v="121"/>
    <x v="4"/>
    <x v="52"/>
    <x v="23"/>
    <x v="0"/>
    <x v="0"/>
    <x v="0"/>
    <x v="2"/>
    <x v="1"/>
    <x v="37"/>
    <x v="106"/>
    <x v="11"/>
    <x v="2"/>
  </r>
  <r>
    <x v="9"/>
    <x v="61"/>
    <x v="42"/>
    <x v="475"/>
    <x v="60"/>
    <x v="0"/>
    <x v="0"/>
    <x v="1"/>
    <x v="2"/>
    <x v="1"/>
    <x v="9"/>
    <x v="695"/>
    <x v="8"/>
    <x v="2"/>
  </r>
  <r>
    <x v="70"/>
    <x v="235"/>
    <x v="22"/>
    <x v="475"/>
    <x v="198"/>
    <x v="0"/>
    <x v="0"/>
    <x v="1"/>
    <x v="2"/>
    <x v="0"/>
    <x v="70"/>
    <x v="686"/>
    <x v="1"/>
    <x v="2"/>
  </r>
  <r>
    <x v="48"/>
    <x v="63"/>
    <x v="30"/>
    <x v="4"/>
    <x v="62"/>
    <x v="0"/>
    <x v="5"/>
    <x v="0"/>
    <x v="0"/>
    <x v="1"/>
    <x v="48"/>
    <x v="49"/>
    <x v="0"/>
    <x v="0"/>
  </r>
  <r>
    <x v="26"/>
    <x v="123"/>
    <x v="2"/>
    <x v="4"/>
    <x v="117"/>
    <x v="0"/>
    <x v="5"/>
    <x v="1"/>
    <x v="0"/>
    <x v="1"/>
    <x v="26"/>
    <x v="9"/>
    <x v="8"/>
    <x v="0"/>
  </r>
  <r>
    <x v="49"/>
    <x v="65"/>
    <x v="3"/>
    <x v="4"/>
    <x v="64"/>
    <x v="0"/>
    <x v="5"/>
    <x v="1"/>
    <x v="0"/>
    <x v="1"/>
    <x v="49"/>
    <x v="26"/>
    <x v="9"/>
    <x v="0"/>
  </r>
  <r>
    <x v="39"/>
    <x v="125"/>
    <x v="29"/>
    <x v="4"/>
    <x v="119"/>
    <x v="0"/>
    <x v="5"/>
    <x v="2"/>
    <x v="0"/>
    <x v="1"/>
    <x v="39"/>
    <x v="48"/>
    <x v="3"/>
    <x v="0"/>
  </r>
  <r>
    <x v="23"/>
    <x v="126"/>
    <x v="23"/>
    <x v="4"/>
    <x v="120"/>
    <x v="0"/>
    <x v="5"/>
    <x v="2"/>
    <x v="0"/>
    <x v="1"/>
    <x v="23"/>
    <x v="31"/>
    <x v="10"/>
    <x v="0"/>
  </r>
  <r>
    <x v="37"/>
    <x v="68"/>
    <x v="29"/>
    <x v="4"/>
    <x v="67"/>
    <x v="3"/>
    <x v="5"/>
    <x v="3"/>
    <x v="0"/>
    <x v="1"/>
    <x v="37"/>
    <x v="48"/>
    <x v="4"/>
    <x v="0"/>
  </r>
  <r>
    <x v="76"/>
    <x v="263"/>
    <x v="24"/>
    <x v="4"/>
    <x v="219"/>
    <x v="0"/>
    <x v="5"/>
    <x v="3"/>
    <x v="0"/>
    <x v="1"/>
    <x v="76"/>
    <x v="33"/>
    <x v="5"/>
    <x v="0"/>
  </r>
  <r>
    <x v="50"/>
    <x v="129"/>
    <x v="0"/>
    <x v="4"/>
    <x v="69"/>
    <x v="0"/>
    <x v="5"/>
    <x v="3"/>
    <x v="0"/>
    <x v="1"/>
    <x v="50"/>
    <x v="32"/>
    <x v="5"/>
    <x v="0"/>
  </r>
  <r>
    <x v="53"/>
    <x v="71"/>
    <x v="2"/>
    <x v="4"/>
    <x v="70"/>
    <x v="0"/>
    <x v="5"/>
    <x v="3"/>
    <x v="0"/>
    <x v="1"/>
    <x v="53"/>
    <x v="9"/>
    <x v="5"/>
    <x v="0"/>
  </r>
  <r>
    <x v="30"/>
    <x v="131"/>
    <x v="21"/>
    <x v="4"/>
    <x v="122"/>
    <x v="0"/>
    <x v="5"/>
    <x v="0"/>
    <x v="1"/>
    <x v="1"/>
    <x v="30"/>
    <x v="29"/>
    <x v="7"/>
    <x v="1"/>
  </r>
  <r>
    <x v="56"/>
    <x v="264"/>
    <x v="4"/>
    <x v="4"/>
    <x v="220"/>
    <x v="0"/>
    <x v="5"/>
    <x v="0"/>
    <x v="1"/>
    <x v="1"/>
    <x v="56"/>
    <x v="4"/>
    <x v="0"/>
    <x v="1"/>
  </r>
  <r>
    <x v="59"/>
    <x v="265"/>
    <x v="12"/>
    <x v="4"/>
    <x v="221"/>
    <x v="0"/>
    <x v="5"/>
    <x v="0"/>
    <x v="1"/>
    <x v="1"/>
    <x v="59"/>
    <x v="46"/>
    <x v="11"/>
    <x v="1"/>
  </r>
  <r>
    <x v="0"/>
    <x v="74"/>
    <x v="7"/>
    <x v="4"/>
    <x v="73"/>
    <x v="3"/>
    <x v="5"/>
    <x v="1"/>
    <x v="1"/>
    <x v="1"/>
    <x v="0"/>
    <x v="7"/>
    <x v="1"/>
    <x v="1"/>
  </r>
  <r>
    <x v="43"/>
    <x v="75"/>
    <x v="5"/>
    <x v="4"/>
    <x v="74"/>
    <x v="0"/>
    <x v="5"/>
    <x v="1"/>
    <x v="1"/>
    <x v="1"/>
    <x v="43"/>
    <x v="15"/>
    <x v="9"/>
    <x v="1"/>
  </r>
  <r>
    <x v="56"/>
    <x v="76"/>
    <x v="8"/>
    <x v="4"/>
    <x v="75"/>
    <x v="0"/>
    <x v="5"/>
    <x v="2"/>
    <x v="1"/>
    <x v="0"/>
    <x v="56"/>
    <x v="38"/>
    <x v="2"/>
    <x v="1"/>
  </r>
  <r>
    <x v="57"/>
    <x v="77"/>
    <x v="13"/>
    <x v="4"/>
    <x v="76"/>
    <x v="0"/>
    <x v="5"/>
    <x v="2"/>
    <x v="1"/>
    <x v="1"/>
    <x v="57"/>
    <x v="17"/>
    <x v="3"/>
    <x v="1"/>
  </r>
  <r>
    <x v="36"/>
    <x v="137"/>
    <x v="15"/>
    <x v="4"/>
    <x v="127"/>
    <x v="0"/>
    <x v="5"/>
    <x v="2"/>
    <x v="1"/>
    <x v="0"/>
    <x v="36"/>
    <x v="27"/>
    <x v="10"/>
    <x v="1"/>
  </r>
  <r>
    <x v="77"/>
    <x v="138"/>
    <x v="6"/>
    <x v="4"/>
    <x v="78"/>
    <x v="0"/>
    <x v="5"/>
    <x v="3"/>
    <x v="1"/>
    <x v="1"/>
    <x v="77"/>
    <x v="24"/>
    <x v="4"/>
    <x v="1"/>
  </r>
  <r>
    <x v="14"/>
    <x v="282"/>
    <x v="21"/>
    <x v="4"/>
    <x v="237"/>
    <x v="0"/>
    <x v="5"/>
    <x v="3"/>
    <x v="1"/>
    <x v="1"/>
    <x v="14"/>
    <x v="29"/>
    <x v="4"/>
    <x v="1"/>
  </r>
  <r>
    <x v="24"/>
    <x v="267"/>
    <x v="2"/>
    <x v="4"/>
    <x v="223"/>
    <x v="0"/>
    <x v="5"/>
    <x v="3"/>
    <x v="1"/>
    <x v="1"/>
    <x v="24"/>
    <x v="9"/>
    <x v="5"/>
    <x v="1"/>
  </r>
  <r>
    <x v="27"/>
    <x v="82"/>
    <x v="6"/>
    <x v="483"/>
    <x v="81"/>
    <x v="0"/>
    <x v="5"/>
    <x v="3"/>
    <x v="1"/>
    <x v="0"/>
    <x v="27"/>
    <x v="696"/>
    <x v="5"/>
    <x v="1"/>
  </r>
  <r>
    <x v="23"/>
    <x v="83"/>
    <x v="1"/>
    <x v="484"/>
    <x v="82"/>
    <x v="0"/>
    <x v="5"/>
    <x v="3"/>
    <x v="1"/>
    <x v="0"/>
    <x v="23"/>
    <x v="697"/>
    <x v="6"/>
    <x v="1"/>
  </r>
  <r>
    <x v="35"/>
    <x v="154"/>
    <x v="9"/>
    <x v="4"/>
    <x v="136"/>
    <x v="0"/>
    <x v="5"/>
    <x v="0"/>
    <x v="2"/>
    <x v="1"/>
    <x v="35"/>
    <x v="10"/>
    <x v="7"/>
    <x v="2"/>
  </r>
  <r>
    <x v="4"/>
    <x v="86"/>
    <x v="11"/>
    <x v="379"/>
    <x v="85"/>
    <x v="0"/>
    <x v="5"/>
    <x v="0"/>
    <x v="2"/>
    <x v="0"/>
    <x v="4"/>
    <x v="698"/>
    <x v="0"/>
    <x v="2"/>
  </r>
  <r>
    <x v="39"/>
    <x v="160"/>
    <x v="4"/>
    <x v="4"/>
    <x v="141"/>
    <x v="0"/>
    <x v="5"/>
    <x v="0"/>
    <x v="2"/>
    <x v="1"/>
    <x v="39"/>
    <x v="4"/>
    <x v="11"/>
    <x v="2"/>
  </r>
  <r>
    <x v="58"/>
    <x v="89"/>
    <x v="10"/>
    <x v="4"/>
    <x v="88"/>
    <x v="4"/>
    <x v="5"/>
    <x v="1"/>
    <x v="2"/>
    <x v="1"/>
    <x v="58"/>
    <x v="11"/>
    <x v="1"/>
    <x v="2"/>
  </r>
  <r>
    <x v="72"/>
    <x v="246"/>
    <x v="12"/>
    <x v="485"/>
    <x v="206"/>
    <x v="0"/>
    <x v="3"/>
    <x v="0"/>
    <x v="0"/>
    <x v="0"/>
    <x v="72"/>
    <x v="699"/>
    <x v="7"/>
    <x v="0"/>
  </r>
  <r>
    <x v="77"/>
    <x v="210"/>
    <x v="25"/>
    <x v="486"/>
    <x v="178"/>
    <x v="0"/>
    <x v="3"/>
    <x v="0"/>
    <x v="0"/>
    <x v="0"/>
    <x v="77"/>
    <x v="700"/>
    <x v="11"/>
    <x v="0"/>
  </r>
  <r>
    <x v="84"/>
    <x v="237"/>
    <x v="8"/>
    <x v="226"/>
    <x v="166"/>
    <x v="0"/>
    <x v="3"/>
    <x v="1"/>
    <x v="0"/>
    <x v="0"/>
    <x v="84"/>
    <x v="701"/>
    <x v="1"/>
    <x v="0"/>
  </r>
  <r>
    <x v="82"/>
    <x v="196"/>
    <x v="4"/>
    <x v="487"/>
    <x v="168"/>
    <x v="0"/>
    <x v="3"/>
    <x v="2"/>
    <x v="0"/>
    <x v="0"/>
    <x v="82"/>
    <x v="702"/>
    <x v="10"/>
    <x v="0"/>
  </r>
  <r>
    <x v="4"/>
    <x v="197"/>
    <x v="30"/>
    <x v="464"/>
    <x v="169"/>
    <x v="0"/>
    <x v="3"/>
    <x v="3"/>
    <x v="0"/>
    <x v="0"/>
    <x v="4"/>
    <x v="703"/>
    <x v="4"/>
    <x v="0"/>
  </r>
  <r>
    <x v="86"/>
    <x v="198"/>
    <x v="26"/>
    <x v="488"/>
    <x v="155"/>
    <x v="0"/>
    <x v="3"/>
    <x v="3"/>
    <x v="0"/>
    <x v="0"/>
    <x v="86"/>
    <x v="704"/>
    <x v="5"/>
    <x v="0"/>
  </r>
  <r>
    <x v="39"/>
    <x v="199"/>
    <x v="28"/>
    <x v="489"/>
    <x v="103"/>
    <x v="0"/>
    <x v="3"/>
    <x v="3"/>
    <x v="0"/>
    <x v="0"/>
    <x v="39"/>
    <x v="705"/>
    <x v="5"/>
    <x v="0"/>
  </r>
  <r>
    <x v="87"/>
    <x v="200"/>
    <x v="14"/>
    <x v="490"/>
    <x v="170"/>
    <x v="0"/>
    <x v="3"/>
    <x v="3"/>
    <x v="0"/>
    <x v="0"/>
    <x v="87"/>
    <x v="706"/>
    <x v="5"/>
    <x v="0"/>
  </r>
  <r>
    <x v="23"/>
    <x v="201"/>
    <x v="16"/>
    <x v="491"/>
    <x v="171"/>
    <x v="0"/>
    <x v="3"/>
    <x v="3"/>
    <x v="0"/>
    <x v="0"/>
    <x v="23"/>
    <x v="707"/>
    <x v="6"/>
    <x v="0"/>
  </r>
  <r>
    <x v="25"/>
    <x v="238"/>
    <x v="4"/>
    <x v="492"/>
    <x v="200"/>
    <x v="0"/>
    <x v="3"/>
    <x v="0"/>
    <x v="1"/>
    <x v="0"/>
    <x v="25"/>
    <x v="708"/>
    <x v="7"/>
    <x v="1"/>
  </r>
  <r>
    <x v="30"/>
    <x v="202"/>
    <x v="16"/>
    <x v="493"/>
    <x v="172"/>
    <x v="0"/>
    <x v="3"/>
    <x v="0"/>
    <x v="1"/>
    <x v="0"/>
    <x v="30"/>
    <x v="709"/>
    <x v="11"/>
    <x v="1"/>
  </r>
  <r>
    <x v="23"/>
    <x v="203"/>
    <x v="25"/>
    <x v="226"/>
    <x v="173"/>
    <x v="0"/>
    <x v="3"/>
    <x v="1"/>
    <x v="1"/>
    <x v="0"/>
    <x v="23"/>
    <x v="710"/>
    <x v="8"/>
    <x v="1"/>
  </r>
  <r>
    <x v="83"/>
    <x v="254"/>
    <x v="9"/>
    <x v="494"/>
    <x v="214"/>
    <x v="0"/>
    <x v="3"/>
    <x v="1"/>
    <x v="1"/>
    <x v="0"/>
    <x v="83"/>
    <x v="711"/>
    <x v="9"/>
    <x v="1"/>
  </r>
  <r>
    <x v="36"/>
    <x v="41"/>
    <x v="3"/>
    <x v="495"/>
    <x v="41"/>
    <x v="0"/>
    <x v="3"/>
    <x v="2"/>
    <x v="1"/>
    <x v="0"/>
    <x v="36"/>
    <x v="712"/>
    <x v="3"/>
    <x v="1"/>
  </r>
  <r>
    <x v="7"/>
    <x v="205"/>
    <x v="3"/>
    <x v="493"/>
    <x v="175"/>
    <x v="0"/>
    <x v="3"/>
    <x v="2"/>
    <x v="1"/>
    <x v="0"/>
    <x v="7"/>
    <x v="713"/>
    <x v="10"/>
    <x v="1"/>
  </r>
  <r>
    <x v="38"/>
    <x v="43"/>
    <x v="27"/>
    <x v="496"/>
    <x v="43"/>
    <x v="0"/>
    <x v="3"/>
    <x v="3"/>
    <x v="1"/>
    <x v="0"/>
    <x v="38"/>
    <x v="714"/>
    <x v="4"/>
    <x v="1"/>
  </r>
  <r>
    <x v="39"/>
    <x v="44"/>
    <x v="10"/>
    <x v="497"/>
    <x v="44"/>
    <x v="0"/>
    <x v="3"/>
    <x v="3"/>
    <x v="1"/>
    <x v="0"/>
    <x v="39"/>
    <x v="715"/>
    <x v="4"/>
    <x v="1"/>
  </r>
  <r>
    <x v="40"/>
    <x v="45"/>
    <x v="0"/>
    <x v="4"/>
    <x v="45"/>
    <x v="0"/>
    <x v="3"/>
    <x v="3"/>
    <x v="1"/>
    <x v="1"/>
    <x v="40"/>
    <x v="32"/>
    <x v="5"/>
    <x v="1"/>
  </r>
  <r>
    <x v="77"/>
    <x v="206"/>
    <x v="18"/>
    <x v="498"/>
    <x v="159"/>
    <x v="0"/>
    <x v="3"/>
    <x v="3"/>
    <x v="1"/>
    <x v="0"/>
    <x v="77"/>
    <x v="716"/>
    <x v="5"/>
    <x v="1"/>
  </r>
  <r>
    <x v="46"/>
    <x v="287"/>
    <x v="30"/>
    <x v="485"/>
    <x v="201"/>
    <x v="0"/>
    <x v="3"/>
    <x v="3"/>
    <x v="1"/>
    <x v="0"/>
    <x v="46"/>
    <x v="717"/>
    <x v="5"/>
    <x v="1"/>
  </r>
  <r>
    <x v="2"/>
    <x v="188"/>
    <x v="18"/>
    <x v="499"/>
    <x v="160"/>
    <x v="0"/>
    <x v="3"/>
    <x v="3"/>
    <x v="1"/>
    <x v="0"/>
    <x v="2"/>
    <x v="718"/>
    <x v="6"/>
    <x v="1"/>
  </r>
  <r>
    <x v="3"/>
    <x v="219"/>
    <x v="11"/>
    <x v="500"/>
    <x v="183"/>
    <x v="5"/>
    <x v="3"/>
    <x v="0"/>
    <x v="2"/>
    <x v="0"/>
    <x v="3"/>
    <x v="719"/>
    <x v="7"/>
    <x v="2"/>
  </r>
  <r>
    <x v="23"/>
    <x v="208"/>
    <x v="26"/>
    <x v="284"/>
    <x v="176"/>
    <x v="0"/>
    <x v="3"/>
    <x v="0"/>
    <x v="2"/>
    <x v="0"/>
    <x v="23"/>
    <x v="720"/>
    <x v="0"/>
    <x v="2"/>
  </r>
  <r>
    <x v="42"/>
    <x v="51"/>
    <x v="16"/>
    <x v="4"/>
    <x v="51"/>
    <x v="0"/>
    <x v="3"/>
    <x v="0"/>
    <x v="2"/>
    <x v="1"/>
    <x v="42"/>
    <x v="21"/>
    <x v="11"/>
    <x v="2"/>
  </r>
  <r>
    <x v="39"/>
    <x v="255"/>
    <x v="23"/>
    <x v="494"/>
    <x v="202"/>
    <x v="2"/>
    <x v="3"/>
    <x v="1"/>
    <x v="2"/>
    <x v="0"/>
    <x v="39"/>
    <x v="721"/>
    <x v="1"/>
    <x v="2"/>
  </r>
  <r>
    <x v="62"/>
    <x v="90"/>
    <x v="15"/>
    <x v="4"/>
    <x v="89"/>
    <x v="0"/>
    <x v="2"/>
    <x v="1"/>
    <x v="0"/>
    <x v="0"/>
    <x v="62"/>
    <x v="27"/>
    <x v="8"/>
    <x v="0"/>
  </r>
  <r>
    <x v="25"/>
    <x v="28"/>
    <x v="26"/>
    <x v="4"/>
    <x v="28"/>
    <x v="0"/>
    <x v="2"/>
    <x v="1"/>
    <x v="0"/>
    <x v="1"/>
    <x v="25"/>
    <x v="36"/>
    <x v="1"/>
    <x v="0"/>
  </r>
  <r>
    <x v="5"/>
    <x v="29"/>
    <x v="20"/>
    <x v="4"/>
    <x v="29"/>
    <x v="0"/>
    <x v="2"/>
    <x v="2"/>
    <x v="0"/>
    <x v="1"/>
    <x v="5"/>
    <x v="28"/>
    <x v="2"/>
    <x v="0"/>
  </r>
  <r>
    <x v="60"/>
    <x v="164"/>
    <x v="13"/>
    <x v="4"/>
    <x v="145"/>
    <x v="0"/>
    <x v="2"/>
    <x v="2"/>
    <x v="0"/>
    <x v="1"/>
    <x v="60"/>
    <x v="17"/>
    <x v="10"/>
    <x v="0"/>
  </r>
  <r>
    <x v="26"/>
    <x v="127"/>
    <x v="22"/>
    <x v="4"/>
    <x v="121"/>
    <x v="0"/>
    <x v="2"/>
    <x v="3"/>
    <x v="0"/>
    <x v="1"/>
    <x v="26"/>
    <x v="30"/>
    <x v="4"/>
    <x v="0"/>
  </r>
  <r>
    <x v="49"/>
    <x v="92"/>
    <x v="11"/>
    <x v="4"/>
    <x v="32"/>
    <x v="0"/>
    <x v="2"/>
    <x v="3"/>
    <x v="0"/>
    <x v="0"/>
    <x v="49"/>
    <x v="12"/>
    <x v="5"/>
    <x v="0"/>
  </r>
  <r>
    <x v="81"/>
    <x v="165"/>
    <x v="16"/>
    <x v="4"/>
    <x v="69"/>
    <x v="0"/>
    <x v="2"/>
    <x v="3"/>
    <x v="0"/>
    <x v="1"/>
    <x v="81"/>
    <x v="21"/>
    <x v="5"/>
    <x v="0"/>
  </r>
  <r>
    <x v="30"/>
    <x v="34"/>
    <x v="4"/>
    <x v="4"/>
    <x v="34"/>
    <x v="0"/>
    <x v="2"/>
    <x v="3"/>
    <x v="0"/>
    <x v="1"/>
    <x v="30"/>
    <x v="4"/>
    <x v="5"/>
    <x v="0"/>
  </r>
  <r>
    <x v="64"/>
    <x v="93"/>
    <x v="12"/>
    <x v="4"/>
    <x v="91"/>
    <x v="0"/>
    <x v="2"/>
    <x v="3"/>
    <x v="0"/>
    <x v="1"/>
    <x v="64"/>
    <x v="46"/>
    <x v="6"/>
    <x v="0"/>
  </r>
  <r>
    <x v="65"/>
    <x v="94"/>
    <x v="11"/>
    <x v="4"/>
    <x v="92"/>
    <x v="0"/>
    <x v="2"/>
    <x v="0"/>
    <x v="1"/>
    <x v="1"/>
    <x v="65"/>
    <x v="12"/>
    <x v="0"/>
    <x v="1"/>
  </r>
  <r>
    <x v="39"/>
    <x v="95"/>
    <x v="7"/>
    <x v="4"/>
    <x v="93"/>
    <x v="0"/>
    <x v="2"/>
    <x v="0"/>
    <x v="1"/>
    <x v="1"/>
    <x v="39"/>
    <x v="7"/>
    <x v="11"/>
    <x v="1"/>
  </r>
  <r>
    <x v="23"/>
    <x v="168"/>
    <x v="6"/>
    <x v="4"/>
    <x v="125"/>
    <x v="0"/>
    <x v="2"/>
    <x v="1"/>
    <x v="1"/>
    <x v="1"/>
    <x v="23"/>
    <x v="24"/>
    <x v="1"/>
    <x v="1"/>
  </r>
  <r>
    <x v="65"/>
    <x v="96"/>
    <x v="20"/>
    <x v="4"/>
    <x v="39"/>
    <x v="0"/>
    <x v="2"/>
    <x v="1"/>
    <x v="1"/>
    <x v="1"/>
    <x v="65"/>
    <x v="28"/>
    <x v="9"/>
    <x v="1"/>
  </r>
  <r>
    <x v="39"/>
    <x v="169"/>
    <x v="30"/>
    <x v="4"/>
    <x v="126"/>
    <x v="0"/>
    <x v="2"/>
    <x v="2"/>
    <x v="1"/>
    <x v="1"/>
    <x v="39"/>
    <x v="49"/>
    <x v="2"/>
    <x v="1"/>
  </r>
  <r>
    <x v="15"/>
    <x v="98"/>
    <x v="16"/>
    <x v="4"/>
    <x v="95"/>
    <x v="0"/>
    <x v="2"/>
    <x v="3"/>
    <x v="1"/>
    <x v="1"/>
    <x v="15"/>
    <x v="21"/>
    <x v="4"/>
    <x v="1"/>
  </r>
  <r>
    <x v="31"/>
    <x v="99"/>
    <x v="13"/>
    <x v="4"/>
    <x v="96"/>
    <x v="0"/>
    <x v="2"/>
    <x v="3"/>
    <x v="1"/>
    <x v="1"/>
    <x v="31"/>
    <x v="17"/>
    <x v="4"/>
    <x v="1"/>
  </r>
  <r>
    <x v="11"/>
    <x v="152"/>
    <x v="28"/>
    <x v="4"/>
    <x v="80"/>
    <x v="0"/>
    <x v="2"/>
    <x v="3"/>
    <x v="1"/>
    <x v="1"/>
    <x v="11"/>
    <x v="47"/>
    <x v="5"/>
    <x v="1"/>
  </r>
  <r>
    <x v="24"/>
    <x v="100"/>
    <x v="13"/>
    <x v="4"/>
    <x v="97"/>
    <x v="4"/>
    <x v="2"/>
    <x v="3"/>
    <x v="1"/>
    <x v="1"/>
    <x v="24"/>
    <x v="17"/>
    <x v="5"/>
    <x v="1"/>
  </r>
  <r>
    <x v="25"/>
    <x v="141"/>
    <x v="9"/>
    <x v="4"/>
    <x v="79"/>
    <x v="0"/>
    <x v="2"/>
    <x v="3"/>
    <x v="1"/>
    <x v="1"/>
    <x v="25"/>
    <x v="10"/>
    <x v="5"/>
    <x v="1"/>
  </r>
  <r>
    <x v="23"/>
    <x v="153"/>
    <x v="2"/>
    <x v="4"/>
    <x v="48"/>
    <x v="0"/>
    <x v="2"/>
    <x v="3"/>
    <x v="1"/>
    <x v="1"/>
    <x v="23"/>
    <x v="9"/>
    <x v="6"/>
    <x v="1"/>
  </r>
  <r>
    <x v="39"/>
    <x v="142"/>
    <x v="14"/>
    <x v="4"/>
    <x v="129"/>
    <x v="0"/>
    <x v="2"/>
    <x v="0"/>
    <x v="2"/>
    <x v="1"/>
    <x v="39"/>
    <x v="41"/>
    <x v="7"/>
    <x v="2"/>
  </r>
  <r>
    <x v="39"/>
    <x v="143"/>
    <x v="14"/>
    <x v="4"/>
    <x v="50"/>
    <x v="0"/>
    <x v="2"/>
    <x v="0"/>
    <x v="2"/>
    <x v="0"/>
    <x v="39"/>
    <x v="41"/>
    <x v="0"/>
    <x v="2"/>
  </r>
  <r>
    <x v="23"/>
    <x v="171"/>
    <x v="50"/>
    <x v="4"/>
    <x v="147"/>
    <x v="0"/>
    <x v="2"/>
    <x v="1"/>
    <x v="2"/>
    <x v="2"/>
    <x v="23"/>
    <x v="722"/>
    <x v="1"/>
    <x v="2"/>
  </r>
  <r>
    <x v="14"/>
    <x v="102"/>
    <x v="4"/>
    <x v="4"/>
    <x v="53"/>
    <x v="2"/>
    <x v="2"/>
    <x v="1"/>
    <x v="2"/>
    <x v="1"/>
    <x v="14"/>
    <x v="4"/>
    <x v="1"/>
    <x v="2"/>
  </r>
  <r>
    <x v="66"/>
    <x v="103"/>
    <x v="21"/>
    <x v="501"/>
    <x v="98"/>
    <x v="0"/>
    <x v="0"/>
    <x v="0"/>
    <x v="0"/>
    <x v="0"/>
    <x v="66"/>
    <x v="723"/>
    <x v="11"/>
    <x v="0"/>
  </r>
  <r>
    <x v="1"/>
    <x v="1"/>
    <x v="22"/>
    <x v="189"/>
    <x v="1"/>
    <x v="0"/>
    <x v="0"/>
    <x v="1"/>
    <x v="0"/>
    <x v="0"/>
    <x v="1"/>
    <x v="724"/>
    <x v="1"/>
    <x v="0"/>
  </r>
  <r>
    <x v="39"/>
    <x v="105"/>
    <x v="6"/>
    <x v="502"/>
    <x v="100"/>
    <x v="0"/>
    <x v="0"/>
    <x v="2"/>
    <x v="0"/>
    <x v="0"/>
    <x v="39"/>
    <x v="725"/>
    <x v="2"/>
    <x v="0"/>
  </r>
  <r>
    <x v="3"/>
    <x v="3"/>
    <x v="26"/>
    <x v="503"/>
    <x v="3"/>
    <x v="0"/>
    <x v="0"/>
    <x v="2"/>
    <x v="0"/>
    <x v="0"/>
    <x v="3"/>
    <x v="726"/>
    <x v="3"/>
    <x v="0"/>
  </r>
  <r>
    <x v="4"/>
    <x v="4"/>
    <x v="26"/>
    <x v="504"/>
    <x v="4"/>
    <x v="0"/>
    <x v="0"/>
    <x v="3"/>
    <x v="0"/>
    <x v="0"/>
    <x v="4"/>
    <x v="727"/>
    <x v="4"/>
    <x v="0"/>
  </r>
  <r>
    <x v="42"/>
    <x v="107"/>
    <x v="19"/>
    <x v="505"/>
    <x v="102"/>
    <x v="0"/>
    <x v="0"/>
    <x v="3"/>
    <x v="0"/>
    <x v="0"/>
    <x v="42"/>
    <x v="728"/>
    <x v="5"/>
    <x v="0"/>
  </r>
  <r>
    <x v="6"/>
    <x v="6"/>
    <x v="21"/>
    <x v="506"/>
    <x v="6"/>
    <x v="0"/>
    <x v="0"/>
    <x v="3"/>
    <x v="0"/>
    <x v="0"/>
    <x v="6"/>
    <x v="729"/>
    <x v="5"/>
    <x v="0"/>
  </r>
  <r>
    <x v="23"/>
    <x v="288"/>
    <x v="13"/>
    <x v="507"/>
    <x v="240"/>
    <x v="0"/>
    <x v="0"/>
    <x v="3"/>
    <x v="0"/>
    <x v="1"/>
    <x v="23"/>
    <x v="730"/>
    <x v="5"/>
    <x v="0"/>
  </r>
  <r>
    <x v="9"/>
    <x v="9"/>
    <x v="15"/>
    <x v="508"/>
    <x v="9"/>
    <x v="0"/>
    <x v="0"/>
    <x v="0"/>
    <x v="1"/>
    <x v="0"/>
    <x v="9"/>
    <x v="731"/>
    <x v="7"/>
    <x v="1"/>
  </r>
  <r>
    <x v="6"/>
    <x v="148"/>
    <x v="9"/>
    <x v="504"/>
    <x v="133"/>
    <x v="0"/>
    <x v="0"/>
    <x v="0"/>
    <x v="1"/>
    <x v="0"/>
    <x v="6"/>
    <x v="732"/>
    <x v="0"/>
    <x v="1"/>
  </r>
  <r>
    <x v="11"/>
    <x v="11"/>
    <x v="18"/>
    <x v="27"/>
    <x v="11"/>
    <x v="0"/>
    <x v="0"/>
    <x v="1"/>
    <x v="1"/>
    <x v="0"/>
    <x v="11"/>
    <x v="733"/>
    <x v="8"/>
    <x v="1"/>
  </r>
  <r>
    <x v="9"/>
    <x v="268"/>
    <x v="20"/>
    <x v="509"/>
    <x v="224"/>
    <x v="0"/>
    <x v="0"/>
    <x v="1"/>
    <x v="1"/>
    <x v="1"/>
    <x v="9"/>
    <x v="734"/>
    <x v="1"/>
    <x v="1"/>
  </r>
  <r>
    <x v="58"/>
    <x v="275"/>
    <x v="9"/>
    <x v="510"/>
    <x v="230"/>
    <x v="0"/>
    <x v="0"/>
    <x v="1"/>
    <x v="1"/>
    <x v="0"/>
    <x v="58"/>
    <x v="735"/>
    <x v="9"/>
    <x v="1"/>
  </r>
  <r>
    <x v="71"/>
    <x v="115"/>
    <x v="12"/>
    <x v="511"/>
    <x v="110"/>
    <x v="0"/>
    <x v="0"/>
    <x v="2"/>
    <x v="1"/>
    <x v="1"/>
    <x v="71"/>
    <x v="736"/>
    <x v="3"/>
    <x v="1"/>
  </r>
  <r>
    <x v="15"/>
    <x v="15"/>
    <x v="19"/>
    <x v="512"/>
    <x v="15"/>
    <x v="0"/>
    <x v="0"/>
    <x v="2"/>
    <x v="1"/>
    <x v="0"/>
    <x v="15"/>
    <x v="737"/>
    <x v="3"/>
    <x v="1"/>
  </r>
  <r>
    <x v="16"/>
    <x v="16"/>
    <x v="29"/>
    <x v="513"/>
    <x v="16"/>
    <x v="0"/>
    <x v="0"/>
    <x v="2"/>
    <x v="1"/>
    <x v="0"/>
    <x v="16"/>
    <x v="738"/>
    <x v="10"/>
    <x v="1"/>
  </r>
  <r>
    <x v="17"/>
    <x v="17"/>
    <x v="16"/>
    <x v="514"/>
    <x v="17"/>
    <x v="0"/>
    <x v="0"/>
    <x v="3"/>
    <x v="1"/>
    <x v="0"/>
    <x v="17"/>
    <x v="739"/>
    <x v="4"/>
    <x v="1"/>
  </r>
  <r>
    <x v="79"/>
    <x v="149"/>
    <x v="28"/>
    <x v="515"/>
    <x v="114"/>
    <x v="0"/>
    <x v="0"/>
    <x v="3"/>
    <x v="1"/>
    <x v="0"/>
    <x v="79"/>
    <x v="740"/>
    <x v="5"/>
    <x v="1"/>
  </r>
  <r>
    <x v="66"/>
    <x v="272"/>
    <x v="13"/>
    <x v="516"/>
    <x v="227"/>
    <x v="0"/>
    <x v="0"/>
    <x v="3"/>
    <x v="1"/>
    <x v="1"/>
    <x v="66"/>
    <x v="741"/>
    <x v="5"/>
    <x v="1"/>
  </r>
  <r>
    <x v="19"/>
    <x v="20"/>
    <x v="22"/>
    <x v="4"/>
    <x v="20"/>
    <x v="0"/>
    <x v="0"/>
    <x v="3"/>
    <x v="1"/>
    <x v="1"/>
    <x v="19"/>
    <x v="30"/>
    <x v="5"/>
    <x v="1"/>
  </r>
  <r>
    <x v="23"/>
    <x v="273"/>
    <x v="2"/>
    <x v="517"/>
    <x v="228"/>
    <x v="0"/>
    <x v="0"/>
    <x v="3"/>
    <x v="1"/>
    <x v="0"/>
    <x v="23"/>
    <x v="742"/>
    <x v="6"/>
    <x v="1"/>
  </r>
  <r>
    <x v="73"/>
    <x v="120"/>
    <x v="30"/>
    <x v="518"/>
    <x v="115"/>
    <x v="0"/>
    <x v="0"/>
    <x v="0"/>
    <x v="2"/>
    <x v="0"/>
    <x v="73"/>
    <x v="743"/>
    <x v="7"/>
    <x v="2"/>
  </r>
  <r>
    <x v="14"/>
    <x v="22"/>
    <x v="14"/>
    <x v="4"/>
    <x v="22"/>
    <x v="0"/>
    <x v="0"/>
    <x v="0"/>
    <x v="2"/>
    <x v="0"/>
    <x v="14"/>
    <x v="41"/>
    <x v="0"/>
    <x v="2"/>
  </r>
  <r>
    <x v="39"/>
    <x v="190"/>
    <x v="21"/>
    <x v="519"/>
    <x v="162"/>
    <x v="0"/>
    <x v="0"/>
    <x v="0"/>
    <x v="2"/>
    <x v="0"/>
    <x v="39"/>
    <x v="744"/>
    <x v="11"/>
    <x v="2"/>
  </r>
  <r>
    <x v="22"/>
    <x v="24"/>
    <x v="26"/>
    <x v="27"/>
    <x v="24"/>
    <x v="0"/>
    <x v="0"/>
    <x v="1"/>
    <x v="2"/>
    <x v="0"/>
    <x v="22"/>
    <x v="745"/>
    <x v="8"/>
    <x v="2"/>
  </r>
  <r>
    <x v="77"/>
    <x v="210"/>
    <x v="30"/>
    <x v="520"/>
    <x v="178"/>
    <x v="0"/>
    <x v="1"/>
    <x v="0"/>
    <x v="0"/>
    <x v="1"/>
    <x v="77"/>
    <x v="746"/>
    <x v="11"/>
    <x v="0"/>
  </r>
  <r>
    <x v="84"/>
    <x v="237"/>
    <x v="22"/>
    <x v="387"/>
    <x v="166"/>
    <x v="0"/>
    <x v="1"/>
    <x v="1"/>
    <x v="0"/>
    <x v="0"/>
    <x v="84"/>
    <x v="747"/>
    <x v="1"/>
    <x v="0"/>
  </r>
  <r>
    <x v="42"/>
    <x v="179"/>
    <x v="15"/>
    <x v="521"/>
    <x v="153"/>
    <x v="0"/>
    <x v="1"/>
    <x v="2"/>
    <x v="0"/>
    <x v="0"/>
    <x v="42"/>
    <x v="748"/>
    <x v="10"/>
    <x v="0"/>
  </r>
  <r>
    <x v="78"/>
    <x v="180"/>
    <x v="14"/>
    <x v="4"/>
    <x v="154"/>
    <x v="0"/>
    <x v="1"/>
    <x v="3"/>
    <x v="0"/>
    <x v="0"/>
    <x v="78"/>
    <x v="41"/>
    <x v="4"/>
    <x v="0"/>
  </r>
  <r>
    <x v="13"/>
    <x v="213"/>
    <x v="8"/>
    <x v="522"/>
    <x v="155"/>
    <x v="0"/>
    <x v="1"/>
    <x v="3"/>
    <x v="0"/>
    <x v="0"/>
    <x v="13"/>
    <x v="749"/>
    <x v="5"/>
    <x v="0"/>
  </r>
  <r>
    <x v="39"/>
    <x v="199"/>
    <x v="5"/>
    <x v="521"/>
    <x v="103"/>
    <x v="0"/>
    <x v="1"/>
    <x v="3"/>
    <x v="0"/>
    <x v="0"/>
    <x v="39"/>
    <x v="750"/>
    <x v="5"/>
    <x v="0"/>
  </r>
  <r>
    <x v="40"/>
    <x v="172"/>
    <x v="12"/>
    <x v="523"/>
    <x v="104"/>
    <x v="0"/>
    <x v="1"/>
    <x v="3"/>
    <x v="0"/>
    <x v="1"/>
    <x v="40"/>
    <x v="751"/>
    <x v="5"/>
    <x v="0"/>
  </r>
  <r>
    <x v="74"/>
    <x v="182"/>
    <x v="20"/>
    <x v="524"/>
    <x v="105"/>
    <x v="0"/>
    <x v="1"/>
    <x v="3"/>
    <x v="0"/>
    <x v="1"/>
    <x v="74"/>
    <x v="752"/>
    <x v="6"/>
    <x v="0"/>
  </r>
  <r>
    <x v="23"/>
    <x v="157"/>
    <x v="3"/>
    <x v="223"/>
    <x v="138"/>
    <x v="0"/>
    <x v="1"/>
    <x v="0"/>
    <x v="1"/>
    <x v="1"/>
    <x v="23"/>
    <x v="753"/>
    <x v="7"/>
    <x v="1"/>
  </r>
  <r>
    <x v="30"/>
    <x v="202"/>
    <x v="20"/>
    <x v="223"/>
    <x v="172"/>
    <x v="0"/>
    <x v="1"/>
    <x v="0"/>
    <x v="1"/>
    <x v="1"/>
    <x v="30"/>
    <x v="754"/>
    <x v="11"/>
    <x v="1"/>
  </r>
  <r>
    <x v="83"/>
    <x v="215"/>
    <x v="20"/>
    <x v="525"/>
    <x v="156"/>
    <x v="0"/>
    <x v="1"/>
    <x v="1"/>
    <x v="1"/>
    <x v="1"/>
    <x v="83"/>
    <x v="755"/>
    <x v="8"/>
    <x v="1"/>
  </r>
  <r>
    <x v="74"/>
    <x v="283"/>
    <x v="19"/>
    <x v="526"/>
    <x v="238"/>
    <x v="0"/>
    <x v="1"/>
    <x v="2"/>
    <x v="1"/>
    <x v="1"/>
    <x v="74"/>
    <x v="756"/>
    <x v="2"/>
    <x v="1"/>
  </r>
  <r>
    <x v="23"/>
    <x v="284"/>
    <x v="4"/>
    <x v="527"/>
    <x v="239"/>
    <x v="0"/>
    <x v="1"/>
    <x v="2"/>
    <x v="1"/>
    <x v="1"/>
    <x v="23"/>
    <x v="757"/>
    <x v="3"/>
    <x v="1"/>
  </r>
  <r>
    <x v="65"/>
    <x v="216"/>
    <x v="21"/>
    <x v="528"/>
    <x v="182"/>
    <x v="0"/>
    <x v="1"/>
    <x v="2"/>
    <x v="1"/>
    <x v="0"/>
    <x v="65"/>
    <x v="758"/>
    <x v="10"/>
    <x v="1"/>
  </r>
  <r>
    <x v="22"/>
    <x v="239"/>
    <x v="4"/>
    <x v="4"/>
    <x v="66"/>
    <x v="0"/>
    <x v="1"/>
    <x v="3"/>
    <x v="0"/>
    <x v="1"/>
    <x v="22"/>
    <x v="4"/>
    <x v="4"/>
    <x v="0"/>
  </r>
  <r>
    <x v="23"/>
    <x v="217"/>
    <x v="11"/>
    <x v="529"/>
    <x v="113"/>
    <x v="0"/>
    <x v="1"/>
    <x v="3"/>
    <x v="1"/>
    <x v="0"/>
    <x v="23"/>
    <x v="759"/>
    <x v="4"/>
    <x v="1"/>
  </r>
  <r>
    <x v="21"/>
    <x v="175"/>
    <x v="0"/>
    <x v="387"/>
    <x v="45"/>
    <x v="0"/>
    <x v="1"/>
    <x v="3"/>
    <x v="1"/>
    <x v="0"/>
    <x v="21"/>
    <x v="760"/>
    <x v="5"/>
    <x v="1"/>
  </r>
  <r>
    <x v="77"/>
    <x v="206"/>
    <x v="25"/>
    <x v="530"/>
    <x v="159"/>
    <x v="0"/>
    <x v="1"/>
    <x v="3"/>
    <x v="1"/>
    <x v="1"/>
    <x v="77"/>
    <x v="761"/>
    <x v="5"/>
    <x v="1"/>
  </r>
  <r>
    <x v="84"/>
    <x v="207"/>
    <x v="32"/>
    <x v="4"/>
    <x v="47"/>
    <x v="0"/>
    <x v="1"/>
    <x v="3"/>
    <x v="1"/>
    <x v="0"/>
    <x v="84"/>
    <x v="53"/>
    <x v="5"/>
    <x v="1"/>
  </r>
  <r>
    <x v="39"/>
    <x v="289"/>
    <x v="23"/>
    <x v="4"/>
    <x v="241"/>
    <x v="0"/>
    <x v="1"/>
    <x v="0"/>
    <x v="2"/>
    <x v="1"/>
    <x v="39"/>
    <x v="31"/>
    <x v="7"/>
    <x v="2"/>
  </r>
  <r>
    <x v="23"/>
    <x v="208"/>
    <x v="5"/>
    <x v="531"/>
    <x v="176"/>
    <x v="0"/>
    <x v="1"/>
    <x v="0"/>
    <x v="2"/>
    <x v="0"/>
    <x v="23"/>
    <x v="762"/>
    <x v="0"/>
    <x v="2"/>
  </r>
  <r>
    <x v="61"/>
    <x v="221"/>
    <x v="43"/>
    <x v="525"/>
    <x v="185"/>
    <x v="4"/>
    <x v="1"/>
    <x v="1"/>
    <x v="2"/>
    <x v="2"/>
    <x v="61"/>
    <x v="763"/>
    <x v="8"/>
    <x v="2"/>
  </r>
  <r>
    <x v="20"/>
    <x v="242"/>
    <x v="25"/>
    <x v="4"/>
    <x v="202"/>
    <x v="2"/>
    <x v="1"/>
    <x v="1"/>
    <x v="2"/>
    <x v="1"/>
    <x v="20"/>
    <x v="44"/>
    <x v="1"/>
    <x v="2"/>
  </r>
  <r>
    <x v="23"/>
    <x v="150"/>
    <x v="27"/>
    <x v="532"/>
    <x v="134"/>
    <x v="0"/>
    <x v="1"/>
    <x v="0"/>
    <x v="0"/>
    <x v="0"/>
    <x v="23"/>
    <x v="162"/>
    <x v="7"/>
    <x v="0"/>
  </r>
  <r>
    <x v="62"/>
    <x v="90"/>
    <x v="16"/>
    <x v="533"/>
    <x v="89"/>
    <x v="0"/>
    <x v="1"/>
    <x v="1"/>
    <x v="0"/>
    <x v="0"/>
    <x v="62"/>
    <x v="764"/>
    <x v="8"/>
    <x v="0"/>
  </r>
  <r>
    <x v="74"/>
    <x v="124"/>
    <x v="25"/>
    <x v="534"/>
    <x v="118"/>
    <x v="0"/>
    <x v="1"/>
    <x v="1"/>
    <x v="0"/>
    <x v="0"/>
    <x v="74"/>
    <x v="765"/>
    <x v="9"/>
    <x v="0"/>
  </r>
  <r>
    <x v="73"/>
    <x v="163"/>
    <x v="15"/>
    <x v="535"/>
    <x v="144"/>
    <x v="0"/>
    <x v="1"/>
    <x v="2"/>
    <x v="0"/>
    <x v="0"/>
    <x v="73"/>
    <x v="766"/>
    <x v="3"/>
    <x v="0"/>
  </r>
  <r>
    <x v="60"/>
    <x v="164"/>
    <x v="0"/>
    <x v="536"/>
    <x v="145"/>
    <x v="0"/>
    <x v="1"/>
    <x v="2"/>
    <x v="0"/>
    <x v="0"/>
    <x v="60"/>
    <x v="767"/>
    <x v="10"/>
    <x v="0"/>
  </r>
  <r>
    <x v="26"/>
    <x v="127"/>
    <x v="26"/>
    <x v="537"/>
    <x v="121"/>
    <x v="0"/>
    <x v="1"/>
    <x v="3"/>
    <x v="0"/>
    <x v="0"/>
    <x v="26"/>
    <x v="768"/>
    <x v="4"/>
    <x v="0"/>
  </r>
  <r>
    <x v="49"/>
    <x v="92"/>
    <x v="9"/>
    <x v="538"/>
    <x v="32"/>
    <x v="0"/>
    <x v="1"/>
    <x v="3"/>
    <x v="0"/>
    <x v="0"/>
    <x v="49"/>
    <x v="769"/>
    <x v="5"/>
    <x v="0"/>
  </r>
  <r>
    <x v="81"/>
    <x v="165"/>
    <x v="13"/>
    <x v="537"/>
    <x v="69"/>
    <x v="0"/>
    <x v="1"/>
    <x v="3"/>
    <x v="0"/>
    <x v="0"/>
    <x v="81"/>
    <x v="770"/>
    <x v="5"/>
    <x v="0"/>
  </r>
  <r>
    <x v="47"/>
    <x v="166"/>
    <x v="22"/>
    <x v="539"/>
    <x v="34"/>
    <x v="0"/>
    <x v="1"/>
    <x v="3"/>
    <x v="0"/>
    <x v="0"/>
    <x v="47"/>
    <x v="771"/>
    <x v="5"/>
    <x v="0"/>
  </r>
  <r>
    <x v="64"/>
    <x v="93"/>
    <x v="13"/>
    <x v="540"/>
    <x v="91"/>
    <x v="0"/>
    <x v="1"/>
    <x v="3"/>
    <x v="0"/>
    <x v="0"/>
    <x v="64"/>
    <x v="772"/>
    <x v="6"/>
    <x v="0"/>
  </r>
  <r>
    <x v="82"/>
    <x v="167"/>
    <x v="15"/>
    <x v="536"/>
    <x v="146"/>
    <x v="0"/>
    <x v="1"/>
    <x v="0"/>
    <x v="1"/>
    <x v="0"/>
    <x v="82"/>
    <x v="773"/>
    <x v="0"/>
    <x v="1"/>
  </r>
  <r>
    <x v="39"/>
    <x v="95"/>
    <x v="29"/>
    <x v="541"/>
    <x v="93"/>
    <x v="0"/>
    <x v="1"/>
    <x v="0"/>
    <x v="1"/>
    <x v="0"/>
    <x v="39"/>
    <x v="774"/>
    <x v="11"/>
    <x v="1"/>
  </r>
  <r>
    <x v="23"/>
    <x v="168"/>
    <x v="4"/>
    <x v="542"/>
    <x v="125"/>
    <x v="0"/>
    <x v="1"/>
    <x v="1"/>
    <x v="1"/>
    <x v="0"/>
    <x v="23"/>
    <x v="775"/>
    <x v="1"/>
    <x v="1"/>
  </r>
  <r>
    <x v="65"/>
    <x v="96"/>
    <x v="28"/>
    <x v="543"/>
    <x v="39"/>
    <x v="0"/>
    <x v="1"/>
    <x v="1"/>
    <x v="1"/>
    <x v="0"/>
    <x v="65"/>
    <x v="776"/>
    <x v="9"/>
    <x v="1"/>
  </r>
  <r>
    <x v="39"/>
    <x v="169"/>
    <x v="19"/>
    <x v="544"/>
    <x v="126"/>
    <x v="0"/>
    <x v="1"/>
    <x v="2"/>
    <x v="1"/>
    <x v="0"/>
    <x v="39"/>
    <x v="777"/>
    <x v="2"/>
    <x v="1"/>
  </r>
  <r>
    <x v="18"/>
    <x v="97"/>
    <x v="14"/>
    <x v="545"/>
    <x v="94"/>
    <x v="0"/>
    <x v="1"/>
    <x v="2"/>
    <x v="1"/>
    <x v="0"/>
    <x v="18"/>
    <x v="778"/>
    <x v="3"/>
    <x v="1"/>
  </r>
  <r>
    <x v="0"/>
    <x v="170"/>
    <x v="25"/>
    <x v="533"/>
    <x v="42"/>
    <x v="0"/>
    <x v="1"/>
    <x v="2"/>
    <x v="1"/>
    <x v="0"/>
    <x v="0"/>
    <x v="779"/>
    <x v="10"/>
    <x v="1"/>
  </r>
  <r>
    <x v="15"/>
    <x v="98"/>
    <x v="7"/>
    <x v="546"/>
    <x v="95"/>
    <x v="0"/>
    <x v="1"/>
    <x v="3"/>
    <x v="1"/>
    <x v="0"/>
    <x v="15"/>
    <x v="780"/>
    <x v="4"/>
    <x v="1"/>
  </r>
  <r>
    <x v="78"/>
    <x v="139"/>
    <x v="25"/>
    <x v="547"/>
    <x v="96"/>
    <x v="0"/>
    <x v="1"/>
    <x v="3"/>
    <x v="1"/>
    <x v="0"/>
    <x v="78"/>
    <x v="781"/>
    <x v="4"/>
    <x v="1"/>
  </r>
  <r>
    <x v="11"/>
    <x v="152"/>
    <x v="0"/>
    <x v="4"/>
    <x v="80"/>
    <x v="0"/>
    <x v="1"/>
    <x v="3"/>
    <x v="1"/>
    <x v="1"/>
    <x v="11"/>
    <x v="32"/>
    <x v="5"/>
    <x v="1"/>
  </r>
  <r>
    <x v="39"/>
    <x v="290"/>
    <x v="29"/>
    <x v="547"/>
    <x v="97"/>
    <x v="0"/>
    <x v="1"/>
    <x v="3"/>
    <x v="1"/>
    <x v="0"/>
    <x v="39"/>
    <x v="782"/>
    <x v="5"/>
    <x v="1"/>
  </r>
  <r>
    <x v="74"/>
    <x v="159"/>
    <x v="5"/>
    <x v="547"/>
    <x v="140"/>
    <x v="0"/>
    <x v="1"/>
    <x v="3"/>
    <x v="1"/>
    <x v="0"/>
    <x v="74"/>
    <x v="783"/>
    <x v="6"/>
    <x v="1"/>
  </r>
  <r>
    <x v="23"/>
    <x v="153"/>
    <x v="5"/>
    <x v="548"/>
    <x v="48"/>
    <x v="0"/>
    <x v="1"/>
    <x v="3"/>
    <x v="1"/>
    <x v="0"/>
    <x v="23"/>
    <x v="784"/>
    <x v="6"/>
    <x v="1"/>
  </r>
  <r>
    <x v="39"/>
    <x v="142"/>
    <x v="3"/>
    <x v="4"/>
    <x v="129"/>
    <x v="0"/>
    <x v="1"/>
    <x v="0"/>
    <x v="2"/>
    <x v="1"/>
    <x v="39"/>
    <x v="26"/>
    <x v="7"/>
    <x v="2"/>
  </r>
  <r>
    <x v="23"/>
    <x v="245"/>
    <x v="23"/>
    <x v="4"/>
    <x v="205"/>
    <x v="0"/>
    <x v="1"/>
    <x v="0"/>
    <x v="2"/>
    <x v="1"/>
    <x v="23"/>
    <x v="31"/>
    <x v="0"/>
    <x v="2"/>
  </r>
  <r>
    <x v="23"/>
    <x v="266"/>
    <x v="12"/>
    <x v="549"/>
    <x v="222"/>
    <x v="0"/>
    <x v="1"/>
    <x v="0"/>
    <x v="2"/>
    <x v="0"/>
    <x v="23"/>
    <x v="785"/>
    <x v="11"/>
    <x v="2"/>
  </r>
  <r>
    <x v="23"/>
    <x v="171"/>
    <x v="0"/>
    <x v="542"/>
    <x v="147"/>
    <x v="0"/>
    <x v="1"/>
    <x v="1"/>
    <x v="2"/>
    <x v="0"/>
    <x v="23"/>
    <x v="786"/>
    <x v="1"/>
    <x v="2"/>
  </r>
  <r>
    <x v="14"/>
    <x v="102"/>
    <x v="28"/>
    <x v="543"/>
    <x v="53"/>
    <x v="2"/>
    <x v="1"/>
    <x v="1"/>
    <x v="2"/>
    <x v="0"/>
    <x v="14"/>
    <x v="776"/>
    <x v="1"/>
    <x v="2"/>
  </r>
  <r>
    <x v="86"/>
    <x v="222"/>
    <x v="4"/>
    <x v="550"/>
    <x v="186"/>
    <x v="0"/>
    <x v="4"/>
    <x v="0"/>
    <x v="0"/>
    <x v="1"/>
    <x v="86"/>
    <x v="787"/>
    <x v="0"/>
    <x v="0"/>
  </r>
  <r>
    <x v="19"/>
    <x v="64"/>
    <x v="2"/>
    <x v="551"/>
    <x v="63"/>
    <x v="0"/>
    <x v="4"/>
    <x v="1"/>
    <x v="0"/>
    <x v="0"/>
    <x v="19"/>
    <x v="788"/>
    <x v="8"/>
    <x v="0"/>
  </r>
  <r>
    <x v="88"/>
    <x v="223"/>
    <x v="21"/>
    <x v="318"/>
    <x v="187"/>
    <x v="0"/>
    <x v="4"/>
    <x v="1"/>
    <x v="0"/>
    <x v="0"/>
    <x v="88"/>
    <x v="789"/>
    <x v="9"/>
    <x v="0"/>
  </r>
  <r>
    <x v="50"/>
    <x v="66"/>
    <x v="26"/>
    <x v="552"/>
    <x v="65"/>
    <x v="0"/>
    <x v="4"/>
    <x v="2"/>
    <x v="0"/>
    <x v="0"/>
    <x v="50"/>
    <x v="790"/>
    <x v="3"/>
    <x v="0"/>
  </r>
  <r>
    <x v="16"/>
    <x v="67"/>
    <x v="10"/>
    <x v="553"/>
    <x v="66"/>
    <x v="0"/>
    <x v="4"/>
    <x v="3"/>
    <x v="0"/>
    <x v="0"/>
    <x v="16"/>
    <x v="791"/>
    <x v="4"/>
    <x v="0"/>
  </r>
  <r>
    <x v="37"/>
    <x v="68"/>
    <x v="15"/>
    <x v="554"/>
    <x v="67"/>
    <x v="3"/>
    <x v="4"/>
    <x v="3"/>
    <x v="0"/>
    <x v="0"/>
    <x v="37"/>
    <x v="792"/>
    <x v="4"/>
    <x v="0"/>
  </r>
  <r>
    <x v="51"/>
    <x v="69"/>
    <x v="1"/>
    <x v="555"/>
    <x v="68"/>
    <x v="0"/>
    <x v="4"/>
    <x v="3"/>
    <x v="0"/>
    <x v="0"/>
    <x v="51"/>
    <x v="793"/>
    <x v="5"/>
    <x v="0"/>
  </r>
  <r>
    <x v="52"/>
    <x v="70"/>
    <x v="8"/>
    <x v="556"/>
    <x v="69"/>
    <x v="0"/>
    <x v="4"/>
    <x v="3"/>
    <x v="0"/>
    <x v="0"/>
    <x v="52"/>
    <x v="794"/>
    <x v="5"/>
    <x v="0"/>
  </r>
  <r>
    <x v="66"/>
    <x v="224"/>
    <x v="7"/>
    <x v="557"/>
    <x v="188"/>
    <x v="0"/>
    <x v="4"/>
    <x v="3"/>
    <x v="0"/>
    <x v="1"/>
    <x v="66"/>
    <x v="795"/>
    <x v="5"/>
    <x v="0"/>
  </r>
  <r>
    <x v="54"/>
    <x v="72"/>
    <x v="30"/>
    <x v="558"/>
    <x v="71"/>
    <x v="0"/>
    <x v="4"/>
    <x v="0"/>
    <x v="1"/>
    <x v="1"/>
    <x v="54"/>
    <x v="796"/>
    <x v="7"/>
    <x v="1"/>
  </r>
  <r>
    <x v="55"/>
    <x v="73"/>
    <x v="22"/>
    <x v="559"/>
    <x v="72"/>
    <x v="0"/>
    <x v="4"/>
    <x v="0"/>
    <x v="1"/>
    <x v="0"/>
    <x v="55"/>
    <x v="797"/>
    <x v="0"/>
    <x v="1"/>
  </r>
  <r>
    <x v="33"/>
    <x v="277"/>
    <x v="14"/>
    <x v="557"/>
    <x v="232"/>
    <x v="0"/>
    <x v="4"/>
    <x v="1"/>
    <x v="1"/>
    <x v="0"/>
    <x v="33"/>
    <x v="798"/>
    <x v="1"/>
    <x v="1"/>
  </r>
  <r>
    <x v="23"/>
    <x v="226"/>
    <x v="16"/>
    <x v="318"/>
    <x v="190"/>
    <x v="3"/>
    <x v="4"/>
    <x v="1"/>
    <x v="1"/>
    <x v="0"/>
    <x v="23"/>
    <x v="799"/>
    <x v="9"/>
    <x v="1"/>
  </r>
  <r>
    <x v="41"/>
    <x v="227"/>
    <x v="23"/>
    <x v="560"/>
    <x v="75"/>
    <x v="0"/>
    <x v="4"/>
    <x v="2"/>
    <x v="1"/>
    <x v="0"/>
    <x v="41"/>
    <x v="800"/>
    <x v="2"/>
    <x v="1"/>
  </r>
  <r>
    <x v="85"/>
    <x v="228"/>
    <x v="0"/>
    <x v="561"/>
    <x v="191"/>
    <x v="0"/>
    <x v="4"/>
    <x v="2"/>
    <x v="1"/>
    <x v="0"/>
    <x v="85"/>
    <x v="801"/>
    <x v="3"/>
    <x v="1"/>
  </r>
  <r>
    <x v="89"/>
    <x v="229"/>
    <x v="15"/>
    <x v="562"/>
    <x v="192"/>
    <x v="0"/>
    <x v="4"/>
    <x v="2"/>
    <x v="1"/>
    <x v="0"/>
    <x v="89"/>
    <x v="802"/>
    <x v="10"/>
    <x v="1"/>
  </r>
  <r>
    <x v="29"/>
    <x v="79"/>
    <x v="32"/>
    <x v="563"/>
    <x v="78"/>
    <x v="0"/>
    <x v="4"/>
    <x v="3"/>
    <x v="1"/>
    <x v="0"/>
    <x v="29"/>
    <x v="803"/>
    <x v="4"/>
    <x v="1"/>
  </r>
  <r>
    <x v="59"/>
    <x v="80"/>
    <x v="1"/>
    <x v="238"/>
    <x v="79"/>
    <x v="0"/>
    <x v="4"/>
    <x v="3"/>
    <x v="1"/>
    <x v="0"/>
    <x v="59"/>
    <x v="804"/>
    <x v="5"/>
    <x v="1"/>
  </r>
  <r>
    <x v="86"/>
    <x v="278"/>
    <x v="7"/>
    <x v="564"/>
    <x v="233"/>
    <x v="0"/>
    <x v="4"/>
    <x v="3"/>
    <x v="1"/>
    <x v="0"/>
    <x v="86"/>
    <x v="805"/>
    <x v="5"/>
    <x v="1"/>
  </r>
  <r>
    <x v="35"/>
    <x v="59"/>
    <x v="36"/>
    <x v="4"/>
    <x v="58"/>
    <x v="0"/>
    <x v="4"/>
    <x v="3"/>
    <x v="1"/>
    <x v="1"/>
    <x v="35"/>
    <x v="75"/>
    <x v="5"/>
    <x v="1"/>
  </r>
  <r>
    <x v="49"/>
    <x v="232"/>
    <x v="32"/>
    <x v="550"/>
    <x v="195"/>
    <x v="0"/>
    <x v="4"/>
    <x v="3"/>
    <x v="1"/>
    <x v="0"/>
    <x v="49"/>
    <x v="806"/>
    <x v="6"/>
    <x v="1"/>
  </r>
  <r>
    <x v="60"/>
    <x v="85"/>
    <x v="19"/>
    <x v="565"/>
    <x v="84"/>
    <x v="0"/>
    <x v="4"/>
    <x v="0"/>
    <x v="2"/>
    <x v="0"/>
    <x v="60"/>
    <x v="807"/>
    <x v="7"/>
    <x v="2"/>
  </r>
  <r>
    <x v="23"/>
    <x v="233"/>
    <x v="25"/>
    <x v="566"/>
    <x v="196"/>
    <x v="5"/>
    <x v="4"/>
    <x v="0"/>
    <x v="2"/>
    <x v="0"/>
    <x v="23"/>
    <x v="808"/>
    <x v="11"/>
    <x v="2"/>
  </r>
  <r>
    <x v="1"/>
    <x v="234"/>
    <x v="11"/>
    <x v="119"/>
    <x v="197"/>
    <x v="0"/>
    <x v="4"/>
    <x v="0"/>
    <x v="2"/>
    <x v="0"/>
    <x v="1"/>
    <x v="185"/>
    <x v="11"/>
    <x v="2"/>
  </r>
  <r>
    <x v="61"/>
    <x v="88"/>
    <x v="16"/>
    <x v="567"/>
    <x v="87"/>
    <x v="0"/>
    <x v="4"/>
    <x v="1"/>
    <x v="2"/>
    <x v="0"/>
    <x v="61"/>
    <x v="809"/>
    <x v="8"/>
    <x v="2"/>
  </r>
  <r>
    <x v="87"/>
    <x v="279"/>
    <x v="15"/>
    <x v="557"/>
    <x v="234"/>
    <x v="1"/>
    <x v="4"/>
    <x v="1"/>
    <x v="2"/>
    <x v="0"/>
    <x v="87"/>
    <x v="810"/>
    <x v="1"/>
    <x v="2"/>
  </r>
  <r>
    <x v="77"/>
    <x v="210"/>
    <x v="12"/>
    <x v="4"/>
    <x v="178"/>
    <x v="0"/>
    <x v="1"/>
    <x v="0"/>
    <x v="0"/>
    <x v="1"/>
    <x v="77"/>
    <x v="46"/>
    <x v="11"/>
    <x v="0"/>
  </r>
  <r>
    <x v="84"/>
    <x v="237"/>
    <x v="32"/>
    <x v="568"/>
    <x v="166"/>
    <x v="0"/>
    <x v="1"/>
    <x v="1"/>
    <x v="0"/>
    <x v="0"/>
    <x v="84"/>
    <x v="811"/>
    <x v="1"/>
    <x v="0"/>
  </r>
  <r>
    <x v="42"/>
    <x v="179"/>
    <x v="1"/>
    <x v="4"/>
    <x v="153"/>
    <x v="0"/>
    <x v="1"/>
    <x v="2"/>
    <x v="0"/>
    <x v="1"/>
    <x v="42"/>
    <x v="13"/>
    <x v="10"/>
    <x v="0"/>
  </r>
  <r>
    <x v="78"/>
    <x v="180"/>
    <x v="32"/>
    <x v="4"/>
    <x v="154"/>
    <x v="0"/>
    <x v="1"/>
    <x v="3"/>
    <x v="0"/>
    <x v="0"/>
    <x v="78"/>
    <x v="53"/>
    <x v="4"/>
    <x v="0"/>
  </r>
  <r>
    <x v="86"/>
    <x v="198"/>
    <x v="10"/>
    <x v="4"/>
    <x v="155"/>
    <x v="0"/>
    <x v="1"/>
    <x v="3"/>
    <x v="0"/>
    <x v="0"/>
    <x v="86"/>
    <x v="11"/>
    <x v="5"/>
    <x v="0"/>
  </r>
  <r>
    <x v="39"/>
    <x v="199"/>
    <x v="14"/>
    <x v="4"/>
    <x v="103"/>
    <x v="0"/>
    <x v="1"/>
    <x v="3"/>
    <x v="0"/>
    <x v="0"/>
    <x v="39"/>
    <x v="41"/>
    <x v="5"/>
    <x v="0"/>
  </r>
  <r>
    <x v="40"/>
    <x v="172"/>
    <x v="10"/>
    <x v="4"/>
    <x v="104"/>
    <x v="0"/>
    <x v="1"/>
    <x v="3"/>
    <x v="0"/>
    <x v="1"/>
    <x v="40"/>
    <x v="11"/>
    <x v="5"/>
    <x v="0"/>
  </r>
  <r>
    <x v="52"/>
    <x v="281"/>
    <x v="26"/>
    <x v="4"/>
    <x v="236"/>
    <x v="0"/>
    <x v="1"/>
    <x v="0"/>
    <x v="1"/>
    <x v="0"/>
    <x v="52"/>
    <x v="36"/>
    <x v="7"/>
    <x v="1"/>
  </r>
  <r>
    <x v="30"/>
    <x v="202"/>
    <x v="29"/>
    <x v="4"/>
    <x v="172"/>
    <x v="0"/>
    <x v="1"/>
    <x v="0"/>
    <x v="1"/>
    <x v="1"/>
    <x v="30"/>
    <x v="48"/>
    <x v="11"/>
    <x v="1"/>
  </r>
  <r>
    <x v="83"/>
    <x v="215"/>
    <x v="11"/>
    <x v="569"/>
    <x v="156"/>
    <x v="0"/>
    <x v="1"/>
    <x v="1"/>
    <x v="1"/>
    <x v="0"/>
    <x v="83"/>
    <x v="812"/>
    <x v="8"/>
    <x v="1"/>
  </r>
  <r>
    <x v="74"/>
    <x v="283"/>
    <x v="30"/>
    <x v="4"/>
    <x v="238"/>
    <x v="0"/>
    <x v="1"/>
    <x v="2"/>
    <x v="1"/>
    <x v="1"/>
    <x v="74"/>
    <x v="49"/>
    <x v="2"/>
    <x v="1"/>
  </r>
  <r>
    <x v="23"/>
    <x v="284"/>
    <x v="7"/>
    <x v="4"/>
    <x v="239"/>
    <x v="0"/>
    <x v="1"/>
    <x v="2"/>
    <x v="1"/>
    <x v="1"/>
    <x v="23"/>
    <x v="7"/>
    <x v="3"/>
    <x v="1"/>
  </r>
  <r>
    <x v="65"/>
    <x v="216"/>
    <x v="7"/>
    <x v="4"/>
    <x v="182"/>
    <x v="0"/>
    <x v="1"/>
    <x v="2"/>
    <x v="1"/>
    <x v="1"/>
    <x v="65"/>
    <x v="7"/>
    <x v="10"/>
    <x v="1"/>
  </r>
  <r>
    <x v="22"/>
    <x v="239"/>
    <x v="3"/>
    <x v="4"/>
    <x v="66"/>
    <x v="0"/>
    <x v="1"/>
    <x v="3"/>
    <x v="0"/>
    <x v="1"/>
    <x v="22"/>
    <x v="26"/>
    <x v="4"/>
    <x v="0"/>
  </r>
  <r>
    <x v="77"/>
    <x v="206"/>
    <x v="27"/>
    <x v="436"/>
    <x v="159"/>
    <x v="0"/>
    <x v="1"/>
    <x v="3"/>
    <x v="1"/>
    <x v="0"/>
    <x v="77"/>
    <x v="813"/>
    <x v="5"/>
    <x v="1"/>
  </r>
  <r>
    <x v="84"/>
    <x v="207"/>
    <x v="16"/>
    <x v="526"/>
    <x v="47"/>
    <x v="0"/>
    <x v="1"/>
    <x v="3"/>
    <x v="1"/>
    <x v="0"/>
    <x v="84"/>
    <x v="814"/>
    <x v="5"/>
    <x v="1"/>
  </r>
  <r>
    <x v="39"/>
    <x v="289"/>
    <x v="28"/>
    <x v="4"/>
    <x v="241"/>
    <x v="0"/>
    <x v="1"/>
    <x v="0"/>
    <x v="2"/>
    <x v="1"/>
    <x v="39"/>
    <x v="47"/>
    <x v="7"/>
    <x v="2"/>
  </r>
  <r>
    <x v="23"/>
    <x v="208"/>
    <x v="27"/>
    <x v="464"/>
    <x v="176"/>
    <x v="0"/>
    <x v="1"/>
    <x v="0"/>
    <x v="2"/>
    <x v="0"/>
    <x v="23"/>
    <x v="815"/>
    <x v="0"/>
    <x v="2"/>
  </r>
  <r>
    <x v="61"/>
    <x v="221"/>
    <x v="42"/>
    <x v="569"/>
    <x v="185"/>
    <x v="4"/>
    <x v="1"/>
    <x v="1"/>
    <x v="2"/>
    <x v="1"/>
    <x v="61"/>
    <x v="816"/>
    <x v="8"/>
    <x v="2"/>
  </r>
  <r>
    <x v="20"/>
    <x v="242"/>
    <x v="36"/>
    <x v="570"/>
    <x v="202"/>
    <x v="2"/>
    <x v="1"/>
    <x v="1"/>
    <x v="2"/>
    <x v="1"/>
    <x v="20"/>
    <x v="817"/>
    <x v="1"/>
    <x v="2"/>
  </r>
  <r>
    <x v="45"/>
    <x v="177"/>
    <x v="6"/>
    <x v="571"/>
    <x v="151"/>
    <x v="0"/>
    <x v="1"/>
    <x v="0"/>
    <x v="0"/>
    <x v="0"/>
    <x v="45"/>
    <x v="818"/>
    <x v="11"/>
    <x v="0"/>
  </r>
  <r>
    <x v="67"/>
    <x v="104"/>
    <x v="25"/>
    <x v="572"/>
    <x v="99"/>
    <x v="0"/>
    <x v="1"/>
    <x v="1"/>
    <x v="0"/>
    <x v="0"/>
    <x v="67"/>
    <x v="819"/>
    <x v="1"/>
    <x v="0"/>
  </r>
  <r>
    <x v="39"/>
    <x v="105"/>
    <x v="14"/>
    <x v="573"/>
    <x v="100"/>
    <x v="0"/>
    <x v="1"/>
    <x v="2"/>
    <x v="0"/>
    <x v="0"/>
    <x v="39"/>
    <x v="820"/>
    <x v="2"/>
    <x v="0"/>
  </r>
  <r>
    <x v="41"/>
    <x v="106"/>
    <x v="32"/>
    <x v="574"/>
    <x v="101"/>
    <x v="0"/>
    <x v="1"/>
    <x v="2"/>
    <x v="0"/>
    <x v="0"/>
    <x v="41"/>
    <x v="821"/>
    <x v="10"/>
    <x v="0"/>
  </r>
  <r>
    <x v="54"/>
    <x v="155"/>
    <x v="13"/>
    <x v="575"/>
    <x v="137"/>
    <x v="0"/>
    <x v="1"/>
    <x v="3"/>
    <x v="0"/>
    <x v="0"/>
    <x v="54"/>
    <x v="822"/>
    <x v="4"/>
    <x v="0"/>
  </r>
  <r>
    <x v="43"/>
    <x v="181"/>
    <x v="5"/>
    <x v="576"/>
    <x v="155"/>
    <x v="0"/>
    <x v="1"/>
    <x v="3"/>
    <x v="0"/>
    <x v="0"/>
    <x v="43"/>
    <x v="823"/>
    <x v="5"/>
    <x v="0"/>
  </r>
  <r>
    <x v="7"/>
    <x v="108"/>
    <x v="9"/>
    <x v="574"/>
    <x v="103"/>
    <x v="0"/>
    <x v="1"/>
    <x v="3"/>
    <x v="0"/>
    <x v="0"/>
    <x v="7"/>
    <x v="824"/>
    <x v="5"/>
    <x v="0"/>
  </r>
  <r>
    <x v="40"/>
    <x v="172"/>
    <x v="0"/>
    <x v="500"/>
    <x v="104"/>
    <x v="0"/>
    <x v="1"/>
    <x v="3"/>
    <x v="0"/>
    <x v="0"/>
    <x v="40"/>
    <x v="825"/>
    <x v="5"/>
    <x v="0"/>
  </r>
  <r>
    <x v="23"/>
    <x v="110"/>
    <x v="15"/>
    <x v="575"/>
    <x v="105"/>
    <x v="0"/>
    <x v="1"/>
    <x v="3"/>
    <x v="0"/>
    <x v="0"/>
    <x v="23"/>
    <x v="826"/>
    <x v="6"/>
    <x v="0"/>
  </r>
  <r>
    <x v="23"/>
    <x v="157"/>
    <x v="1"/>
    <x v="577"/>
    <x v="138"/>
    <x v="0"/>
    <x v="1"/>
    <x v="0"/>
    <x v="1"/>
    <x v="0"/>
    <x v="23"/>
    <x v="827"/>
    <x v="7"/>
    <x v="1"/>
  </r>
  <r>
    <x v="69"/>
    <x v="111"/>
    <x v="13"/>
    <x v="578"/>
    <x v="106"/>
    <x v="0"/>
    <x v="1"/>
    <x v="0"/>
    <x v="1"/>
    <x v="0"/>
    <x v="69"/>
    <x v="828"/>
    <x v="0"/>
    <x v="1"/>
  </r>
  <r>
    <x v="60"/>
    <x v="173"/>
    <x v="14"/>
    <x v="579"/>
    <x v="148"/>
    <x v="0"/>
    <x v="1"/>
    <x v="1"/>
    <x v="1"/>
    <x v="0"/>
    <x v="60"/>
    <x v="829"/>
    <x v="8"/>
    <x v="1"/>
  </r>
  <r>
    <x v="22"/>
    <x v="113"/>
    <x v="23"/>
    <x v="574"/>
    <x v="108"/>
    <x v="3"/>
    <x v="1"/>
    <x v="1"/>
    <x v="1"/>
    <x v="0"/>
    <x v="22"/>
    <x v="830"/>
    <x v="9"/>
    <x v="1"/>
  </r>
  <r>
    <x v="70"/>
    <x v="114"/>
    <x v="1"/>
    <x v="580"/>
    <x v="109"/>
    <x v="0"/>
    <x v="1"/>
    <x v="2"/>
    <x v="1"/>
    <x v="0"/>
    <x v="70"/>
    <x v="831"/>
    <x v="2"/>
    <x v="1"/>
  </r>
  <r>
    <x v="84"/>
    <x v="184"/>
    <x v="28"/>
    <x v="581"/>
    <x v="157"/>
    <x v="0"/>
    <x v="1"/>
    <x v="2"/>
    <x v="1"/>
    <x v="0"/>
    <x v="84"/>
    <x v="832"/>
    <x v="3"/>
    <x v="1"/>
  </r>
  <r>
    <x v="69"/>
    <x v="116"/>
    <x v="5"/>
    <x v="582"/>
    <x v="111"/>
    <x v="0"/>
    <x v="1"/>
    <x v="2"/>
    <x v="1"/>
    <x v="0"/>
    <x v="69"/>
    <x v="833"/>
    <x v="3"/>
    <x v="1"/>
  </r>
  <r>
    <x v="85"/>
    <x v="185"/>
    <x v="7"/>
    <x v="583"/>
    <x v="158"/>
    <x v="0"/>
    <x v="1"/>
    <x v="3"/>
    <x v="0"/>
    <x v="0"/>
    <x v="85"/>
    <x v="834"/>
    <x v="4"/>
    <x v="0"/>
  </r>
  <r>
    <x v="68"/>
    <x v="118"/>
    <x v="29"/>
    <x v="584"/>
    <x v="113"/>
    <x v="0"/>
    <x v="1"/>
    <x v="3"/>
    <x v="1"/>
    <x v="0"/>
    <x v="68"/>
    <x v="835"/>
    <x v="4"/>
    <x v="1"/>
  </r>
  <r>
    <x v="21"/>
    <x v="175"/>
    <x v="9"/>
    <x v="585"/>
    <x v="45"/>
    <x v="0"/>
    <x v="1"/>
    <x v="3"/>
    <x v="1"/>
    <x v="0"/>
    <x v="21"/>
    <x v="836"/>
    <x v="5"/>
    <x v="1"/>
  </r>
  <r>
    <x v="45"/>
    <x v="186"/>
    <x v="26"/>
    <x v="586"/>
    <x v="159"/>
    <x v="0"/>
    <x v="1"/>
    <x v="3"/>
    <x v="1"/>
    <x v="0"/>
    <x v="45"/>
    <x v="837"/>
    <x v="5"/>
    <x v="1"/>
  </r>
  <r>
    <x v="10"/>
    <x v="187"/>
    <x v="25"/>
    <x v="580"/>
    <x v="20"/>
    <x v="0"/>
    <x v="1"/>
    <x v="3"/>
    <x v="1"/>
    <x v="0"/>
    <x v="10"/>
    <x v="838"/>
    <x v="5"/>
    <x v="1"/>
  </r>
  <r>
    <x v="23"/>
    <x v="273"/>
    <x v="5"/>
    <x v="587"/>
    <x v="228"/>
    <x v="0"/>
    <x v="1"/>
    <x v="3"/>
    <x v="1"/>
    <x v="0"/>
    <x v="23"/>
    <x v="839"/>
    <x v="6"/>
    <x v="1"/>
  </r>
  <r>
    <x v="3"/>
    <x v="219"/>
    <x v="5"/>
    <x v="4"/>
    <x v="183"/>
    <x v="5"/>
    <x v="1"/>
    <x v="0"/>
    <x v="2"/>
    <x v="1"/>
    <x v="3"/>
    <x v="15"/>
    <x v="7"/>
    <x v="2"/>
  </r>
  <r>
    <x v="23"/>
    <x v="220"/>
    <x v="2"/>
    <x v="4"/>
    <x v="184"/>
    <x v="0"/>
    <x v="1"/>
    <x v="0"/>
    <x v="2"/>
    <x v="1"/>
    <x v="23"/>
    <x v="9"/>
    <x v="0"/>
    <x v="2"/>
  </r>
  <r>
    <x v="39"/>
    <x v="190"/>
    <x v="9"/>
    <x v="4"/>
    <x v="162"/>
    <x v="0"/>
    <x v="1"/>
    <x v="0"/>
    <x v="2"/>
    <x v="1"/>
    <x v="39"/>
    <x v="10"/>
    <x v="11"/>
    <x v="2"/>
  </r>
  <r>
    <x v="83"/>
    <x v="176"/>
    <x v="20"/>
    <x v="579"/>
    <x v="150"/>
    <x v="0"/>
    <x v="1"/>
    <x v="1"/>
    <x v="2"/>
    <x v="0"/>
    <x v="83"/>
    <x v="840"/>
    <x v="8"/>
    <x v="2"/>
  </r>
  <r>
    <x v="19"/>
    <x v="122"/>
    <x v="45"/>
    <x v="574"/>
    <x v="116"/>
    <x v="0"/>
    <x v="1"/>
    <x v="1"/>
    <x v="2"/>
    <x v="0"/>
    <x v="19"/>
    <x v="841"/>
    <x v="1"/>
    <x v="2"/>
  </r>
  <r>
    <x v="48"/>
    <x v="63"/>
    <x v="27"/>
    <x v="588"/>
    <x v="62"/>
    <x v="0"/>
    <x v="3"/>
    <x v="0"/>
    <x v="0"/>
    <x v="1"/>
    <x v="48"/>
    <x v="842"/>
    <x v="0"/>
    <x v="0"/>
  </r>
  <r>
    <x v="19"/>
    <x v="64"/>
    <x v="21"/>
    <x v="589"/>
    <x v="63"/>
    <x v="0"/>
    <x v="3"/>
    <x v="1"/>
    <x v="0"/>
    <x v="1"/>
    <x v="19"/>
    <x v="843"/>
    <x v="8"/>
    <x v="0"/>
  </r>
  <r>
    <x v="49"/>
    <x v="65"/>
    <x v="2"/>
    <x v="590"/>
    <x v="64"/>
    <x v="0"/>
    <x v="3"/>
    <x v="1"/>
    <x v="0"/>
    <x v="1"/>
    <x v="49"/>
    <x v="844"/>
    <x v="9"/>
    <x v="0"/>
  </r>
  <r>
    <x v="39"/>
    <x v="125"/>
    <x v="4"/>
    <x v="591"/>
    <x v="119"/>
    <x v="0"/>
    <x v="3"/>
    <x v="2"/>
    <x v="0"/>
    <x v="1"/>
    <x v="39"/>
    <x v="845"/>
    <x v="3"/>
    <x v="0"/>
  </r>
  <r>
    <x v="80"/>
    <x v="291"/>
    <x v="28"/>
    <x v="592"/>
    <x v="242"/>
    <x v="0"/>
    <x v="3"/>
    <x v="3"/>
    <x v="0"/>
    <x v="0"/>
    <x v="80"/>
    <x v="846"/>
    <x v="4"/>
    <x v="0"/>
  </r>
  <r>
    <x v="37"/>
    <x v="68"/>
    <x v="14"/>
    <x v="593"/>
    <x v="67"/>
    <x v="3"/>
    <x v="3"/>
    <x v="3"/>
    <x v="0"/>
    <x v="0"/>
    <x v="37"/>
    <x v="847"/>
    <x v="4"/>
    <x v="0"/>
  </r>
  <r>
    <x v="76"/>
    <x v="263"/>
    <x v="3"/>
    <x v="588"/>
    <x v="219"/>
    <x v="0"/>
    <x v="3"/>
    <x v="3"/>
    <x v="0"/>
    <x v="1"/>
    <x v="76"/>
    <x v="848"/>
    <x v="5"/>
    <x v="0"/>
  </r>
  <r>
    <x v="50"/>
    <x v="129"/>
    <x v="29"/>
    <x v="594"/>
    <x v="69"/>
    <x v="0"/>
    <x v="3"/>
    <x v="3"/>
    <x v="0"/>
    <x v="0"/>
    <x v="50"/>
    <x v="849"/>
    <x v="5"/>
    <x v="0"/>
  </r>
  <r>
    <x v="53"/>
    <x v="71"/>
    <x v="20"/>
    <x v="595"/>
    <x v="70"/>
    <x v="0"/>
    <x v="3"/>
    <x v="3"/>
    <x v="0"/>
    <x v="1"/>
    <x v="53"/>
    <x v="850"/>
    <x v="5"/>
    <x v="0"/>
  </r>
  <r>
    <x v="30"/>
    <x v="131"/>
    <x v="14"/>
    <x v="596"/>
    <x v="122"/>
    <x v="0"/>
    <x v="3"/>
    <x v="0"/>
    <x v="1"/>
    <x v="0"/>
    <x v="30"/>
    <x v="851"/>
    <x v="7"/>
    <x v="1"/>
  </r>
  <r>
    <x v="55"/>
    <x v="73"/>
    <x v="20"/>
    <x v="597"/>
    <x v="72"/>
    <x v="0"/>
    <x v="3"/>
    <x v="0"/>
    <x v="1"/>
    <x v="1"/>
    <x v="55"/>
    <x v="852"/>
    <x v="0"/>
    <x v="1"/>
  </r>
  <r>
    <x v="12"/>
    <x v="292"/>
    <x v="23"/>
    <x v="590"/>
    <x v="243"/>
    <x v="0"/>
    <x v="3"/>
    <x v="0"/>
    <x v="1"/>
    <x v="1"/>
    <x v="12"/>
    <x v="205"/>
    <x v="11"/>
    <x v="1"/>
  </r>
  <r>
    <x v="0"/>
    <x v="74"/>
    <x v="0"/>
    <x v="4"/>
    <x v="73"/>
    <x v="3"/>
    <x v="3"/>
    <x v="1"/>
    <x v="1"/>
    <x v="1"/>
    <x v="0"/>
    <x v="32"/>
    <x v="1"/>
    <x v="1"/>
  </r>
  <r>
    <x v="43"/>
    <x v="75"/>
    <x v="8"/>
    <x v="592"/>
    <x v="74"/>
    <x v="0"/>
    <x v="3"/>
    <x v="1"/>
    <x v="1"/>
    <x v="0"/>
    <x v="43"/>
    <x v="853"/>
    <x v="9"/>
    <x v="1"/>
  </r>
  <r>
    <x v="56"/>
    <x v="76"/>
    <x v="26"/>
    <x v="4"/>
    <x v="75"/>
    <x v="0"/>
    <x v="3"/>
    <x v="2"/>
    <x v="1"/>
    <x v="0"/>
    <x v="56"/>
    <x v="36"/>
    <x v="2"/>
    <x v="1"/>
  </r>
  <r>
    <x v="57"/>
    <x v="77"/>
    <x v="1"/>
    <x v="598"/>
    <x v="76"/>
    <x v="0"/>
    <x v="3"/>
    <x v="2"/>
    <x v="1"/>
    <x v="1"/>
    <x v="57"/>
    <x v="854"/>
    <x v="3"/>
    <x v="1"/>
  </r>
  <r>
    <x v="58"/>
    <x v="78"/>
    <x v="12"/>
    <x v="599"/>
    <x v="77"/>
    <x v="0"/>
    <x v="3"/>
    <x v="2"/>
    <x v="1"/>
    <x v="1"/>
    <x v="58"/>
    <x v="855"/>
    <x v="10"/>
    <x v="1"/>
  </r>
  <r>
    <x v="77"/>
    <x v="138"/>
    <x v="28"/>
    <x v="600"/>
    <x v="78"/>
    <x v="0"/>
    <x v="3"/>
    <x v="3"/>
    <x v="1"/>
    <x v="0"/>
    <x v="77"/>
    <x v="856"/>
    <x v="4"/>
    <x v="1"/>
  </r>
  <r>
    <x v="14"/>
    <x v="282"/>
    <x v="16"/>
    <x v="261"/>
    <x v="237"/>
    <x v="0"/>
    <x v="3"/>
    <x v="3"/>
    <x v="1"/>
    <x v="0"/>
    <x v="14"/>
    <x v="857"/>
    <x v="4"/>
    <x v="1"/>
  </r>
  <r>
    <x v="24"/>
    <x v="267"/>
    <x v="2"/>
    <x v="601"/>
    <x v="223"/>
    <x v="0"/>
    <x v="3"/>
    <x v="3"/>
    <x v="1"/>
    <x v="1"/>
    <x v="24"/>
    <x v="858"/>
    <x v="5"/>
    <x v="1"/>
  </r>
  <r>
    <x v="35"/>
    <x v="59"/>
    <x v="36"/>
    <x v="4"/>
    <x v="58"/>
    <x v="0"/>
    <x v="3"/>
    <x v="3"/>
    <x v="1"/>
    <x v="2"/>
    <x v="35"/>
    <x v="75"/>
    <x v="5"/>
    <x v="1"/>
  </r>
  <r>
    <x v="60"/>
    <x v="85"/>
    <x v="29"/>
    <x v="602"/>
    <x v="84"/>
    <x v="0"/>
    <x v="3"/>
    <x v="0"/>
    <x v="2"/>
    <x v="0"/>
    <x v="60"/>
    <x v="859"/>
    <x v="7"/>
    <x v="2"/>
  </r>
  <r>
    <x v="4"/>
    <x v="86"/>
    <x v="30"/>
    <x v="603"/>
    <x v="85"/>
    <x v="0"/>
    <x v="3"/>
    <x v="0"/>
    <x v="2"/>
    <x v="1"/>
    <x v="4"/>
    <x v="860"/>
    <x v="0"/>
    <x v="2"/>
  </r>
  <r>
    <x v="39"/>
    <x v="160"/>
    <x v="26"/>
    <x v="595"/>
    <x v="141"/>
    <x v="0"/>
    <x v="3"/>
    <x v="0"/>
    <x v="2"/>
    <x v="0"/>
    <x v="39"/>
    <x v="861"/>
    <x v="11"/>
    <x v="2"/>
  </r>
  <r>
    <x v="58"/>
    <x v="89"/>
    <x v="46"/>
    <x v="4"/>
    <x v="88"/>
    <x v="4"/>
    <x v="3"/>
    <x v="1"/>
    <x v="2"/>
    <x v="1"/>
    <x v="58"/>
    <x v="396"/>
    <x v="1"/>
    <x v="2"/>
  </r>
  <r>
    <x v="77"/>
    <x v="210"/>
    <x v="26"/>
    <x v="604"/>
    <x v="178"/>
    <x v="0"/>
    <x v="1"/>
    <x v="0"/>
    <x v="0"/>
    <x v="0"/>
    <x v="77"/>
    <x v="862"/>
    <x v="11"/>
    <x v="0"/>
  </r>
  <r>
    <x v="84"/>
    <x v="237"/>
    <x v="4"/>
    <x v="605"/>
    <x v="166"/>
    <x v="0"/>
    <x v="1"/>
    <x v="1"/>
    <x v="0"/>
    <x v="1"/>
    <x v="84"/>
    <x v="863"/>
    <x v="1"/>
    <x v="0"/>
  </r>
  <r>
    <x v="42"/>
    <x v="179"/>
    <x v="28"/>
    <x v="604"/>
    <x v="153"/>
    <x v="0"/>
    <x v="1"/>
    <x v="2"/>
    <x v="0"/>
    <x v="0"/>
    <x v="42"/>
    <x v="864"/>
    <x v="10"/>
    <x v="0"/>
  </r>
  <r>
    <x v="78"/>
    <x v="180"/>
    <x v="14"/>
    <x v="606"/>
    <x v="154"/>
    <x v="0"/>
    <x v="1"/>
    <x v="3"/>
    <x v="0"/>
    <x v="0"/>
    <x v="78"/>
    <x v="865"/>
    <x v="4"/>
    <x v="0"/>
  </r>
  <r>
    <x v="13"/>
    <x v="213"/>
    <x v="16"/>
    <x v="607"/>
    <x v="155"/>
    <x v="0"/>
    <x v="1"/>
    <x v="3"/>
    <x v="0"/>
    <x v="0"/>
    <x v="13"/>
    <x v="866"/>
    <x v="5"/>
    <x v="0"/>
  </r>
  <r>
    <x v="39"/>
    <x v="199"/>
    <x v="29"/>
    <x v="608"/>
    <x v="103"/>
    <x v="0"/>
    <x v="1"/>
    <x v="3"/>
    <x v="0"/>
    <x v="1"/>
    <x v="39"/>
    <x v="867"/>
    <x v="5"/>
    <x v="0"/>
  </r>
  <r>
    <x v="40"/>
    <x v="172"/>
    <x v="22"/>
    <x v="609"/>
    <x v="104"/>
    <x v="0"/>
    <x v="1"/>
    <x v="3"/>
    <x v="0"/>
    <x v="0"/>
    <x v="40"/>
    <x v="868"/>
    <x v="5"/>
    <x v="0"/>
  </r>
  <r>
    <x v="74"/>
    <x v="182"/>
    <x v="23"/>
    <x v="610"/>
    <x v="105"/>
    <x v="0"/>
    <x v="1"/>
    <x v="3"/>
    <x v="0"/>
    <x v="1"/>
    <x v="74"/>
    <x v="869"/>
    <x v="6"/>
    <x v="0"/>
  </r>
  <r>
    <x v="23"/>
    <x v="157"/>
    <x v="26"/>
    <x v="610"/>
    <x v="138"/>
    <x v="0"/>
    <x v="1"/>
    <x v="0"/>
    <x v="1"/>
    <x v="0"/>
    <x v="23"/>
    <x v="870"/>
    <x v="7"/>
    <x v="1"/>
  </r>
  <r>
    <x v="30"/>
    <x v="202"/>
    <x v="23"/>
    <x v="610"/>
    <x v="172"/>
    <x v="0"/>
    <x v="1"/>
    <x v="0"/>
    <x v="1"/>
    <x v="1"/>
    <x v="30"/>
    <x v="869"/>
    <x v="11"/>
    <x v="1"/>
  </r>
  <r>
    <x v="83"/>
    <x v="215"/>
    <x v="18"/>
    <x v="607"/>
    <x v="156"/>
    <x v="0"/>
    <x v="1"/>
    <x v="1"/>
    <x v="1"/>
    <x v="0"/>
    <x v="83"/>
    <x v="871"/>
    <x v="8"/>
    <x v="1"/>
  </r>
  <r>
    <x v="74"/>
    <x v="283"/>
    <x v="27"/>
    <x v="611"/>
    <x v="238"/>
    <x v="0"/>
    <x v="1"/>
    <x v="2"/>
    <x v="1"/>
    <x v="1"/>
    <x v="74"/>
    <x v="872"/>
    <x v="2"/>
    <x v="1"/>
  </r>
  <r>
    <x v="23"/>
    <x v="284"/>
    <x v="29"/>
    <x v="612"/>
    <x v="239"/>
    <x v="0"/>
    <x v="1"/>
    <x v="2"/>
    <x v="1"/>
    <x v="0"/>
    <x v="23"/>
    <x v="873"/>
    <x v="3"/>
    <x v="1"/>
  </r>
  <r>
    <x v="65"/>
    <x v="216"/>
    <x v="1"/>
    <x v="613"/>
    <x v="182"/>
    <x v="0"/>
    <x v="1"/>
    <x v="2"/>
    <x v="1"/>
    <x v="0"/>
    <x v="65"/>
    <x v="874"/>
    <x v="10"/>
    <x v="1"/>
  </r>
  <r>
    <x v="22"/>
    <x v="239"/>
    <x v="7"/>
    <x v="614"/>
    <x v="66"/>
    <x v="0"/>
    <x v="1"/>
    <x v="3"/>
    <x v="0"/>
    <x v="1"/>
    <x v="22"/>
    <x v="875"/>
    <x v="4"/>
    <x v="0"/>
  </r>
  <r>
    <x v="23"/>
    <x v="217"/>
    <x v="32"/>
    <x v="605"/>
    <x v="113"/>
    <x v="0"/>
    <x v="1"/>
    <x v="3"/>
    <x v="1"/>
    <x v="0"/>
    <x v="23"/>
    <x v="876"/>
    <x v="4"/>
    <x v="1"/>
  </r>
  <r>
    <x v="21"/>
    <x v="175"/>
    <x v="25"/>
    <x v="615"/>
    <x v="45"/>
    <x v="0"/>
    <x v="1"/>
    <x v="3"/>
    <x v="1"/>
    <x v="1"/>
    <x v="21"/>
    <x v="877"/>
    <x v="5"/>
    <x v="1"/>
  </r>
  <r>
    <x v="77"/>
    <x v="206"/>
    <x v="3"/>
    <x v="458"/>
    <x v="159"/>
    <x v="0"/>
    <x v="1"/>
    <x v="3"/>
    <x v="1"/>
    <x v="0"/>
    <x v="77"/>
    <x v="878"/>
    <x v="5"/>
    <x v="1"/>
  </r>
  <r>
    <x v="84"/>
    <x v="207"/>
    <x v="16"/>
    <x v="4"/>
    <x v="47"/>
    <x v="0"/>
    <x v="1"/>
    <x v="3"/>
    <x v="1"/>
    <x v="1"/>
    <x v="84"/>
    <x v="21"/>
    <x v="5"/>
    <x v="1"/>
  </r>
  <r>
    <x v="39"/>
    <x v="289"/>
    <x v="12"/>
    <x v="610"/>
    <x v="241"/>
    <x v="0"/>
    <x v="1"/>
    <x v="0"/>
    <x v="2"/>
    <x v="1"/>
    <x v="39"/>
    <x v="879"/>
    <x v="7"/>
    <x v="2"/>
  </r>
  <r>
    <x v="23"/>
    <x v="208"/>
    <x v="27"/>
    <x v="616"/>
    <x v="176"/>
    <x v="0"/>
    <x v="1"/>
    <x v="0"/>
    <x v="2"/>
    <x v="1"/>
    <x v="23"/>
    <x v="880"/>
    <x v="0"/>
    <x v="2"/>
  </r>
  <r>
    <x v="61"/>
    <x v="221"/>
    <x v="51"/>
    <x v="607"/>
    <x v="185"/>
    <x v="4"/>
    <x v="1"/>
    <x v="1"/>
    <x v="2"/>
    <x v="0"/>
    <x v="61"/>
    <x v="881"/>
    <x v="8"/>
    <x v="2"/>
  </r>
  <r>
    <x v="20"/>
    <x v="242"/>
    <x v="21"/>
    <x v="611"/>
    <x v="202"/>
    <x v="2"/>
    <x v="1"/>
    <x v="1"/>
    <x v="2"/>
    <x v="1"/>
    <x v="20"/>
    <x v="882"/>
    <x v="1"/>
    <x v="2"/>
  </r>
  <r>
    <x v="66"/>
    <x v="103"/>
    <x v="0"/>
    <x v="617"/>
    <x v="98"/>
    <x v="0"/>
    <x v="1"/>
    <x v="0"/>
    <x v="0"/>
    <x v="0"/>
    <x v="66"/>
    <x v="883"/>
    <x v="11"/>
    <x v="0"/>
  </r>
  <r>
    <x v="67"/>
    <x v="104"/>
    <x v="1"/>
    <x v="618"/>
    <x v="99"/>
    <x v="0"/>
    <x v="1"/>
    <x v="1"/>
    <x v="0"/>
    <x v="0"/>
    <x v="67"/>
    <x v="884"/>
    <x v="1"/>
    <x v="0"/>
  </r>
  <r>
    <x v="39"/>
    <x v="105"/>
    <x v="26"/>
    <x v="619"/>
    <x v="100"/>
    <x v="0"/>
    <x v="1"/>
    <x v="2"/>
    <x v="0"/>
    <x v="0"/>
    <x v="39"/>
    <x v="885"/>
    <x v="2"/>
    <x v="0"/>
  </r>
  <r>
    <x v="41"/>
    <x v="106"/>
    <x v="0"/>
    <x v="620"/>
    <x v="101"/>
    <x v="0"/>
    <x v="1"/>
    <x v="2"/>
    <x v="0"/>
    <x v="0"/>
    <x v="41"/>
    <x v="886"/>
    <x v="10"/>
    <x v="0"/>
  </r>
  <r>
    <x v="4"/>
    <x v="4"/>
    <x v="24"/>
    <x v="621"/>
    <x v="4"/>
    <x v="0"/>
    <x v="1"/>
    <x v="3"/>
    <x v="0"/>
    <x v="1"/>
    <x v="4"/>
    <x v="887"/>
    <x v="4"/>
    <x v="0"/>
  </r>
  <r>
    <x v="42"/>
    <x v="107"/>
    <x v="1"/>
    <x v="618"/>
    <x v="102"/>
    <x v="0"/>
    <x v="1"/>
    <x v="3"/>
    <x v="0"/>
    <x v="0"/>
    <x v="42"/>
    <x v="884"/>
    <x v="5"/>
    <x v="0"/>
  </r>
  <r>
    <x v="7"/>
    <x v="108"/>
    <x v="10"/>
    <x v="622"/>
    <x v="103"/>
    <x v="0"/>
    <x v="1"/>
    <x v="3"/>
    <x v="0"/>
    <x v="0"/>
    <x v="7"/>
    <x v="888"/>
    <x v="5"/>
    <x v="0"/>
  </r>
  <r>
    <x v="68"/>
    <x v="109"/>
    <x v="7"/>
    <x v="623"/>
    <x v="104"/>
    <x v="0"/>
    <x v="1"/>
    <x v="3"/>
    <x v="0"/>
    <x v="0"/>
    <x v="68"/>
    <x v="889"/>
    <x v="5"/>
    <x v="0"/>
  </r>
  <r>
    <x v="23"/>
    <x v="110"/>
    <x v="1"/>
    <x v="217"/>
    <x v="105"/>
    <x v="0"/>
    <x v="1"/>
    <x v="3"/>
    <x v="0"/>
    <x v="0"/>
    <x v="23"/>
    <x v="890"/>
    <x v="6"/>
    <x v="0"/>
  </r>
  <r>
    <x v="9"/>
    <x v="9"/>
    <x v="7"/>
    <x v="624"/>
    <x v="9"/>
    <x v="0"/>
    <x v="1"/>
    <x v="0"/>
    <x v="1"/>
    <x v="0"/>
    <x v="9"/>
    <x v="891"/>
    <x v="7"/>
    <x v="1"/>
  </r>
  <r>
    <x v="69"/>
    <x v="111"/>
    <x v="16"/>
    <x v="618"/>
    <x v="106"/>
    <x v="0"/>
    <x v="1"/>
    <x v="0"/>
    <x v="1"/>
    <x v="0"/>
    <x v="69"/>
    <x v="892"/>
    <x v="0"/>
    <x v="1"/>
  </r>
  <r>
    <x v="48"/>
    <x v="112"/>
    <x v="20"/>
    <x v="625"/>
    <x v="107"/>
    <x v="0"/>
    <x v="1"/>
    <x v="1"/>
    <x v="1"/>
    <x v="0"/>
    <x v="48"/>
    <x v="893"/>
    <x v="8"/>
    <x v="1"/>
  </r>
  <r>
    <x v="22"/>
    <x v="113"/>
    <x v="16"/>
    <x v="626"/>
    <x v="108"/>
    <x v="3"/>
    <x v="1"/>
    <x v="1"/>
    <x v="1"/>
    <x v="0"/>
    <x v="22"/>
    <x v="894"/>
    <x v="9"/>
    <x v="1"/>
  </r>
  <r>
    <x v="70"/>
    <x v="114"/>
    <x v="20"/>
    <x v="625"/>
    <x v="109"/>
    <x v="0"/>
    <x v="1"/>
    <x v="2"/>
    <x v="1"/>
    <x v="0"/>
    <x v="70"/>
    <x v="893"/>
    <x v="2"/>
    <x v="1"/>
  </r>
  <r>
    <x v="71"/>
    <x v="115"/>
    <x v="14"/>
    <x v="518"/>
    <x v="110"/>
    <x v="0"/>
    <x v="1"/>
    <x v="2"/>
    <x v="1"/>
    <x v="0"/>
    <x v="71"/>
    <x v="895"/>
    <x v="3"/>
    <x v="1"/>
  </r>
  <r>
    <x v="69"/>
    <x v="116"/>
    <x v="14"/>
    <x v="627"/>
    <x v="111"/>
    <x v="0"/>
    <x v="1"/>
    <x v="2"/>
    <x v="1"/>
    <x v="0"/>
    <x v="69"/>
    <x v="896"/>
    <x v="3"/>
    <x v="1"/>
  </r>
  <r>
    <x v="72"/>
    <x v="117"/>
    <x v="28"/>
    <x v="628"/>
    <x v="112"/>
    <x v="0"/>
    <x v="1"/>
    <x v="3"/>
    <x v="0"/>
    <x v="0"/>
    <x v="72"/>
    <x v="897"/>
    <x v="4"/>
    <x v="0"/>
  </r>
  <r>
    <x v="68"/>
    <x v="118"/>
    <x v="19"/>
    <x v="629"/>
    <x v="113"/>
    <x v="0"/>
    <x v="1"/>
    <x v="3"/>
    <x v="1"/>
    <x v="0"/>
    <x v="68"/>
    <x v="898"/>
    <x v="4"/>
    <x v="1"/>
  </r>
  <r>
    <x v="24"/>
    <x v="119"/>
    <x v="18"/>
    <x v="518"/>
    <x v="114"/>
    <x v="0"/>
    <x v="1"/>
    <x v="3"/>
    <x v="1"/>
    <x v="0"/>
    <x v="24"/>
    <x v="899"/>
    <x v="5"/>
    <x v="1"/>
  </r>
  <r>
    <x v="45"/>
    <x v="186"/>
    <x v="32"/>
    <x v="4"/>
    <x v="159"/>
    <x v="0"/>
    <x v="1"/>
    <x v="3"/>
    <x v="1"/>
    <x v="1"/>
    <x v="45"/>
    <x v="53"/>
    <x v="5"/>
    <x v="1"/>
  </r>
  <r>
    <x v="10"/>
    <x v="187"/>
    <x v="7"/>
    <x v="625"/>
    <x v="20"/>
    <x v="0"/>
    <x v="1"/>
    <x v="3"/>
    <x v="1"/>
    <x v="0"/>
    <x v="10"/>
    <x v="900"/>
    <x v="5"/>
    <x v="1"/>
  </r>
  <r>
    <x v="23"/>
    <x v="273"/>
    <x v="27"/>
    <x v="625"/>
    <x v="228"/>
    <x v="0"/>
    <x v="1"/>
    <x v="3"/>
    <x v="1"/>
    <x v="0"/>
    <x v="23"/>
    <x v="901"/>
    <x v="6"/>
    <x v="1"/>
  </r>
  <r>
    <x v="73"/>
    <x v="120"/>
    <x v="15"/>
    <x v="4"/>
    <x v="115"/>
    <x v="0"/>
    <x v="1"/>
    <x v="0"/>
    <x v="2"/>
    <x v="0"/>
    <x v="73"/>
    <x v="27"/>
    <x v="7"/>
    <x v="2"/>
  </r>
  <r>
    <x v="23"/>
    <x v="220"/>
    <x v="12"/>
    <x v="630"/>
    <x v="184"/>
    <x v="0"/>
    <x v="1"/>
    <x v="0"/>
    <x v="2"/>
    <x v="0"/>
    <x v="23"/>
    <x v="902"/>
    <x v="0"/>
    <x v="2"/>
  </r>
  <r>
    <x v="39"/>
    <x v="190"/>
    <x v="12"/>
    <x v="324"/>
    <x v="162"/>
    <x v="0"/>
    <x v="1"/>
    <x v="0"/>
    <x v="2"/>
    <x v="0"/>
    <x v="39"/>
    <x v="903"/>
    <x v="11"/>
    <x v="2"/>
  </r>
  <r>
    <x v="19"/>
    <x v="122"/>
    <x v="36"/>
    <x v="626"/>
    <x v="116"/>
    <x v="0"/>
    <x v="1"/>
    <x v="1"/>
    <x v="2"/>
    <x v="0"/>
    <x v="19"/>
    <x v="904"/>
    <x v="1"/>
    <x v="2"/>
  </r>
  <r>
    <x v="86"/>
    <x v="222"/>
    <x v="28"/>
    <x v="417"/>
    <x v="186"/>
    <x v="0"/>
    <x v="3"/>
    <x v="0"/>
    <x v="0"/>
    <x v="0"/>
    <x v="86"/>
    <x v="905"/>
    <x v="0"/>
    <x v="0"/>
  </r>
  <r>
    <x v="19"/>
    <x v="64"/>
    <x v="14"/>
    <x v="631"/>
    <x v="63"/>
    <x v="0"/>
    <x v="3"/>
    <x v="1"/>
    <x v="0"/>
    <x v="0"/>
    <x v="19"/>
    <x v="906"/>
    <x v="8"/>
    <x v="0"/>
  </r>
  <r>
    <x v="88"/>
    <x v="223"/>
    <x v="6"/>
    <x v="632"/>
    <x v="187"/>
    <x v="0"/>
    <x v="3"/>
    <x v="1"/>
    <x v="0"/>
    <x v="0"/>
    <x v="88"/>
    <x v="907"/>
    <x v="9"/>
    <x v="0"/>
  </r>
  <r>
    <x v="50"/>
    <x v="66"/>
    <x v="29"/>
    <x v="633"/>
    <x v="65"/>
    <x v="0"/>
    <x v="3"/>
    <x v="2"/>
    <x v="0"/>
    <x v="0"/>
    <x v="50"/>
    <x v="908"/>
    <x v="3"/>
    <x v="0"/>
  </r>
  <r>
    <x v="16"/>
    <x v="67"/>
    <x v="1"/>
    <x v="634"/>
    <x v="66"/>
    <x v="0"/>
    <x v="3"/>
    <x v="3"/>
    <x v="0"/>
    <x v="0"/>
    <x v="16"/>
    <x v="909"/>
    <x v="4"/>
    <x v="0"/>
  </r>
  <r>
    <x v="37"/>
    <x v="68"/>
    <x v="22"/>
    <x v="635"/>
    <x v="67"/>
    <x v="3"/>
    <x v="3"/>
    <x v="3"/>
    <x v="0"/>
    <x v="0"/>
    <x v="37"/>
    <x v="910"/>
    <x v="4"/>
    <x v="0"/>
  </r>
  <r>
    <x v="51"/>
    <x v="69"/>
    <x v="26"/>
    <x v="636"/>
    <x v="68"/>
    <x v="0"/>
    <x v="3"/>
    <x v="3"/>
    <x v="0"/>
    <x v="0"/>
    <x v="51"/>
    <x v="911"/>
    <x v="5"/>
    <x v="0"/>
  </r>
  <r>
    <x v="52"/>
    <x v="70"/>
    <x v="15"/>
    <x v="637"/>
    <x v="69"/>
    <x v="0"/>
    <x v="3"/>
    <x v="3"/>
    <x v="0"/>
    <x v="0"/>
    <x v="52"/>
    <x v="912"/>
    <x v="5"/>
    <x v="0"/>
  </r>
  <r>
    <x v="66"/>
    <x v="224"/>
    <x v="26"/>
    <x v="638"/>
    <x v="188"/>
    <x v="0"/>
    <x v="3"/>
    <x v="3"/>
    <x v="0"/>
    <x v="0"/>
    <x v="66"/>
    <x v="913"/>
    <x v="5"/>
    <x v="0"/>
  </r>
  <r>
    <x v="54"/>
    <x v="72"/>
    <x v="5"/>
    <x v="633"/>
    <x v="71"/>
    <x v="0"/>
    <x v="3"/>
    <x v="0"/>
    <x v="1"/>
    <x v="0"/>
    <x v="54"/>
    <x v="914"/>
    <x v="7"/>
    <x v="1"/>
  </r>
  <r>
    <x v="55"/>
    <x v="73"/>
    <x v="30"/>
    <x v="639"/>
    <x v="72"/>
    <x v="0"/>
    <x v="3"/>
    <x v="0"/>
    <x v="1"/>
    <x v="1"/>
    <x v="55"/>
    <x v="915"/>
    <x v="0"/>
    <x v="1"/>
  </r>
  <r>
    <x v="33"/>
    <x v="277"/>
    <x v="32"/>
    <x v="640"/>
    <x v="232"/>
    <x v="0"/>
    <x v="3"/>
    <x v="1"/>
    <x v="1"/>
    <x v="0"/>
    <x v="33"/>
    <x v="916"/>
    <x v="1"/>
    <x v="1"/>
  </r>
  <r>
    <x v="23"/>
    <x v="226"/>
    <x v="12"/>
    <x v="639"/>
    <x v="190"/>
    <x v="3"/>
    <x v="3"/>
    <x v="1"/>
    <x v="1"/>
    <x v="1"/>
    <x v="23"/>
    <x v="917"/>
    <x v="9"/>
    <x v="1"/>
  </r>
  <r>
    <x v="41"/>
    <x v="227"/>
    <x v="16"/>
    <x v="641"/>
    <x v="75"/>
    <x v="0"/>
    <x v="3"/>
    <x v="2"/>
    <x v="1"/>
    <x v="0"/>
    <x v="41"/>
    <x v="918"/>
    <x v="2"/>
    <x v="1"/>
  </r>
  <r>
    <x v="85"/>
    <x v="228"/>
    <x v="25"/>
    <x v="638"/>
    <x v="191"/>
    <x v="0"/>
    <x v="3"/>
    <x v="2"/>
    <x v="1"/>
    <x v="0"/>
    <x v="85"/>
    <x v="919"/>
    <x v="3"/>
    <x v="1"/>
  </r>
  <r>
    <x v="89"/>
    <x v="229"/>
    <x v="28"/>
    <x v="642"/>
    <x v="192"/>
    <x v="0"/>
    <x v="3"/>
    <x v="2"/>
    <x v="1"/>
    <x v="0"/>
    <x v="89"/>
    <x v="920"/>
    <x v="10"/>
    <x v="1"/>
  </r>
  <r>
    <x v="29"/>
    <x v="79"/>
    <x v="8"/>
    <x v="638"/>
    <x v="78"/>
    <x v="0"/>
    <x v="3"/>
    <x v="3"/>
    <x v="1"/>
    <x v="0"/>
    <x v="29"/>
    <x v="921"/>
    <x v="4"/>
    <x v="1"/>
  </r>
  <r>
    <x v="59"/>
    <x v="80"/>
    <x v="20"/>
    <x v="643"/>
    <x v="79"/>
    <x v="0"/>
    <x v="3"/>
    <x v="3"/>
    <x v="1"/>
    <x v="1"/>
    <x v="59"/>
    <x v="922"/>
    <x v="5"/>
    <x v="1"/>
  </r>
  <r>
    <x v="86"/>
    <x v="278"/>
    <x v="14"/>
    <x v="631"/>
    <x v="233"/>
    <x v="0"/>
    <x v="3"/>
    <x v="3"/>
    <x v="1"/>
    <x v="0"/>
    <x v="86"/>
    <x v="906"/>
    <x v="5"/>
    <x v="1"/>
  </r>
  <r>
    <x v="35"/>
    <x v="59"/>
    <x v="6"/>
    <x v="644"/>
    <x v="58"/>
    <x v="0"/>
    <x v="3"/>
    <x v="3"/>
    <x v="1"/>
    <x v="0"/>
    <x v="35"/>
    <x v="923"/>
    <x v="5"/>
    <x v="1"/>
  </r>
  <r>
    <x v="49"/>
    <x v="232"/>
    <x v="19"/>
    <x v="645"/>
    <x v="195"/>
    <x v="0"/>
    <x v="3"/>
    <x v="3"/>
    <x v="1"/>
    <x v="0"/>
    <x v="49"/>
    <x v="924"/>
    <x v="6"/>
    <x v="1"/>
  </r>
  <r>
    <x v="20"/>
    <x v="21"/>
    <x v="1"/>
    <x v="4"/>
    <x v="21"/>
    <x v="0"/>
    <x v="3"/>
    <x v="3"/>
    <x v="1"/>
    <x v="1"/>
    <x v="20"/>
    <x v="13"/>
    <x v="6"/>
    <x v="1"/>
  </r>
  <r>
    <x v="60"/>
    <x v="85"/>
    <x v="12"/>
    <x v="646"/>
    <x v="84"/>
    <x v="0"/>
    <x v="3"/>
    <x v="0"/>
    <x v="2"/>
    <x v="1"/>
    <x v="60"/>
    <x v="925"/>
    <x v="7"/>
    <x v="2"/>
  </r>
  <r>
    <x v="23"/>
    <x v="233"/>
    <x v="21"/>
    <x v="647"/>
    <x v="196"/>
    <x v="5"/>
    <x v="3"/>
    <x v="0"/>
    <x v="2"/>
    <x v="0"/>
    <x v="23"/>
    <x v="926"/>
    <x v="11"/>
    <x v="2"/>
  </r>
  <r>
    <x v="1"/>
    <x v="234"/>
    <x v="1"/>
    <x v="638"/>
    <x v="197"/>
    <x v="0"/>
    <x v="3"/>
    <x v="0"/>
    <x v="2"/>
    <x v="0"/>
    <x v="1"/>
    <x v="927"/>
    <x v="11"/>
    <x v="2"/>
  </r>
  <r>
    <x v="61"/>
    <x v="88"/>
    <x v="19"/>
    <x v="326"/>
    <x v="87"/>
    <x v="0"/>
    <x v="3"/>
    <x v="1"/>
    <x v="2"/>
    <x v="0"/>
    <x v="61"/>
    <x v="460"/>
    <x v="8"/>
    <x v="2"/>
  </r>
  <r>
    <x v="87"/>
    <x v="279"/>
    <x v="52"/>
    <x v="640"/>
    <x v="234"/>
    <x v="1"/>
    <x v="3"/>
    <x v="1"/>
    <x v="2"/>
    <x v="0"/>
    <x v="87"/>
    <x v="928"/>
    <x v="1"/>
    <x v="2"/>
  </r>
  <r>
    <x v="84"/>
    <x v="237"/>
    <x v="30"/>
    <x v="4"/>
    <x v="166"/>
    <x v="0"/>
    <x v="1"/>
    <x v="1"/>
    <x v="0"/>
    <x v="1"/>
    <x v="84"/>
    <x v="49"/>
    <x v="1"/>
    <x v="0"/>
  </r>
  <r>
    <x v="78"/>
    <x v="180"/>
    <x v="0"/>
    <x v="4"/>
    <x v="154"/>
    <x v="0"/>
    <x v="1"/>
    <x v="3"/>
    <x v="0"/>
    <x v="1"/>
    <x v="78"/>
    <x v="32"/>
    <x v="4"/>
    <x v="0"/>
  </r>
  <r>
    <x v="13"/>
    <x v="213"/>
    <x v="8"/>
    <x v="648"/>
    <x v="155"/>
    <x v="0"/>
    <x v="1"/>
    <x v="3"/>
    <x v="0"/>
    <x v="0"/>
    <x v="13"/>
    <x v="929"/>
    <x v="5"/>
    <x v="0"/>
  </r>
  <r>
    <x v="39"/>
    <x v="199"/>
    <x v="4"/>
    <x v="4"/>
    <x v="103"/>
    <x v="0"/>
    <x v="1"/>
    <x v="3"/>
    <x v="0"/>
    <x v="1"/>
    <x v="39"/>
    <x v="4"/>
    <x v="5"/>
    <x v="0"/>
  </r>
  <r>
    <x v="40"/>
    <x v="172"/>
    <x v="12"/>
    <x v="4"/>
    <x v="104"/>
    <x v="0"/>
    <x v="1"/>
    <x v="3"/>
    <x v="0"/>
    <x v="1"/>
    <x v="40"/>
    <x v="46"/>
    <x v="5"/>
    <x v="0"/>
  </r>
  <r>
    <x v="74"/>
    <x v="182"/>
    <x v="7"/>
    <x v="649"/>
    <x v="105"/>
    <x v="0"/>
    <x v="1"/>
    <x v="3"/>
    <x v="0"/>
    <x v="1"/>
    <x v="74"/>
    <x v="930"/>
    <x v="6"/>
    <x v="0"/>
  </r>
  <r>
    <x v="23"/>
    <x v="157"/>
    <x v="12"/>
    <x v="650"/>
    <x v="138"/>
    <x v="0"/>
    <x v="1"/>
    <x v="0"/>
    <x v="1"/>
    <x v="1"/>
    <x v="23"/>
    <x v="931"/>
    <x v="7"/>
    <x v="1"/>
  </r>
  <r>
    <x v="55"/>
    <x v="214"/>
    <x v="7"/>
    <x v="651"/>
    <x v="181"/>
    <x v="0"/>
    <x v="1"/>
    <x v="0"/>
    <x v="1"/>
    <x v="1"/>
    <x v="55"/>
    <x v="932"/>
    <x v="0"/>
    <x v="1"/>
  </r>
  <r>
    <x v="83"/>
    <x v="215"/>
    <x v="26"/>
    <x v="652"/>
    <x v="156"/>
    <x v="0"/>
    <x v="1"/>
    <x v="1"/>
    <x v="1"/>
    <x v="0"/>
    <x v="83"/>
    <x v="933"/>
    <x v="8"/>
    <x v="1"/>
  </r>
  <r>
    <x v="65"/>
    <x v="216"/>
    <x v="2"/>
    <x v="4"/>
    <x v="182"/>
    <x v="0"/>
    <x v="1"/>
    <x v="2"/>
    <x v="1"/>
    <x v="1"/>
    <x v="65"/>
    <x v="9"/>
    <x v="10"/>
    <x v="1"/>
  </r>
  <r>
    <x v="85"/>
    <x v="185"/>
    <x v="8"/>
    <x v="653"/>
    <x v="158"/>
    <x v="0"/>
    <x v="1"/>
    <x v="3"/>
    <x v="0"/>
    <x v="0"/>
    <x v="85"/>
    <x v="934"/>
    <x v="4"/>
    <x v="0"/>
  </r>
  <r>
    <x v="23"/>
    <x v="217"/>
    <x v="12"/>
    <x v="651"/>
    <x v="113"/>
    <x v="0"/>
    <x v="1"/>
    <x v="3"/>
    <x v="1"/>
    <x v="1"/>
    <x v="23"/>
    <x v="935"/>
    <x v="4"/>
    <x v="1"/>
  </r>
  <r>
    <x v="21"/>
    <x v="175"/>
    <x v="15"/>
    <x v="654"/>
    <x v="45"/>
    <x v="0"/>
    <x v="1"/>
    <x v="3"/>
    <x v="1"/>
    <x v="0"/>
    <x v="21"/>
    <x v="936"/>
    <x v="5"/>
    <x v="1"/>
  </r>
  <r>
    <x v="77"/>
    <x v="206"/>
    <x v="28"/>
    <x v="655"/>
    <x v="159"/>
    <x v="0"/>
    <x v="1"/>
    <x v="3"/>
    <x v="1"/>
    <x v="0"/>
    <x v="77"/>
    <x v="937"/>
    <x v="5"/>
    <x v="1"/>
  </r>
  <r>
    <x v="84"/>
    <x v="207"/>
    <x v="18"/>
    <x v="656"/>
    <x v="47"/>
    <x v="0"/>
    <x v="1"/>
    <x v="3"/>
    <x v="1"/>
    <x v="0"/>
    <x v="84"/>
    <x v="938"/>
    <x v="5"/>
    <x v="1"/>
  </r>
  <r>
    <x v="39"/>
    <x v="289"/>
    <x v="14"/>
    <x v="657"/>
    <x v="241"/>
    <x v="0"/>
    <x v="1"/>
    <x v="0"/>
    <x v="2"/>
    <x v="0"/>
    <x v="39"/>
    <x v="939"/>
    <x v="7"/>
    <x v="2"/>
  </r>
  <r>
    <x v="61"/>
    <x v="221"/>
    <x v="30"/>
    <x v="652"/>
    <x v="185"/>
    <x v="4"/>
    <x v="1"/>
    <x v="1"/>
    <x v="2"/>
    <x v="1"/>
    <x v="61"/>
    <x v="940"/>
    <x v="8"/>
    <x v="2"/>
  </r>
  <r>
    <x v="20"/>
    <x v="242"/>
    <x v="18"/>
    <x v="4"/>
    <x v="202"/>
    <x v="2"/>
    <x v="1"/>
    <x v="1"/>
    <x v="2"/>
    <x v="0"/>
    <x v="20"/>
    <x v="23"/>
    <x v="1"/>
    <x v="2"/>
  </r>
  <r>
    <x v="48"/>
    <x v="63"/>
    <x v="24"/>
    <x v="658"/>
    <x v="62"/>
    <x v="0"/>
    <x v="3"/>
    <x v="0"/>
    <x v="0"/>
    <x v="1"/>
    <x v="48"/>
    <x v="941"/>
    <x v="0"/>
    <x v="0"/>
  </r>
  <r>
    <x v="19"/>
    <x v="64"/>
    <x v="21"/>
    <x v="659"/>
    <x v="63"/>
    <x v="0"/>
    <x v="3"/>
    <x v="1"/>
    <x v="0"/>
    <x v="1"/>
    <x v="19"/>
    <x v="942"/>
    <x v="8"/>
    <x v="0"/>
  </r>
  <r>
    <x v="49"/>
    <x v="65"/>
    <x v="24"/>
    <x v="660"/>
    <x v="64"/>
    <x v="0"/>
    <x v="3"/>
    <x v="1"/>
    <x v="0"/>
    <x v="1"/>
    <x v="49"/>
    <x v="943"/>
    <x v="9"/>
    <x v="0"/>
  </r>
  <r>
    <x v="50"/>
    <x v="66"/>
    <x v="10"/>
    <x v="661"/>
    <x v="65"/>
    <x v="0"/>
    <x v="3"/>
    <x v="2"/>
    <x v="0"/>
    <x v="0"/>
    <x v="50"/>
    <x v="944"/>
    <x v="3"/>
    <x v="0"/>
  </r>
  <r>
    <x v="16"/>
    <x v="67"/>
    <x v="9"/>
    <x v="662"/>
    <x v="66"/>
    <x v="0"/>
    <x v="3"/>
    <x v="3"/>
    <x v="0"/>
    <x v="0"/>
    <x v="16"/>
    <x v="945"/>
    <x v="4"/>
    <x v="0"/>
  </r>
  <r>
    <x v="37"/>
    <x v="68"/>
    <x v="6"/>
    <x v="663"/>
    <x v="67"/>
    <x v="3"/>
    <x v="3"/>
    <x v="3"/>
    <x v="0"/>
    <x v="0"/>
    <x v="37"/>
    <x v="946"/>
    <x v="4"/>
    <x v="0"/>
  </r>
  <r>
    <x v="51"/>
    <x v="69"/>
    <x v="15"/>
    <x v="664"/>
    <x v="68"/>
    <x v="0"/>
    <x v="3"/>
    <x v="3"/>
    <x v="0"/>
    <x v="0"/>
    <x v="51"/>
    <x v="947"/>
    <x v="5"/>
    <x v="0"/>
  </r>
  <r>
    <x v="52"/>
    <x v="70"/>
    <x v="5"/>
    <x v="665"/>
    <x v="69"/>
    <x v="0"/>
    <x v="3"/>
    <x v="3"/>
    <x v="0"/>
    <x v="1"/>
    <x v="52"/>
    <x v="948"/>
    <x v="5"/>
    <x v="0"/>
  </r>
  <r>
    <x v="53"/>
    <x v="71"/>
    <x v="8"/>
    <x v="666"/>
    <x v="70"/>
    <x v="0"/>
    <x v="3"/>
    <x v="3"/>
    <x v="0"/>
    <x v="0"/>
    <x v="53"/>
    <x v="949"/>
    <x v="5"/>
    <x v="0"/>
  </r>
  <r>
    <x v="54"/>
    <x v="72"/>
    <x v="8"/>
    <x v="667"/>
    <x v="71"/>
    <x v="0"/>
    <x v="3"/>
    <x v="0"/>
    <x v="1"/>
    <x v="0"/>
    <x v="54"/>
    <x v="950"/>
    <x v="7"/>
    <x v="1"/>
  </r>
  <r>
    <x v="55"/>
    <x v="73"/>
    <x v="12"/>
    <x v="661"/>
    <x v="72"/>
    <x v="0"/>
    <x v="3"/>
    <x v="0"/>
    <x v="1"/>
    <x v="1"/>
    <x v="55"/>
    <x v="951"/>
    <x v="0"/>
    <x v="1"/>
  </r>
  <r>
    <x v="0"/>
    <x v="74"/>
    <x v="10"/>
    <x v="668"/>
    <x v="73"/>
    <x v="3"/>
    <x v="3"/>
    <x v="1"/>
    <x v="1"/>
    <x v="0"/>
    <x v="0"/>
    <x v="952"/>
    <x v="1"/>
    <x v="1"/>
  </r>
  <r>
    <x v="23"/>
    <x v="226"/>
    <x v="4"/>
    <x v="669"/>
    <x v="190"/>
    <x v="3"/>
    <x v="3"/>
    <x v="1"/>
    <x v="1"/>
    <x v="1"/>
    <x v="23"/>
    <x v="953"/>
    <x v="9"/>
    <x v="1"/>
  </r>
  <r>
    <x v="56"/>
    <x v="76"/>
    <x v="7"/>
    <x v="670"/>
    <x v="75"/>
    <x v="0"/>
    <x v="3"/>
    <x v="2"/>
    <x v="1"/>
    <x v="1"/>
    <x v="56"/>
    <x v="954"/>
    <x v="2"/>
    <x v="1"/>
  </r>
  <r>
    <x v="57"/>
    <x v="77"/>
    <x v="29"/>
    <x v="671"/>
    <x v="76"/>
    <x v="0"/>
    <x v="3"/>
    <x v="2"/>
    <x v="1"/>
    <x v="0"/>
    <x v="57"/>
    <x v="955"/>
    <x v="3"/>
    <x v="1"/>
  </r>
  <r>
    <x v="89"/>
    <x v="229"/>
    <x v="8"/>
    <x v="672"/>
    <x v="192"/>
    <x v="0"/>
    <x v="3"/>
    <x v="2"/>
    <x v="1"/>
    <x v="0"/>
    <x v="89"/>
    <x v="956"/>
    <x v="10"/>
    <x v="1"/>
  </r>
  <r>
    <x v="29"/>
    <x v="79"/>
    <x v="8"/>
    <x v="673"/>
    <x v="78"/>
    <x v="0"/>
    <x v="3"/>
    <x v="3"/>
    <x v="1"/>
    <x v="0"/>
    <x v="29"/>
    <x v="957"/>
    <x v="4"/>
    <x v="1"/>
  </r>
  <r>
    <x v="59"/>
    <x v="80"/>
    <x v="32"/>
    <x v="674"/>
    <x v="79"/>
    <x v="0"/>
    <x v="3"/>
    <x v="3"/>
    <x v="1"/>
    <x v="0"/>
    <x v="59"/>
    <x v="958"/>
    <x v="5"/>
    <x v="1"/>
  </r>
  <r>
    <x v="24"/>
    <x v="267"/>
    <x v="14"/>
    <x v="674"/>
    <x v="223"/>
    <x v="0"/>
    <x v="3"/>
    <x v="3"/>
    <x v="1"/>
    <x v="0"/>
    <x v="24"/>
    <x v="959"/>
    <x v="5"/>
    <x v="1"/>
  </r>
  <r>
    <x v="35"/>
    <x v="59"/>
    <x v="13"/>
    <x v="675"/>
    <x v="58"/>
    <x v="0"/>
    <x v="3"/>
    <x v="3"/>
    <x v="1"/>
    <x v="0"/>
    <x v="35"/>
    <x v="960"/>
    <x v="5"/>
    <x v="1"/>
  </r>
  <r>
    <x v="23"/>
    <x v="83"/>
    <x v="32"/>
    <x v="676"/>
    <x v="82"/>
    <x v="0"/>
    <x v="3"/>
    <x v="3"/>
    <x v="1"/>
    <x v="0"/>
    <x v="23"/>
    <x v="961"/>
    <x v="6"/>
    <x v="1"/>
  </r>
  <r>
    <x v="60"/>
    <x v="85"/>
    <x v="10"/>
    <x v="4"/>
    <x v="84"/>
    <x v="0"/>
    <x v="3"/>
    <x v="0"/>
    <x v="2"/>
    <x v="0"/>
    <x v="60"/>
    <x v="11"/>
    <x v="7"/>
    <x v="2"/>
  </r>
  <r>
    <x v="39"/>
    <x v="293"/>
    <x v="9"/>
    <x v="665"/>
    <x v="244"/>
    <x v="0"/>
    <x v="3"/>
    <x v="0"/>
    <x v="2"/>
    <x v="1"/>
    <x v="39"/>
    <x v="962"/>
    <x v="0"/>
    <x v="2"/>
  </r>
  <r>
    <x v="39"/>
    <x v="160"/>
    <x v="9"/>
    <x v="659"/>
    <x v="141"/>
    <x v="0"/>
    <x v="3"/>
    <x v="0"/>
    <x v="2"/>
    <x v="1"/>
    <x v="39"/>
    <x v="963"/>
    <x v="11"/>
    <x v="2"/>
  </r>
  <r>
    <x v="61"/>
    <x v="88"/>
    <x v="13"/>
    <x v="671"/>
    <x v="87"/>
    <x v="0"/>
    <x v="3"/>
    <x v="1"/>
    <x v="2"/>
    <x v="1"/>
    <x v="61"/>
    <x v="964"/>
    <x v="8"/>
    <x v="2"/>
  </r>
  <r>
    <x v="58"/>
    <x v="89"/>
    <x v="41"/>
    <x v="668"/>
    <x v="88"/>
    <x v="4"/>
    <x v="3"/>
    <x v="1"/>
    <x v="2"/>
    <x v="1"/>
    <x v="58"/>
    <x v="965"/>
    <x v="1"/>
    <x v="2"/>
  </r>
  <r>
    <x v="66"/>
    <x v="103"/>
    <x v="23"/>
    <x v="4"/>
    <x v="98"/>
    <x v="0"/>
    <x v="1"/>
    <x v="0"/>
    <x v="0"/>
    <x v="1"/>
    <x v="66"/>
    <x v="31"/>
    <x v="11"/>
    <x v="0"/>
  </r>
  <r>
    <x v="67"/>
    <x v="104"/>
    <x v="30"/>
    <x v="4"/>
    <x v="99"/>
    <x v="0"/>
    <x v="1"/>
    <x v="1"/>
    <x v="0"/>
    <x v="1"/>
    <x v="67"/>
    <x v="49"/>
    <x v="1"/>
    <x v="0"/>
  </r>
  <r>
    <x v="39"/>
    <x v="105"/>
    <x v="20"/>
    <x v="4"/>
    <x v="100"/>
    <x v="0"/>
    <x v="1"/>
    <x v="2"/>
    <x v="0"/>
    <x v="1"/>
    <x v="39"/>
    <x v="28"/>
    <x v="2"/>
    <x v="0"/>
  </r>
  <r>
    <x v="41"/>
    <x v="106"/>
    <x v="10"/>
    <x v="4"/>
    <x v="101"/>
    <x v="0"/>
    <x v="1"/>
    <x v="2"/>
    <x v="0"/>
    <x v="0"/>
    <x v="41"/>
    <x v="11"/>
    <x v="10"/>
    <x v="0"/>
  </r>
  <r>
    <x v="54"/>
    <x v="155"/>
    <x v="21"/>
    <x v="4"/>
    <x v="137"/>
    <x v="0"/>
    <x v="1"/>
    <x v="3"/>
    <x v="0"/>
    <x v="1"/>
    <x v="54"/>
    <x v="29"/>
    <x v="4"/>
    <x v="0"/>
  </r>
  <r>
    <x v="63"/>
    <x v="156"/>
    <x v="1"/>
    <x v="4"/>
    <x v="102"/>
    <x v="0"/>
    <x v="1"/>
    <x v="3"/>
    <x v="0"/>
    <x v="1"/>
    <x v="63"/>
    <x v="13"/>
    <x v="5"/>
    <x v="0"/>
  </r>
  <r>
    <x v="7"/>
    <x v="108"/>
    <x v="32"/>
    <x v="4"/>
    <x v="103"/>
    <x v="0"/>
    <x v="1"/>
    <x v="3"/>
    <x v="0"/>
    <x v="1"/>
    <x v="7"/>
    <x v="53"/>
    <x v="5"/>
    <x v="0"/>
  </r>
  <r>
    <x v="23"/>
    <x v="157"/>
    <x v="4"/>
    <x v="4"/>
    <x v="138"/>
    <x v="0"/>
    <x v="1"/>
    <x v="0"/>
    <x v="1"/>
    <x v="1"/>
    <x v="23"/>
    <x v="4"/>
    <x v="7"/>
    <x v="1"/>
  </r>
  <r>
    <x v="69"/>
    <x v="111"/>
    <x v="23"/>
    <x v="4"/>
    <x v="106"/>
    <x v="0"/>
    <x v="1"/>
    <x v="0"/>
    <x v="1"/>
    <x v="1"/>
    <x v="69"/>
    <x v="31"/>
    <x v="0"/>
    <x v="1"/>
  </r>
  <r>
    <x v="60"/>
    <x v="173"/>
    <x v="6"/>
    <x v="4"/>
    <x v="148"/>
    <x v="0"/>
    <x v="1"/>
    <x v="1"/>
    <x v="1"/>
    <x v="1"/>
    <x v="60"/>
    <x v="24"/>
    <x v="8"/>
    <x v="1"/>
  </r>
  <r>
    <x v="22"/>
    <x v="113"/>
    <x v="25"/>
    <x v="4"/>
    <x v="108"/>
    <x v="3"/>
    <x v="1"/>
    <x v="1"/>
    <x v="1"/>
    <x v="1"/>
    <x v="22"/>
    <x v="44"/>
    <x v="9"/>
    <x v="1"/>
  </r>
  <r>
    <x v="70"/>
    <x v="114"/>
    <x v="16"/>
    <x v="4"/>
    <x v="109"/>
    <x v="0"/>
    <x v="1"/>
    <x v="2"/>
    <x v="1"/>
    <x v="0"/>
    <x v="70"/>
    <x v="21"/>
    <x v="2"/>
    <x v="1"/>
  </r>
  <r>
    <x v="84"/>
    <x v="184"/>
    <x v="32"/>
    <x v="4"/>
    <x v="157"/>
    <x v="0"/>
    <x v="1"/>
    <x v="2"/>
    <x v="1"/>
    <x v="1"/>
    <x v="84"/>
    <x v="53"/>
    <x v="3"/>
    <x v="1"/>
  </r>
  <r>
    <x v="85"/>
    <x v="185"/>
    <x v="24"/>
    <x v="4"/>
    <x v="158"/>
    <x v="0"/>
    <x v="1"/>
    <x v="3"/>
    <x v="0"/>
    <x v="2"/>
    <x v="85"/>
    <x v="33"/>
    <x v="4"/>
    <x v="0"/>
  </r>
  <r>
    <x v="68"/>
    <x v="118"/>
    <x v="3"/>
    <x v="4"/>
    <x v="113"/>
    <x v="0"/>
    <x v="1"/>
    <x v="3"/>
    <x v="1"/>
    <x v="1"/>
    <x v="68"/>
    <x v="26"/>
    <x v="4"/>
    <x v="1"/>
  </r>
  <r>
    <x v="21"/>
    <x v="175"/>
    <x v="18"/>
    <x v="4"/>
    <x v="45"/>
    <x v="0"/>
    <x v="1"/>
    <x v="3"/>
    <x v="1"/>
    <x v="1"/>
    <x v="21"/>
    <x v="23"/>
    <x v="5"/>
    <x v="1"/>
  </r>
  <r>
    <x v="45"/>
    <x v="186"/>
    <x v="15"/>
    <x v="4"/>
    <x v="159"/>
    <x v="0"/>
    <x v="1"/>
    <x v="3"/>
    <x v="1"/>
    <x v="1"/>
    <x v="45"/>
    <x v="27"/>
    <x v="5"/>
    <x v="1"/>
  </r>
  <r>
    <x v="10"/>
    <x v="187"/>
    <x v="13"/>
    <x v="4"/>
    <x v="20"/>
    <x v="0"/>
    <x v="1"/>
    <x v="3"/>
    <x v="1"/>
    <x v="1"/>
    <x v="10"/>
    <x v="17"/>
    <x v="5"/>
    <x v="1"/>
  </r>
  <r>
    <x v="23"/>
    <x v="273"/>
    <x v="22"/>
    <x v="4"/>
    <x v="228"/>
    <x v="0"/>
    <x v="1"/>
    <x v="3"/>
    <x v="1"/>
    <x v="1"/>
    <x v="23"/>
    <x v="30"/>
    <x v="6"/>
    <x v="1"/>
  </r>
  <r>
    <x v="73"/>
    <x v="120"/>
    <x v="28"/>
    <x v="677"/>
    <x v="115"/>
    <x v="0"/>
    <x v="1"/>
    <x v="0"/>
    <x v="2"/>
    <x v="0"/>
    <x v="73"/>
    <x v="966"/>
    <x v="7"/>
    <x v="2"/>
  </r>
  <r>
    <x v="23"/>
    <x v="220"/>
    <x v="29"/>
    <x v="678"/>
    <x v="184"/>
    <x v="0"/>
    <x v="1"/>
    <x v="0"/>
    <x v="2"/>
    <x v="0"/>
    <x v="23"/>
    <x v="967"/>
    <x v="0"/>
    <x v="2"/>
  </r>
  <r>
    <x v="39"/>
    <x v="190"/>
    <x v="3"/>
    <x v="4"/>
    <x v="162"/>
    <x v="0"/>
    <x v="1"/>
    <x v="0"/>
    <x v="2"/>
    <x v="1"/>
    <x v="39"/>
    <x v="26"/>
    <x v="11"/>
    <x v="2"/>
  </r>
  <r>
    <x v="83"/>
    <x v="176"/>
    <x v="43"/>
    <x v="4"/>
    <x v="150"/>
    <x v="0"/>
    <x v="1"/>
    <x v="1"/>
    <x v="2"/>
    <x v="2"/>
    <x v="83"/>
    <x v="188"/>
    <x v="8"/>
    <x v="2"/>
  </r>
  <r>
    <x v="19"/>
    <x v="122"/>
    <x v="50"/>
    <x v="4"/>
    <x v="116"/>
    <x v="0"/>
    <x v="1"/>
    <x v="1"/>
    <x v="2"/>
    <x v="2"/>
    <x v="19"/>
    <x v="722"/>
    <x v="1"/>
    <x v="2"/>
  </r>
  <r>
    <x v="86"/>
    <x v="222"/>
    <x v="24"/>
    <x v="679"/>
    <x v="186"/>
    <x v="0"/>
    <x v="4"/>
    <x v="0"/>
    <x v="0"/>
    <x v="1"/>
    <x v="86"/>
    <x v="968"/>
    <x v="0"/>
    <x v="0"/>
  </r>
  <r>
    <x v="19"/>
    <x v="64"/>
    <x v="11"/>
    <x v="680"/>
    <x v="63"/>
    <x v="0"/>
    <x v="4"/>
    <x v="1"/>
    <x v="0"/>
    <x v="0"/>
    <x v="19"/>
    <x v="969"/>
    <x v="8"/>
    <x v="0"/>
  </r>
  <r>
    <x v="88"/>
    <x v="223"/>
    <x v="24"/>
    <x v="681"/>
    <x v="187"/>
    <x v="0"/>
    <x v="4"/>
    <x v="1"/>
    <x v="0"/>
    <x v="1"/>
    <x v="88"/>
    <x v="970"/>
    <x v="9"/>
    <x v="0"/>
  </r>
  <r>
    <x v="50"/>
    <x v="66"/>
    <x v="11"/>
    <x v="682"/>
    <x v="65"/>
    <x v="0"/>
    <x v="4"/>
    <x v="2"/>
    <x v="0"/>
    <x v="0"/>
    <x v="50"/>
    <x v="971"/>
    <x v="3"/>
    <x v="0"/>
  </r>
  <r>
    <x v="16"/>
    <x v="67"/>
    <x v="27"/>
    <x v="683"/>
    <x v="66"/>
    <x v="0"/>
    <x v="4"/>
    <x v="3"/>
    <x v="0"/>
    <x v="1"/>
    <x v="16"/>
    <x v="972"/>
    <x v="4"/>
    <x v="0"/>
  </r>
  <r>
    <x v="5"/>
    <x v="5"/>
    <x v="26"/>
    <x v="684"/>
    <x v="5"/>
    <x v="0"/>
    <x v="4"/>
    <x v="3"/>
    <x v="0"/>
    <x v="0"/>
    <x v="5"/>
    <x v="973"/>
    <x v="4"/>
    <x v="0"/>
  </r>
  <r>
    <x v="51"/>
    <x v="69"/>
    <x v="0"/>
    <x v="641"/>
    <x v="68"/>
    <x v="0"/>
    <x v="4"/>
    <x v="3"/>
    <x v="0"/>
    <x v="0"/>
    <x v="51"/>
    <x v="974"/>
    <x v="5"/>
    <x v="0"/>
  </r>
  <r>
    <x v="66"/>
    <x v="224"/>
    <x v="30"/>
    <x v="682"/>
    <x v="188"/>
    <x v="0"/>
    <x v="4"/>
    <x v="3"/>
    <x v="0"/>
    <x v="0"/>
    <x v="66"/>
    <x v="975"/>
    <x v="5"/>
    <x v="0"/>
  </r>
  <r>
    <x v="44"/>
    <x v="55"/>
    <x v="6"/>
    <x v="685"/>
    <x v="55"/>
    <x v="0"/>
    <x v="4"/>
    <x v="0"/>
    <x v="1"/>
    <x v="0"/>
    <x v="44"/>
    <x v="976"/>
    <x v="7"/>
    <x v="1"/>
  </r>
  <r>
    <x v="55"/>
    <x v="73"/>
    <x v="7"/>
    <x v="686"/>
    <x v="72"/>
    <x v="0"/>
    <x v="4"/>
    <x v="0"/>
    <x v="1"/>
    <x v="0"/>
    <x v="55"/>
    <x v="977"/>
    <x v="0"/>
    <x v="1"/>
  </r>
  <r>
    <x v="57"/>
    <x v="250"/>
    <x v="29"/>
    <x v="687"/>
    <x v="210"/>
    <x v="0"/>
    <x v="4"/>
    <x v="1"/>
    <x v="1"/>
    <x v="0"/>
    <x v="57"/>
    <x v="978"/>
    <x v="8"/>
    <x v="1"/>
  </r>
  <r>
    <x v="61"/>
    <x v="225"/>
    <x v="23"/>
    <x v="688"/>
    <x v="189"/>
    <x v="0"/>
    <x v="4"/>
    <x v="1"/>
    <x v="1"/>
    <x v="1"/>
    <x v="61"/>
    <x v="979"/>
    <x v="1"/>
    <x v="1"/>
  </r>
  <r>
    <x v="23"/>
    <x v="226"/>
    <x v="7"/>
    <x v="689"/>
    <x v="190"/>
    <x v="3"/>
    <x v="4"/>
    <x v="1"/>
    <x v="1"/>
    <x v="0"/>
    <x v="23"/>
    <x v="980"/>
    <x v="9"/>
    <x v="1"/>
  </r>
  <r>
    <x v="14"/>
    <x v="14"/>
    <x v="2"/>
    <x v="681"/>
    <x v="14"/>
    <x v="0"/>
    <x v="4"/>
    <x v="2"/>
    <x v="1"/>
    <x v="1"/>
    <x v="14"/>
    <x v="981"/>
    <x v="2"/>
    <x v="1"/>
  </r>
  <r>
    <x v="85"/>
    <x v="228"/>
    <x v="15"/>
    <x v="566"/>
    <x v="191"/>
    <x v="0"/>
    <x v="4"/>
    <x v="2"/>
    <x v="1"/>
    <x v="0"/>
    <x v="85"/>
    <x v="982"/>
    <x v="3"/>
    <x v="1"/>
  </r>
  <r>
    <x v="89"/>
    <x v="229"/>
    <x v="22"/>
    <x v="690"/>
    <x v="192"/>
    <x v="0"/>
    <x v="4"/>
    <x v="2"/>
    <x v="1"/>
    <x v="0"/>
    <x v="89"/>
    <x v="983"/>
    <x v="10"/>
    <x v="1"/>
  </r>
  <r>
    <x v="47"/>
    <x v="58"/>
    <x v="30"/>
    <x v="398"/>
    <x v="17"/>
    <x v="0"/>
    <x v="4"/>
    <x v="3"/>
    <x v="1"/>
    <x v="1"/>
    <x v="47"/>
    <x v="984"/>
    <x v="4"/>
    <x v="1"/>
  </r>
  <r>
    <x v="59"/>
    <x v="80"/>
    <x v="0"/>
    <x v="691"/>
    <x v="79"/>
    <x v="0"/>
    <x v="4"/>
    <x v="3"/>
    <x v="1"/>
    <x v="0"/>
    <x v="59"/>
    <x v="985"/>
    <x v="5"/>
    <x v="1"/>
  </r>
  <r>
    <x v="86"/>
    <x v="278"/>
    <x v="21"/>
    <x v="398"/>
    <x v="233"/>
    <x v="0"/>
    <x v="4"/>
    <x v="3"/>
    <x v="1"/>
    <x v="0"/>
    <x v="86"/>
    <x v="986"/>
    <x v="5"/>
    <x v="1"/>
  </r>
  <r>
    <x v="35"/>
    <x v="59"/>
    <x v="3"/>
    <x v="432"/>
    <x v="58"/>
    <x v="0"/>
    <x v="4"/>
    <x v="3"/>
    <x v="1"/>
    <x v="1"/>
    <x v="35"/>
    <x v="987"/>
    <x v="5"/>
    <x v="1"/>
  </r>
  <r>
    <x v="49"/>
    <x v="232"/>
    <x v="1"/>
    <x v="433"/>
    <x v="195"/>
    <x v="0"/>
    <x v="4"/>
    <x v="3"/>
    <x v="1"/>
    <x v="0"/>
    <x v="49"/>
    <x v="988"/>
    <x v="6"/>
    <x v="1"/>
  </r>
  <r>
    <x v="20"/>
    <x v="21"/>
    <x v="18"/>
    <x v="4"/>
    <x v="21"/>
    <x v="0"/>
    <x v="4"/>
    <x v="3"/>
    <x v="1"/>
    <x v="1"/>
    <x v="20"/>
    <x v="23"/>
    <x v="6"/>
    <x v="1"/>
  </r>
  <r>
    <x v="60"/>
    <x v="85"/>
    <x v="25"/>
    <x v="692"/>
    <x v="84"/>
    <x v="0"/>
    <x v="4"/>
    <x v="0"/>
    <x v="2"/>
    <x v="0"/>
    <x v="60"/>
    <x v="989"/>
    <x v="7"/>
    <x v="2"/>
  </r>
  <r>
    <x v="23"/>
    <x v="233"/>
    <x v="2"/>
    <x v="693"/>
    <x v="196"/>
    <x v="5"/>
    <x v="4"/>
    <x v="0"/>
    <x v="2"/>
    <x v="1"/>
    <x v="23"/>
    <x v="990"/>
    <x v="11"/>
    <x v="2"/>
  </r>
  <r>
    <x v="1"/>
    <x v="234"/>
    <x v="2"/>
    <x v="694"/>
    <x v="197"/>
    <x v="0"/>
    <x v="4"/>
    <x v="0"/>
    <x v="2"/>
    <x v="0"/>
    <x v="1"/>
    <x v="991"/>
    <x v="11"/>
    <x v="2"/>
  </r>
  <r>
    <x v="12"/>
    <x v="253"/>
    <x v="33"/>
    <x v="687"/>
    <x v="213"/>
    <x v="4"/>
    <x v="4"/>
    <x v="1"/>
    <x v="2"/>
    <x v="1"/>
    <x v="12"/>
    <x v="992"/>
    <x v="8"/>
    <x v="2"/>
  </r>
  <r>
    <x v="70"/>
    <x v="235"/>
    <x v="52"/>
    <x v="688"/>
    <x v="198"/>
    <x v="0"/>
    <x v="4"/>
    <x v="1"/>
    <x v="2"/>
    <x v="0"/>
    <x v="70"/>
    <x v="993"/>
    <x v="1"/>
    <x v="2"/>
  </r>
  <r>
    <x v="40"/>
    <x v="236"/>
    <x v="4"/>
    <x v="695"/>
    <x v="199"/>
    <x v="0"/>
    <x v="3"/>
    <x v="0"/>
    <x v="0"/>
    <x v="0"/>
    <x v="40"/>
    <x v="994"/>
    <x v="7"/>
    <x v="0"/>
  </r>
  <r>
    <x v="77"/>
    <x v="210"/>
    <x v="7"/>
    <x v="695"/>
    <x v="178"/>
    <x v="0"/>
    <x v="3"/>
    <x v="0"/>
    <x v="0"/>
    <x v="0"/>
    <x v="77"/>
    <x v="995"/>
    <x v="11"/>
    <x v="0"/>
  </r>
  <r>
    <x v="84"/>
    <x v="237"/>
    <x v="12"/>
    <x v="585"/>
    <x v="166"/>
    <x v="0"/>
    <x v="3"/>
    <x v="1"/>
    <x v="0"/>
    <x v="0"/>
    <x v="84"/>
    <x v="996"/>
    <x v="1"/>
    <x v="0"/>
  </r>
  <r>
    <x v="82"/>
    <x v="196"/>
    <x v="18"/>
    <x v="696"/>
    <x v="168"/>
    <x v="0"/>
    <x v="3"/>
    <x v="2"/>
    <x v="0"/>
    <x v="0"/>
    <x v="82"/>
    <x v="997"/>
    <x v="10"/>
    <x v="0"/>
  </r>
  <r>
    <x v="4"/>
    <x v="197"/>
    <x v="9"/>
    <x v="696"/>
    <x v="169"/>
    <x v="0"/>
    <x v="3"/>
    <x v="3"/>
    <x v="0"/>
    <x v="0"/>
    <x v="4"/>
    <x v="998"/>
    <x v="4"/>
    <x v="0"/>
  </r>
  <r>
    <x v="86"/>
    <x v="198"/>
    <x v="21"/>
    <x v="585"/>
    <x v="155"/>
    <x v="0"/>
    <x v="3"/>
    <x v="3"/>
    <x v="0"/>
    <x v="0"/>
    <x v="86"/>
    <x v="999"/>
    <x v="5"/>
    <x v="0"/>
  </r>
  <r>
    <x v="39"/>
    <x v="199"/>
    <x v="10"/>
    <x v="436"/>
    <x v="103"/>
    <x v="0"/>
    <x v="3"/>
    <x v="3"/>
    <x v="0"/>
    <x v="0"/>
    <x v="39"/>
    <x v="1000"/>
    <x v="5"/>
    <x v="0"/>
  </r>
  <r>
    <x v="87"/>
    <x v="200"/>
    <x v="8"/>
    <x v="697"/>
    <x v="170"/>
    <x v="0"/>
    <x v="3"/>
    <x v="3"/>
    <x v="0"/>
    <x v="0"/>
    <x v="87"/>
    <x v="1001"/>
    <x v="5"/>
    <x v="0"/>
  </r>
  <r>
    <x v="74"/>
    <x v="182"/>
    <x v="25"/>
    <x v="585"/>
    <x v="105"/>
    <x v="0"/>
    <x v="3"/>
    <x v="3"/>
    <x v="0"/>
    <x v="0"/>
    <x v="74"/>
    <x v="1002"/>
    <x v="6"/>
    <x v="0"/>
  </r>
  <r>
    <x v="25"/>
    <x v="238"/>
    <x v="27"/>
    <x v="698"/>
    <x v="200"/>
    <x v="0"/>
    <x v="3"/>
    <x v="0"/>
    <x v="1"/>
    <x v="0"/>
    <x v="25"/>
    <x v="1003"/>
    <x v="7"/>
    <x v="1"/>
  </r>
  <r>
    <x v="30"/>
    <x v="202"/>
    <x v="26"/>
    <x v="699"/>
    <x v="172"/>
    <x v="0"/>
    <x v="3"/>
    <x v="0"/>
    <x v="1"/>
    <x v="0"/>
    <x v="30"/>
    <x v="1004"/>
    <x v="11"/>
    <x v="1"/>
  </r>
  <r>
    <x v="79"/>
    <x v="294"/>
    <x v="12"/>
    <x v="700"/>
    <x v="245"/>
    <x v="0"/>
    <x v="3"/>
    <x v="1"/>
    <x v="1"/>
    <x v="0"/>
    <x v="79"/>
    <x v="1005"/>
    <x v="8"/>
    <x v="1"/>
  </r>
  <r>
    <x v="36"/>
    <x v="41"/>
    <x v="29"/>
    <x v="701"/>
    <x v="41"/>
    <x v="0"/>
    <x v="3"/>
    <x v="2"/>
    <x v="1"/>
    <x v="0"/>
    <x v="36"/>
    <x v="1006"/>
    <x v="3"/>
    <x v="1"/>
  </r>
  <r>
    <x v="65"/>
    <x v="216"/>
    <x v="29"/>
    <x v="702"/>
    <x v="182"/>
    <x v="0"/>
    <x v="3"/>
    <x v="2"/>
    <x v="1"/>
    <x v="0"/>
    <x v="65"/>
    <x v="1007"/>
    <x v="10"/>
    <x v="1"/>
  </r>
  <r>
    <x v="81"/>
    <x v="244"/>
    <x v="16"/>
    <x v="703"/>
    <x v="204"/>
    <x v="0"/>
    <x v="3"/>
    <x v="3"/>
    <x v="1"/>
    <x v="0"/>
    <x v="81"/>
    <x v="1008"/>
    <x v="4"/>
    <x v="1"/>
  </r>
  <r>
    <x v="39"/>
    <x v="44"/>
    <x v="28"/>
    <x v="704"/>
    <x v="44"/>
    <x v="0"/>
    <x v="3"/>
    <x v="3"/>
    <x v="1"/>
    <x v="0"/>
    <x v="39"/>
    <x v="1009"/>
    <x v="4"/>
    <x v="1"/>
  </r>
  <r>
    <x v="77"/>
    <x v="206"/>
    <x v="2"/>
    <x v="353"/>
    <x v="159"/>
    <x v="0"/>
    <x v="3"/>
    <x v="3"/>
    <x v="1"/>
    <x v="1"/>
    <x v="77"/>
    <x v="1010"/>
    <x v="5"/>
    <x v="1"/>
  </r>
  <r>
    <x v="84"/>
    <x v="207"/>
    <x v="8"/>
    <x v="705"/>
    <x v="47"/>
    <x v="0"/>
    <x v="3"/>
    <x v="3"/>
    <x v="1"/>
    <x v="0"/>
    <x v="84"/>
    <x v="1011"/>
    <x v="5"/>
    <x v="1"/>
  </r>
  <r>
    <x v="39"/>
    <x v="289"/>
    <x v="12"/>
    <x v="706"/>
    <x v="241"/>
    <x v="0"/>
    <x v="3"/>
    <x v="0"/>
    <x v="2"/>
    <x v="0"/>
    <x v="39"/>
    <x v="1012"/>
    <x v="7"/>
    <x v="2"/>
  </r>
  <r>
    <x v="23"/>
    <x v="208"/>
    <x v="30"/>
    <x v="707"/>
    <x v="176"/>
    <x v="0"/>
    <x v="3"/>
    <x v="0"/>
    <x v="2"/>
    <x v="1"/>
    <x v="23"/>
    <x v="1013"/>
    <x v="0"/>
    <x v="2"/>
  </r>
  <r>
    <x v="35"/>
    <x v="295"/>
    <x v="45"/>
    <x v="700"/>
    <x v="185"/>
    <x v="0"/>
    <x v="3"/>
    <x v="1"/>
    <x v="2"/>
    <x v="0"/>
    <x v="35"/>
    <x v="1014"/>
    <x v="8"/>
    <x v="2"/>
  </r>
  <r>
    <x v="20"/>
    <x v="242"/>
    <x v="45"/>
    <x v="708"/>
    <x v="202"/>
    <x v="2"/>
    <x v="3"/>
    <x v="1"/>
    <x v="2"/>
    <x v="0"/>
    <x v="20"/>
    <x v="1015"/>
    <x v="1"/>
    <x v="2"/>
  </r>
  <r>
    <x v="23"/>
    <x v="150"/>
    <x v="18"/>
    <x v="4"/>
    <x v="134"/>
    <x v="0"/>
    <x v="1"/>
    <x v="0"/>
    <x v="0"/>
    <x v="0"/>
    <x v="23"/>
    <x v="23"/>
    <x v="7"/>
    <x v="0"/>
  </r>
  <r>
    <x v="27"/>
    <x v="162"/>
    <x v="27"/>
    <x v="4"/>
    <x v="143"/>
    <x v="0"/>
    <x v="1"/>
    <x v="1"/>
    <x v="0"/>
    <x v="1"/>
    <x v="27"/>
    <x v="39"/>
    <x v="8"/>
    <x v="0"/>
  </r>
  <r>
    <x v="74"/>
    <x v="124"/>
    <x v="14"/>
    <x v="709"/>
    <x v="118"/>
    <x v="0"/>
    <x v="1"/>
    <x v="1"/>
    <x v="0"/>
    <x v="0"/>
    <x v="74"/>
    <x v="1016"/>
    <x v="9"/>
    <x v="0"/>
  </r>
  <r>
    <x v="73"/>
    <x v="163"/>
    <x v="23"/>
    <x v="254"/>
    <x v="144"/>
    <x v="0"/>
    <x v="1"/>
    <x v="2"/>
    <x v="0"/>
    <x v="1"/>
    <x v="73"/>
    <x v="1017"/>
    <x v="3"/>
    <x v="0"/>
  </r>
  <r>
    <x v="28"/>
    <x v="280"/>
    <x v="10"/>
    <x v="4"/>
    <x v="235"/>
    <x v="0"/>
    <x v="1"/>
    <x v="2"/>
    <x v="0"/>
    <x v="0"/>
    <x v="28"/>
    <x v="11"/>
    <x v="10"/>
    <x v="0"/>
  </r>
  <r>
    <x v="26"/>
    <x v="127"/>
    <x v="16"/>
    <x v="710"/>
    <x v="121"/>
    <x v="0"/>
    <x v="1"/>
    <x v="3"/>
    <x v="0"/>
    <x v="0"/>
    <x v="26"/>
    <x v="1018"/>
    <x v="4"/>
    <x v="0"/>
  </r>
  <r>
    <x v="70"/>
    <x v="128"/>
    <x v="6"/>
    <x v="4"/>
    <x v="32"/>
    <x v="0"/>
    <x v="1"/>
    <x v="3"/>
    <x v="0"/>
    <x v="0"/>
    <x v="70"/>
    <x v="24"/>
    <x v="5"/>
    <x v="0"/>
  </r>
  <r>
    <x v="81"/>
    <x v="165"/>
    <x v="4"/>
    <x v="4"/>
    <x v="69"/>
    <x v="0"/>
    <x v="1"/>
    <x v="3"/>
    <x v="0"/>
    <x v="1"/>
    <x v="81"/>
    <x v="4"/>
    <x v="5"/>
    <x v="0"/>
  </r>
  <r>
    <x v="47"/>
    <x v="166"/>
    <x v="1"/>
    <x v="4"/>
    <x v="34"/>
    <x v="0"/>
    <x v="1"/>
    <x v="3"/>
    <x v="0"/>
    <x v="1"/>
    <x v="47"/>
    <x v="13"/>
    <x v="5"/>
    <x v="0"/>
  </r>
  <r>
    <x v="64"/>
    <x v="93"/>
    <x v="11"/>
    <x v="4"/>
    <x v="91"/>
    <x v="0"/>
    <x v="1"/>
    <x v="3"/>
    <x v="0"/>
    <x v="0"/>
    <x v="64"/>
    <x v="12"/>
    <x v="6"/>
    <x v="0"/>
  </r>
  <r>
    <x v="75"/>
    <x v="132"/>
    <x v="9"/>
    <x v="4"/>
    <x v="123"/>
    <x v="0"/>
    <x v="1"/>
    <x v="0"/>
    <x v="1"/>
    <x v="1"/>
    <x v="75"/>
    <x v="10"/>
    <x v="0"/>
    <x v="1"/>
  </r>
  <r>
    <x v="72"/>
    <x v="151"/>
    <x v="3"/>
    <x v="4"/>
    <x v="135"/>
    <x v="0"/>
    <x v="1"/>
    <x v="0"/>
    <x v="1"/>
    <x v="1"/>
    <x v="72"/>
    <x v="26"/>
    <x v="11"/>
    <x v="1"/>
  </r>
  <r>
    <x v="23"/>
    <x v="168"/>
    <x v="12"/>
    <x v="4"/>
    <x v="125"/>
    <x v="0"/>
    <x v="1"/>
    <x v="1"/>
    <x v="1"/>
    <x v="1"/>
    <x v="23"/>
    <x v="46"/>
    <x v="1"/>
    <x v="1"/>
  </r>
  <r>
    <x v="39"/>
    <x v="169"/>
    <x v="8"/>
    <x v="4"/>
    <x v="126"/>
    <x v="0"/>
    <x v="1"/>
    <x v="2"/>
    <x v="1"/>
    <x v="1"/>
    <x v="39"/>
    <x v="38"/>
    <x v="2"/>
    <x v="1"/>
  </r>
  <r>
    <x v="39"/>
    <x v="136"/>
    <x v="25"/>
    <x v="4"/>
    <x v="76"/>
    <x v="0"/>
    <x v="1"/>
    <x v="2"/>
    <x v="1"/>
    <x v="1"/>
    <x v="39"/>
    <x v="44"/>
    <x v="3"/>
    <x v="1"/>
  </r>
  <r>
    <x v="0"/>
    <x v="170"/>
    <x v="26"/>
    <x v="4"/>
    <x v="42"/>
    <x v="0"/>
    <x v="1"/>
    <x v="2"/>
    <x v="1"/>
    <x v="1"/>
    <x v="0"/>
    <x v="36"/>
    <x v="10"/>
    <x v="1"/>
  </r>
  <r>
    <x v="15"/>
    <x v="98"/>
    <x v="5"/>
    <x v="4"/>
    <x v="95"/>
    <x v="0"/>
    <x v="1"/>
    <x v="3"/>
    <x v="1"/>
    <x v="1"/>
    <x v="15"/>
    <x v="15"/>
    <x v="4"/>
    <x v="1"/>
  </r>
  <r>
    <x v="78"/>
    <x v="139"/>
    <x v="19"/>
    <x v="4"/>
    <x v="96"/>
    <x v="0"/>
    <x v="1"/>
    <x v="3"/>
    <x v="1"/>
    <x v="1"/>
    <x v="78"/>
    <x v="25"/>
    <x v="4"/>
    <x v="1"/>
  </r>
  <r>
    <x v="17"/>
    <x v="81"/>
    <x v="27"/>
    <x v="4"/>
    <x v="80"/>
    <x v="0"/>
    <x v="1"/>
    <x v="3"/>
    <x v="1"/>
    <x v="1"/>
    <x v="17"/>
    <x v="39"/>
    <x v="5"/>
    <x v="1"/>
  </r>
  <r>
    <x v="62"/>
    <x v="140"/>
    <x v="28"/>
    <x v="4"/>
    <x v="128"/>
    <x v="0"/>
    <x v="1"/>
    <x v="3"/>
    <x v="1"/>
    <x v="1"/>
    <x v="62"/>
    <x v="47"/>
    <x v="5"/>
    <x v="1"/>
  </r>
  <r>
    <x v="74"/>
    <x v="159"/>
    <x v="10"/>
    <x v="4"/>
    <x v="140"/>
    <x v="0"/>
    <x v="1"/>
    <x v="3"/>
    <x v="1"/>
    <x v="1"/>
    <x v="74"/>
    <x v="11"/>
    <x v="6"/>
    <x v="1"/>
  </r>
  <r>
    <x v="1"/>
    <x v="84"/>
    <x v="8"/>
    <x v="4"/>
    <x v="83"/>
    <x v="0"/>
    <x v="1"/>
    <x v="3"/>
    <x v="1"/>
    <x v="0"/>
    <x v="1"/>
    <x v="38"/>
    <x v="6"/>
    <x v="1"/>
  </r>
  <r>
    <x v="39"/>
    <x v="142"/>
    <x v="11"/>
    <x v="711"/>
    <x v="129"/>
    <x v="0"/>
    <x v="1"/>
    <x v="0"/>
    <x v="2"/>
    <x v="0"/>
    <x v="39"/>
    <x v="1019"/>
    <x v="7"/>
    <x v="2"/>
  </r>
  <r>
    <x v="23"/>
    <x v="245"/>
    <x v="15"/>
    <x v="712"/>
    <x v="205"/>
    <x v="0"/>
    <x v="1"/>
    <x v="0"/>
    <x v="2"/>
    <x v="0"/>
    <x v="23"/>
    <x v="1020"/>
    <x v="0"/>
    <x v="2"/>
  </r>
  <r>
    <x v="23"/>
    <x v="171"/>
    <x v="28"/>
    <x v="4"/>
    <x v="147"/>
    <x v="0"/>
    <x v="1"/>
    <x v="1"/>
    <x v="2"/>
    <x v="1"/>
    <x v="23"/>
    <x v="47"/>
    <x v="1"/>
    <x v="2"/>
  </r>
  <r>
    <x v="8"/>
    <x v="193"/>
    <x v="18"/>
    <x v="713"/>
    <x v="165"/>
    <x v="0"/>
    <x v="3"/>
    <x v="0"/>
    <x v="0"/>
    <x v="0"/>
    <x v="8"/>
    <x v="1021"/>
    <x v="11"/>
    <x v="0"/>
  </r>
  <r>
    <x v="25"/>
    <x v="28"/>
    <x v="1"/>
    <x v="4"/>
    <x v="28"/>
    <x v="0"/>
    <x v="3"/>
    <x v="1"/>
    <x v="0"/>
    <x v="1"/>
    <x v="25"/>
    <x v="13"/>
    <x v="1"/>
    <x v="0"/>
  </r>
  <r>
    <x v="20"/>
    <x v="195"/>
    <x v="6"/>
    <x v="4"/>
    <x v="167"/>
    <x v="0"/>
    <x v="3"/>
    <x v="2"/>
    <x v="0"/>
    <x v="1"/>
    <x v="20"/>
    <x v="24"/>
    <x v="2"/>
    <x v="0"/>
  </r>
  <r>
    <x v="82"/>
    <x v="196"/>
    <x v="14"/>
    <x v="659"/>
    <x v="168"/>
    <x v="0"/>
    <x v="3"/>
    <x v="2"/>
    <x v="0"/>
    <x v="0"/>
    <x v="82"/>
    <x v="1022"/>
    <x v="10"/>
    <x v="0"/>
  </r>
  <r>
    <x v="27"/>
    <x v="31"/>
    <x v="13"/>
    <x v="714"/>
    <x v="31"/>
    <x v="0"/>
    <x v="3"/>
    <x v="3"/>
    <x v="0"/>
    <x v="1"/>
    <x v="27"/>
    <x v="1023"/>
    <x v="4"/>
    <x v="0"/>
  </r>
  <r>
    <x v="86"/>
    <x v="198"/>
    <x v="8"/>
    <x v="4"/>
    <x v="155"/>
    <x v="0"/>
    <x v="3"/>
    <x v="3"/>
    <x v="0"/>
    <x v="0"/>
    <x v="86"/>
    <x v="38"/>
    <x v="5"/>
    <x v="0"/>
  </r>
  <r>
    <x v="29"/>
    <x v="33"/>
    <x v="20"/>
    <x v="4"/>
    <x v="33"/>
    <x v="0"/>
    <x v="3"/>
    <x v="3"/>
    <x v="0"/>
    <x v="1"/>
    <x v="29"/>
    <x v="28"/>
    <x v="5"/>
    <x v="0"/>
  </r>
  <r>
    <x v="87"/>
    <x v="200"/>
    <x v="14"/>
    <x v="4"/>
    <x v="170"/>
    <x v="0"/>
    <x v="3"/>
    <x v="3"/>
    <x v="0"/>
    <x v="0"/>
    <x v="87"/>
    <x v="41"/>
    <x v="5"/>
    <x v="0"/>
  </r>
  <r>
    <x v="31"/>
    <x v="35"/>
    <x v="29"/>
    <x v="264"/>
    <x v="35"/>
    <x v="0"/>
    <x v="3"/>
    <x v="3"/>
    <x v="0"/>
    <x v="1"/>
    <x v="31"/>
    <x v="1024"/>
    <x v="6"/>
    <x v="0"/>
  </r>
  <r>
    <x v="32"/>
    <x v="36"/>
    <x v="25"/>
    <x v="659"/>
    <x v="36"/>
    <x v="0"/>
    <x v="3"/>
    <x v="0"/>
    <x v="1"/>
    <x v="1"/>
    <x v="32"/>
    <x v="1025"/>
    <x v="7"/>
    <x v="1"/>
  </r>
  <r>
    <x v="33"/>
    <x v="37"/>
    <x v="29"/>
    <x v="4"/>
    <x v="37"/>
    <x v="0"/>
    <x v="3"/>
    <x v="0"/>
    <x v="1"/>
    <x v="1"/>
    <x v="33"/>
    <x v="48"/>
    <x v="11"/>
    <x v="1"/>
  </r>
  <r>
    <x v="23"/>
    <x v="203"/>
    <x v="23"/>
    <x v="713"/>
    <x v="173"/>
    <x v="0"/>
    <x v="3"/>
    <x v="1"/>
    <x v="1"/>
    <x v="1"/>
    <x v="23"/>
    <x v="1026"/>
    <x v="8"/>
    <x v="1"/>
  </r>
  <r>
    <x v="61"/>
    <x v="256"/>
    <x v="12"/>
    <x v="715"/>
    <x v="215"/>
    <x v="0"/>
    <x v="3"/>
    <x v="1"/>
    <x v="1"/>
    <x v="1"/>
    <x v="61"/>
    <x v="1027"/>
    <x v="9"/>
    <x v="1"/>
  </r>
  <r>
    <x v="19"/>
    <x v="258"/>
    <x v="7"/>
    <x v="264"/>
    <x v="216"/>
    <x v="0"/>
    <x v="3"/>
    <x v="2"/>
    <x v="1"/>
    <x v="1"/>
    <x v="19"/>
    <x v="1028"/>
    <x v="2"/>
    <x v="1"/>
  </r>
  <r>
    <x v="36"/>
    <x v="41"/>
    <x v="15"/>
    <x v="715"/>
    <x v="41"/>
    <x v="0"/>
    <x v="3"/>
    <x v="2"/>
    <x v="1"/>
    <x v="0"/>
    <x v="36"/>
    <x v="1029"/>
    <x v="3"/>
    <x v="1"/>
  </r>
  <r>
    <x v="91"/>
    <x v="270"/>
    <x v="3"/>
    <x v="4"/>
    <x v="226"/>
    <x v="0"/>
    <x v="3"/>
    <x v="2"/>
    <x v="1"/>
    <x v="1"/>
    <x v="91"/>
    <x v="26"/>
    <x v="10"/>
    <x v="1"/>
  </r>
  <r>
    <x v="38"/>
    <x v="43"/>
    <x v="29"/>
    <x v="4"/>
    <x v="43"/>
    <x v="0"/>
    <x v="3"/>
    <x v="3"/>
    <x v="1"/>
    <x v="1"/>
    <x v="38"/>
    <x v="48"/>
    <x v="4"/>
    <x v="1"/>
  </r>
  <r>
    <x v="39"/>
    <x v="44"/>
    <x v="27"/>
    <x v="4"/>
    <x v="44"/>
    <x v="0"/>
    <x v="3"/>
    <x v="3"/>
    <x v="1"/>
    <x v="1"/>
    <x v="39"/>
    <x v="39"/>
    <x v="4"/>
    <x v="1"/>
  </r>
  <r>
    <x v="11"/>
    <x v="152"/>
    <x v="29"/>
    <x v="4"/>
    <x v="80"/>
    <x v="0"/>
    <x v="3"/>
    <x v="3"/>
    <x v="1"/>
    <x v="1"/>
    <x v="11"/>
    <x v="48"/>
    <x v="5"/>
    <x v="1"/>
  </r>
  <r>
    <x v="8"/>
    <x v="46"/>
    <x v="25"/>
    <x v="4"/>
    <x v="46"/>
    <x v="0"/>
    <x v="3"/>
    <x v="3"/>
    <x v="1"/>
    <x v="1"/>
    <x v="8"/>
    <x v="44"/>
    <x v="5"/>
    <x v="1"/>
  </r>
  <r>
    <x v="25"/>
    <x v="141"/>
    <x v="25"/>
    <x v="716"/>
    <x v="79"/>
    <x v="0"/>
    <x v="3"/>
    <x v="3"/>
    <x v="1"/>
    <x v="0"/>
    <x v="25"/>
    <x v="1030"/>
    <x v="5"/>
    <x v="1"/>
  </r>
  <r>
    <x v="23"/>
    <x v="153"/>
    <x v="2"/>
    <x v="4"/>
    <x v="48"/>
    <x v="0"/>
    <x v="3"/>
    <x v="3"/>
    <x v="1"/>
    <x v="1"/>
    <x v="23"/>
    <x v="9"/>
    <x v="6"/>
    <x v="1"/>
  </r>
  <r>
    <x v="41"/>
    <x v="49"/>
    <x v="23"/>
    <x v="272"/>
    <x v="49"/>
    <x v="0"/>
    <x v="3"/>
    <x v="0"/>
    <x v="2"/>
    <x v="1"/>
    <x v="41"/>
    <x v="1031"/>
    <x v="7"/>
    <x v="2"/>
  </r>
  <r>
    <x v="39"/>
    <x v="143"/>
    <x v="29"/>
    <x v="4"/>
    <x v="50"/>
    <x v="0"/>
    <x v="3"/>
    <x v="0"/>
    <x v="2"/>
    <x v="1"/>
    <x v="39"/>
    <x v="48"/>
    <x v="0"/>
    <x v="2"/>
  </r>
  <r>
    <x v="56"/>
    <x v="257"/>
    <x v="11"/>
    <x v="715"/>
    <x v="177"/>
    <x v="2"/>
    <x v="3"/>
    <x v="1"/>
    <x v="2"/>
    <x v="0"/>
    <x v="56"/>
    <x v="1032"/>
    <x v="1"/>
    <x v="2"/>
  </r>
  <r>
    <x v="86"/>
    <x v="222"/>
    <x v="18"/>
    <x v="647"/>
    <x v="186"/>
    <x v="0"/>
    <x v="4"/>
    <x v="0"/>
    <x v="0"/>
    <x v="0"/>
    <x v="86"/>
    <x v="1033"/>
    <x v="0"/>
    <x v="0"/>
  </r>
  <r>
    <x v="10"/>
    <x v="54"/>
    <x v="6"/>
    <x v="717"/>
    <x v="54"/>
    <x v="0"/>
    <x v="4"/>
    <x v="1"/>
    <x v="0"/>
    <x v="0"/>
    <x v="10"/>
    <x v="1034"/>
    <x v="8"/>
    <x v="0"/>
  </r>
  <r>
    <x v="23"/>
    <x v="249"/>
    <x v="12"/>
    <x v="718"/>
    <x v="209"/>
    <x v="0"/>
    <x v="4"/>
    <x v="1"/>
    <x v="0"/>
    <x v="1"/>
    <x v="23"/>
    <x v="1035"/>
    <x v="9"/>
    <x v="0"/>
  </r>
  <r>
    <x v="3"/>
    <x v="3"/>
    <x v="29"/>
    <x v="719"/>
    <x v="3"/>
    <x v="0"/>
    <x v="4"/>
    <x v="2"/>
    <x v="0"/>
    <x v="0"/>
    <x v="3"/>
    <x v="1036"/>
    <x v="3"/>
    <x v="0"/>
  </r>
  <r>
    <x v="5"/>
    <x v="5"/>
    <x v="7"/>
    <x v="720"/>
    <x v="5"/>
    <x v="0"/>
    <x v="4"/>
    <x v="3"/>
    <x v="0"/>
    <x v="1"/>
    <x v="5"/>
    <x v="1037"/>
    <x v="4"/>
    <x v="0"/>
  </r>
  <r>
    <x v="44"/>
    <x v="55"/>
    <x v="23"/>
    <x v="721"/>
    <x v="55"/>
    <x v="0"/>
    <x v="4"/>
    <x v="0"/>
    <x v="1"/>
    <x v="0"/>
    <x v="44"/>
    <x v="1038"/>
    <x v="7"/>
    <x v="1"/>
  </r>
  <r>
    <x v="10"/>
    <x v="10"/>
    <x v="10"/>
    <x v="722"/>
    <x v="10"/>
    <x v="0"/>
    <x v="4"/>
    <x v="0"/>
    <x v="1"/>
    <x v="0"/>
    <x v="10"/>
    <x v="1039"/>
    <x v="0"/>
    <x v="1"/>
  </r>
  <r>
    <x v="57"/>
    <x v="250"/>
    <x v="23"/>
    <x v="723"/>
    <x v="210"/>
    <x v="0"/>
    <x v="4"/>
    <x v="1"/>
    <x v="1"/>
    <x v="1"/>
    <x v="57"/>
    <x v="1040"/>
    <x v="8"/>
    <x v="1"/>
  </r>
  <r>
    <x v="61"/>
    <x v="225"/>
    <x v="9"/>
    <x v="722"/>
    <x v="189"/>
    <x v="0"/>
    <x v="4"/>
    <x v="1"/>
    <x v="1"/>
    <x v="0"/>
    <x v="61"/>
    <x v="1041"/>
    <x v="1"/>
    <x v="1"/>
  </r>
  <r>
    <x v="13"/>
    <x v="13"/>
    <x v="16"/>
    <x v="724"/>
    <x v="13"/>
    <x v="0"/>
    <x v="4"/>
    <x v="1"/>
    <x v="1"/>
    <x v="0"/>
    <x v="13"/>
    <x v="1042"/>
    <x v="9"/>
    <x v="1"/>
  </r>
  <r>
    <x v="14"/>
    <x v="14"/>
    <x v="26"/>
    <x v="725"/>
    <x v="14"/>
    <x v="0"/>
    <x v="4"/>
    <x v="2"/>
    <x v="1"/>
    <x v="0"/>
    <x v="14"/>
    <x v="1043"/>
    <x v="2"/>
    <x v="1"/>
  </r>
  <r>
    <x v="85"/>
    <x v="228"/>
    <x v="15"/>
    <x v="721"/>
    <x v="191"/>
    <x v="0"/>
    <x v="4"/>
    <x v="2"/>
    <x v="1"/>
    <x v="0"/>
    <x v="85"/>
    <x v="1044"/>
    <x v="3"/>
    <x v="1"/>
  </r>
  <r>
    <x v="75"/>
    <x v="251"/>
    <x v="10"/>
    <x v="726"/>
    <x v="211"/>
    <x v="0"/>
    <x v="4"/>
    <x v="2"/>
    <x v="1"/>
    <x v="0"/>
    <x v="75"/>
    <x v="1045"/>
    <x v="10"/>
    <x v="1"/>
  </r>
  <r>
    <x v="47"/>
    <x v="58"/>
    <x v="27"/>
    <x v="727"/>
    <x v="17"/>
    <x v="0"/>
    <x v="4"/>
    <x v="3"/>
    <x v="1"/>
    <x v="1"/>
    <x v="47"/>
    <x v="1046"/>
    <x v="4"/>
    <x v="1"/>
  </r>
  <r>
    <x v="5"/>
    <x v="296"/>
    <x v="21"/>
    <x v="727"/>
    <x v="18"/>
    <x v="0"/>
    <x v="4"/>
    <x v="3"/>
    <x v="1"/>
    <x v="0"/>
    <x v="5"/>
    <x v="1047"/>
    <x v="5"/>
    <x v="1"/>
  </r>
  <r>
    <x v="86"/>
    <x v="278"/>
    <x v="30"/>
    <x v="728"/>
    <x v="233"/>
    <x v="0"/>
    <x v="4"/>
    <x v="3"/>
    <x v="1"/>
    <x v="0"/>
    <x v="86"/>
    <x v="1048"/>
    <x v="5"/>
    <x v="1"/>
  </r>
  <r>
    <x v="53"/>
    <x v="286"/>
    <x v="23"/>
    <x v="719"/>
    <x v="20"/>
    <x v="0"/>
    <x v="4"/>
    <x v="3"/>
    <x v="1"/>
    <x v="1"/>
    <x v="53"/>
    <x v="1049"/>
    <x v="5"/>
    <x v="1"/>
  </r>
  <r>
    <x v="88"/>
    <x v="252"/>
    <x v="21"/>
    <x v="729"/>
    <x v="212"/>
    <x v="0"/>
    <x v="4"/>
    <x v="3"/>
    <x v="1"/>
    <x v="1"/>
    <x v="88"/>
    <x v="1050"/>
    <x v="6"/>
    <x v="1"/>
  </r>
  <r>
    <x v="20"/>
    <x v="21"/>
    <x v="32"/>
    <x v="476"/>
    <x v="21"/>
    <x v="0"/>
    <x v="4"/>
    <x v="3"/>
    <x v="1"/>
    <x v="0"/>
    <x v="20"/>
    <x v="1051"/>
    <x v="6"/>
    <x v="1"/>
  </r>
  <r>
    <x v="14"/>
    <x v="22"/>
    <x v="30"/>
    <x v="4"/>
    <x v="22"/>
    <x v="0"/>
    <x v="4"/>
    <x v="0"/>
    <x v="2"/>
    <x v="2"/>
    <x v="14"/>
    <x v="49"/>
    <x v="0"/>
    <x v="2"/>
  </r>
  <r>
    <x v="23"/>
    <x v="233"/>
    <x v="24"/>
    <x v="730"/>
    <x v="196"/>
    <x v="5"/>
    <x v="4"/>
    <x v="0"/>
    <x v="2"/>
    <x v="1"/>
    <x v="23"/>
    <x v="1052"/>
    <x v="11"/>
    <x v="2"/>
  </r>
  <r>
    <x v="1"/>
    <x v="234"/>
    <x v="3"/>
    <x v="720"/>
    <x v="197"/>
    <x v="0"/>
    <x v="4"/>
    <x v="0"/>
    <x v="2"/>
    <x v="1"/>
    <x v="1"/>
    <x v="1053"/>
    <x v="11"/>
    <x v="2"/>
  </r>
  <r>
    <x v="12"/>
    <x v="253"/>
    <x v="53"/>
    <x v="723"/>
    <x v="213"/>
    <x v="4"/>
    <x v="4"/>
    <x v="1"/>
    <x v="2"/>
    <x v="1"/>
    <x v="12"/>
    <x v="1054"/>
    <x v="8"/>
    <x v="2"/>
  </r>
  <r>
    <x v="70"/>
    <x v="235"/>
    <x v="7"/>
    <x v="722"/>
    <x v="198"/>
    <x v="0"/>
    <x v="4"/>
    <x v="1"/>
    <x v="2"/>
    <x v="1"/>
    <x v="70"/>
    <x v="1055"/>
    <x v="1"/>
    <x v="2"/>
  </r>
  <r>
    <x v="66"/>
    <x v="103"/>
    <x v="28"/>
    <x v="241"/>
    <x v="98"/>
    <x v="0"/>
    <x v="1"/>
    <x v="0"/>
    <x v="0"/>
    <x v="0"/>
    <x v="66"/>
    <x v="1056"/>
    <x v="11"/>
    <x v="0"/>
  </r>
  <r>
    <x v="67"/>
    <x v="104"/>
    <x v="6"/>
    <x v="731"/>
    <x v="99"/>
    <x v="0"/>
    <x v="1"/>
    <x v="1"/>
    <x v="0"/>
    <x v="0"/>
    <x v="67"/>
    <x v="1057"/>
    <x v="1"/>
    <x v="0"/>
  </r>
  <r>
    <x v="39"/>
    <x v="105"/>
    <x v="10"/>
    <x v="732"/>
    <x v="100"/>
    <x v="0"/>
    <x v="1"/>
    <x v="2"/>
    <x v="0"/>
    <x v="0"/>
    <x v="39"/>
    <x v="1058"/>
    <x v="2"/>
    <x v="0"/>
  </r>
  <r>
    <x v="41"/>
    <x v="106"/>
    <x v="28"/>
    <x v="408"/>
    <x v="101"/>
    <x v="0"/>
    <x v="1"/>
    <x v="2"/>
    <x v="0"/>
    <x v="0"/>
    <x v="41"/>
    <x v="1059"/>
    <x v="10"/>
    <x v="0"/>
  </r>
  <r>
    <x v="4"/>
    <x v="4"/>
    <x v="10"/>
    <x v="733"/>
    <x v="4"/>
    <x v="0"/>
    <x v="1"/>
    <x v="3"/>
    <x v="0"/>
    <x v="0"/>
    <x v="4"/>
    <x v="1060"/>
    <x v="4"/>
    <x v="0"/>
  </r>
  <r>
    <x v="42"/>
    <x v="107"/>
    <x v="16"/>
    <x v="677"/>
    <x v="102"/>
    <x v="0"/>
    <x v="1"/>
    <x v="3"/>
    <x v="0"/>
    <x v="0"/>
    <x v="42"/>
    <x v="1061"/>
    <x v="5"/>
    <x v="0"/>
  </r>
  <r>
    <x v="6"/>
    <x v="6"/>
    <x v="11"/>
    <x v="731"/>
    <x v="6"/>
    <x v="0"/>
    <x v="1"/>
    <x v="3"/>
    <x v="0"/>
    <x v="0"/>
    <x v="6"/>
    <x v="1062"/>
    <x v="5"/>
    <x v="0"/>
  </r>
  <r>
    <x v="68"/>
    <x v="109"/>
    <x v="27"/>
    <x v="734"/>
    <x v="104"/>
    <x v="0"/>
    <x v="1"/>
    <x v="3"/>
    <x v="0"/>
    <x v="0"/>
    <x v="68"/>
    <x v="1063"/>
    <x v="5"/>
    <x v="0"/>
  </r>
  <r>
    <x v="9"/>
    <x v="9"/>
    <x v="8"/>
    <x v="348"/>
    <x v="9"/>
    <x v="0"/>
    <x v="1"/>
    <x v="0"/>
    <x v="1"/>
    <x v="0"/>
    <x v="9"/>
    <x v="1064"/>
    <x v="7"/>
    <x v="1"/>
  </r>
  <r>
    <x v="69"/>
    <x v="111"/>
    <x v="12"/>
    <x v="735"/>
    <x v="106"/>
    <x v="0"/>
    <x v="1"/>
    <x v="0"/>
    <x v="1"/>
    <x v="1"/>
    <x v="69"/>
    <x v="1065"/>
    <x v="0"/>
    <x v="1"/>
  </r>
  <r>
    <x v="48"/>
    <x v="112"/>
    <x v="8"/>
    <x v="86"/>
    <x v="107"/>
    <x v="0"/>
    <x v="1"/>
    <x v="1"/>
    <x v="1"/>
    <x v="0"/>
    <x v="48"/>
    <x v="1066"/>
    <x v="8"/>
    <x v="1"/>
  </r>
  <r>
    <x v="9"/>
    <x v="268"/>
    <x v="19"/>
    <x v="732"/>
    <x v="224"/>
    <x v="0"/>
    <x v="1"/>
    <x v="1"/>
    <x v="1"/>
    <x v="1"/>
    <x v="9"/>
    <x v="1067"/>
    <x v="1"/>
    <x v="1"/>
  </r>
  <r>
    <x v="58"/>
    <x v="275"/>
    <x v="20"/>
    <x v="736"/>
    <x v="230"/>
    <x v="0"/>
    <x v="1"/>
    <x v="1"/>
    <x v="1"/>
    <x v="1"/>
    <x v="58"/>
    <x v="1068"/>
    <x v="9"/>
    <x v="1"/>
  </r>
  <r>
    <x v="71"/>
    <x v="115"/>
    <x v="7"/>
    <x v="737"/>
    <x v="110"/>
    <x v="0"/>
    <x v="1"/>
    <x v="2"/>
    <x v="1"/>
    <x v="1"/>
    <x v="71"/>
    <x v="1069"/>
    <x v="3"/>
    <x v="1"/>
  </r>
  <r>
    <x v="69"/>
    <x v="116"/>
    <x v="23"/>
    <x v="738"/>
    <x v="111"/>
    <x v="0"/>
    <x v="1"/>
    <x v="2"/>
    <x v="1"/>
    <x v="1"/>
    <x v="69"/>
    <x v="1070"/>
    <x v="3"/>
    <x v="1"/>
  </r>
  <r>
    <x v="16"/>
    <x v="16"/>
    <x v="22"/>
    <x v="555"/>
    <x v="16"/>
    <x v="0"/>
    <x v="1"/>
    <x v="2"/>
    <x v="1"/>
    <x v="0"/>
    <x v="16"/>
    <x v="1071"/>
    <x v="10"/>
    <x v="1"/>
  </r>
  <r>
    <x v="68"/>
    <x v="118"/>
    <x v="4"/>
    <x v="739"/>
    <x v="113"/>
    <x v="0"/>
    <x v="1"/>
    <x v="3"/>
    <x v="1"/>
    <x v="1"/>
    <x v="68"/>
    <x v="1072"/>
    <x v="4"/>
    <x v="1"/>
  </r>
  <r>
    <x v="79"/>
    <x v="149"/>
    <x v="30"/>
    <x v="740"/>
    <x v="114"/>
    <x v="0"/>
    <x v="1"/>
    <x v="3"/>
    <x v="1"/>
    <x v="1"/>
    <x v="79"/>
    <x v="1073"/>
    <x v="5"/>
    <x v="1"/>
  </r>
  <r>
    <x v="45"/>
    <x v="186"/>
    <x v="2"/>
    <x v="4"/>
    <x v="159"/>
    <x v="0"/>
    <x v="1"/>
    <x v="3"/>
    <x v="1"/>
    <x v="1"/>
    <x v="45"/>
    <x v="9"/>
    <x v="5"/>
    <x v="1"/>
  </r>
  <r>
    <x v="1"/>
    <x v="218"/>
    <x v="0"/>
    <x v="4"/>
    <x v="20"/>
    <x v="0"/>
    <x v="1"/>
    <x v="3"/>
    <x v="1"/>
    <x v="1"/>
    <x v="1"/>
    <x v="32"/>
    <x v="5"/>
    <x v="1"/>
  </r>
  <r>
    <x v="23"/>
    <x v="273"/>
    <x v="11"/>
    <x v="741"/>
    <x v="228"/>
    <x v="0"/>
    <x v="1"/>
    <x v="3"/>
    <x v="1"/>
    <x v="0"/>
    <x v="23"/>
    <x v="1074"/>
    <x v="6"/>
    <x v="1"/>
  </r>
  <r>
    <x v="73"/>
    <x v="120"/>
    <x v="30"/>
    <x v="4"/>
    <x v="115"/>
    <x v="0"/>
    <x v="1"/>
    <x v="0"/>
    <x v="2"/>
    <x v="1"/>
    <x v="73"/>
    <x v="49"/>
    <x v="7"/>
    <x v="2"/>
  </r>
  <r>
    <x v="39"/>
    <x v="190"/>
    <x v="0"/>
    <x v="742"/>
    <x v="162"/>
    <x v="0"/>
    <x v="1"/>
    <x v="0"/>
    <x v="2"/>
    <x v="0"/>
    <x v="39"/>
    <x v="1075"/>
    <x v="11"/>
    <x v="2"/>
  </r>
  <r>
    <x v="17"/>
    <x v="26"/>
    <x v="28"/>
    <x v="4"/>
    <x v="26"/>
    <x v="0"/>
    <x v="2"/>
    <x v="0"/>
    <x v="0"/>
    <x v="1"/>
    <x v="17"/>
    <x v="47"/>
    <x v="7"/>
    <x v="0"/>
  </r>
  <r>
    <x v="62"/>
    <x v="90"/>
    <x v="22"/>
    <x v="4"/>
    <x v="89"/>
    <x v="0"/>
    <x v="2"/>
    <x v="1"/>
    <x v="0"/>
    <x v="1"/>
    <x v="62"/>
    <x v="30"/>
    <x v="8"/>
    <x v="0"/>
  </r>
  <r>
    <x v="25"/>
    <x v="28"/>
    <x v="30"/>
    <x v="743"/>
    <x v="28"/>
    <x v="0"/>
    <x v="2"/>
    <x v="1"/>
    <x v="0"/>
    <x v="1"/>
    <x v="25"/>
    <x v="1076"/>
    <x v="1"/>
    <x v="0"/>
  </r>
  <r>
    <x v="5"/>
    <x v="29"/>
    <x v="18"/>
    <x v="4"/>
    <x v="29"/>
    <x v="0"/>
    <x v="2"/>
    <x v="2"/>
    <x v="0"/>
    <x v="0"/>
    <x v="5"/>
    <x v="23"/>
    <x v="2"/>
    <x v="0"/>
  </r>
  <r>
    <x v="60"/>
    <x v="164"/>
    <x v="26"/>
    <x v="4"/>
    <x v="145"/>
    <x v="0"/>
    <x v="2"/>
    <x v="2"/>
    <x v="0"/>
    <x v="1"/>
    <x v="60"/>
    <x v="36"/>
    <x v="10"/>
    <x v="0"/>
  </r>
  <r>
    <x v="63"/>
    <x v="91"/>
    <x v="16"/>
    <x v="4"/>
    <x v="90"/>
    <x v="5"/>
    <x v="2"/>
    <x v="3"/>
    <x v="0"/>
    <x v="0"/>
    <x v="63"/>
    <x v="21"/>
    <x v="4"/>
    <x v="0"/>
  </r>
  <r>
    <x v="49"/>
    <x v="92"/>
    <x v="8"/>
    <x v="4"/>
    <x v="32"/>
    <x v="0"/>
    <x v="2"/>
    <x v="3"/>
    <x v="0"/>
    <x v="0"/>
    <x v="49"/>
    <x v="38"/>
    <x v="5"/>
    <x v="0"/>
  </r>
  <r>
    <x v="30"/>
    <x v="34"/>
    <x v="9"/>
    <x v="424"/>
    <x v="34"/>
    <x v="0"/>
    <x v="2"/>
    <x v="3"/>
    <x v="0"/>
    <x v="1"/>
    <x v="30"/>
    <x v="1077"/>
    <x v="5"/>
    <x v="0"/>
  </r>
  <r>
    <x v="64"/>
    <x v="93"/>
    <x v="4"/>
    <x v="744"/>
    <x v="91"/>
    <x v="0"/>
    <x v="2"/>
    <x v="3"/>
    <x v="0"/>
    <x v="1"/>
    <x v="64"/>
    <x v="1078"/>
    <x v="6"/>
    <x v="0"/>
  </r>
  <r>
    <x v="65"/>
    <x v="94"/>
    <x v="15"/>
    <x v="4"/>
    <x v="92"/>
    <x v="0"/>
    <x v="2"/>
    <x v="0"/>
    <x v="1"/>
    <x v="0"/>
    <x v="65"/>
    <x v="27"/>
    <x v="0"/>
    <x v="1"/>
  </r>
  <r>
    <x v="39"/>
    <x v="95"/>
    <x v="32"/>
    <x v="4"/>
    <x v="93"/>
    <x v="0"/>
    <x v="2"/>
    <x v="0"/>
    <x v="1"/>
    <x v="0"/>
    <x v="39"/>
    <x v="53"/>
    <x v="11"/>
    <x v="1"/>
  </r>
  <r>
    <x v="34"/>
    <x v="38"/>
    <x v="9"/>
    <x v="4"/>
    <x v="38"/>
    <x v="0"/>
    <x v="2"/>
    <x v="1"/>
    <x v="1"/>
    <x v="1"/>
    <x v="34"/>
    <x v="10"/>
    <x v="1"/>
    <x v="1"/>
  </r>
  <r>
    <x v="65"/>
    <x v="96"/>
    <x v="3"/>
    <x v="713"/>
    <x v="39"/>
    <x v="0"/>
    <x v="2"/>
    <x v="1"/>
    <x v="1"/>
    <x v="1"/>
    <x v="65"/>
    <x v="1079"/>
    <x v="9"/>
    <x v="1"/>
  </r>
  <r>
    <x v="20"/>
    <x v="40"/>
    <x v="22"/>
    <x v="745"/>
    <x v="40"/>
    <x v="0"/>
    <x v="2"/>
    <x v="2"/>
    <x v="1"/>
    <x v="0"/>
    <x v="20"/>
    <x v="1080"/>
    <x v="2"/>
    <x v="1"/>
  </r>
  <r>
    <x v="18"/>
    <x v="97"/>
    <x v="6"/>
    <x v="746"/>
    <x v="94"/>
    <x v="0"/>
    <x v="2"/>
    <x v="2"/>
    <x v="1"/>
    <x v="0"/>
    <x v="18"/>
    <x v="1081"/>
    <x v="3"/>
    <x v="1"/>
  </r>
  <r>
    <x v="37"/>
    <x v="42"/>
    <x v="18"/>
    <x v="60"/>
    <x v="42"/>
    <x v="0"/>
    <x v="2"/>
    <x v="2"/>
    <x v="1"/>
    <x v="0"/>
    <x v="37"/>
    <x v="1082"/>
    <x v="10"/>
    <x v="1"/>
  </r>
  <r>
    <x v="15"/>
    <x v="98"/>
    <x v="11"/>
    <x v="4"/>
    <x v="95"/>
    <x v="0"/>
    <x v="2"/>
    <x v="3"/>
    <x v="1"/>
    <x v="1"/>
    <x v="15"/>
    <x v="12"/>
    <x v="4"/>
    <x v="1"/>
  </r>
  <r>
    <x v="31"/>
    <x v="99"/>
    <x v="26"/>
    <x v="747"/>
    <x v="96"/>
    <x v="0"/>
    <x v="2"/>
    <x v="3"/>
    <x v="1"/>
    <x v="0"/>
    <x v="31"/>
    <x v="1083"/>
    <x v="4"/>
    <x v="1"/>
  </r>
  <r>
    <x v="11"/>
    <x v="152"/>
    <x v="14"/>
    <x v="161"/>
    <x v="80"/>
    <x v="0"/>
    <x v="2"/>
    <x v="3"/>
    <x v="1"/>
    <x v="0"/>
    <x v="11"/>
    <x v="1084"/>
    <x v="5"/>
    <x v="1"/>
  </r>
  <r>
    <x v="39"/>
    <x v="290"/>
    <x v="27"/>
    <x v="4"/>
    <x v="97"/>
    <x v="0"/>
    <x v="2"/>
    <x v="3"/>
    <x v="1"/>
    <x v="1"/>
    <x v="39"/>
    <x v="39"/>
    <x v="5"/>
    <x v="1"/>
  </r>
  <r>
    <x v="25"/>
    <x v="141"/>
    <x v="13"/>
    <x v="4"/>
    <x v="79"/>
    <x v="0"/>
    <x v="2"/>
    <x v="3"/>
    <x v="1"/>
    <x v="1"/>
    <x v="25"/>
    <x v="17"/>
    <x v="5"/>
    <x v="1"/>
  </r>
  <r>
    <x v="39"/>
    <x v="142"/>
    <x v="18"/>
    <x v="4"/>
    <x v="129"/>
    <x v="0"/>
    <x v="2"/>
    <x v="0"/>
    <x v="2"/>
    <x v="1"/>
    <x v="39"/>
    <x v="23"/>
    <x v="7"/>
    <x v="2"/>
  </r>
  <r>
    <x v="39"/>
    <x v="143"/>
    <x v="18"/>
    <x v="4"/>
    <x v="50"/>
    <x v="0"/>
    <x v="2"/>
    <x v="0"/>
    <x v="2"/>
    <x v="0"/>
    <x v="39"/>
    <x v="23"/>
    <x v="0"/>
    <x v="2"/>
  </r>
  <r>
    <x v="43"/>
    <x v="52"/>
    <x v="18"/>
    <x v="4"/>
    <x v="52"/>
    <x v="0"/>
    <x v="2"/>
    <x v="1"/>
    <x v="2"/>
    <x v="0"/>
    <x v="43"/>
    <x v="23"/>
    <x v="1"/>
    <x v="2"/>
  </r>
  <r>
    <x v="14"/>
    <x v="102"/>
    <x v="2"/>
    <x v="713"/>
    <x v="53"/>
    <x v="2"/>
    <x v="2"/>
    <x v="1"/>
    <x v="2"/>
    <x v="1"/>
    <x v="14"/>
    <x v="1085"/>
    <x v="1"/>
    <x v="2"/>
  </r>
  <r>
    <x v="0"/>
    <x v="0"/>
    <x v="14"/>
    <x v="748"/>
    <x v="0"/>
    <x v="0"/>
    <x v="0"/>
    <x v="0"/>
    <x v="0"/>
    <x v="0"/>
    <x v="0"/>
    <x v="1086"/>
    <x v="0"/>
    <x v="0"/>
  </r>
  <r>
    <x v="10"/>
    <x v="54"/>
    <x v="8"/>
    <x v="4"/>
    <x v="54"/>
    <x v="0"/>
    <x v="0"/>
    <x v="1"/>
    <x v="0"/>
    <x v="0"/>
    <x v="10"/>
    <x v="38"/>
    <x v="8"/>
    <x v="0"/>
  </r>
  <r>
    <x v="23"/>
    <x v="249"/>
    <x v="10"/>
    <x v="4"/>
    <x v="209"/>
    <x v="0"/>
    <x v="0"/>
    <x v="1"/>
    <x v="0"/>
    <x v="0"/>
    <x v="23"/>
    <x v="11"/>
    <x v="9"/>
    <x v="0"/>
  </r>
  <r>
    <x v="3"/>
    <x v="3"/>
    <x v="29"/>
    <x v="749"/>
    <x v="3"/>
    <x v="0"/>
    <x v="0"/>
    <x v="2"/>
    <x v="0"/>
    <x v="1"/>
    <x v="3"/>
    <x v="1087"/>
    <x v="3"/>
    <x v="0"/>
  </r>
  <r>
    <x v="5"/>
    <x v="5"/>
    <x v="11"/>
    <x v="4"/>
    <x v="5"/>
    <x v="0"/>
    <x v="0"/>
    <x v="3"/>
    <x v="0"/>
    <x v="1"/>
    <x v="5"/>
    <x v="12"/>
    <x v="4"/>
    <x v="0"/>
  </r>
  <r>
    <x v="7"/>
    <x v="7"/>
    <x v="27"/>
    <x v="750"/>
    <x v="7"/>
    <x v="0"/>
    <x v="0"/>
    <x v="3"/>
    <x v="0"/>
    <x v="1"/>
    <x v="7"/>
    <x v="1088"/>
    <x v="5"/>
    <x v="0"/>
  </r>
  <r>
    <x v="44"/>
    <x v="55"/>
    <x v="12"/>
    <x v="751"/>
    <x v="55"/>
    <x v="0"/>
    <x v="0"/>
    <x v="0"/>
    <x v="1"/>
    <x v="1"/>
    <x v="44"/>
    <x v="1089"/>
    <x v="7"/>
    <x v="1"/>
  </r>
  <r>
    <x v="10"/>
    <x v="10"/>
    <x v="15"/>
    <x v="4"/>
    <x v="10"/>
    <x v="0"/>
    <x v="0"/>
    <x v="0"/>
    <x v="1"/>
    <x v="0"/>
    <x v="10"/>
    <x v="27"/>
    <x v="0"/>
    <x v="1"/>
  </r>
  <r>
    <x v="57"/>
    <x v="250"/>
    <x v="2"/>
    <x v="4"/>
    <x v="210"/>
    <x v="0"/>
    <x v="0"/>
    <x v="1"/>
    <x v="1"/>
    <x v="1"/>
    <x v="57"/>
    <x v="9"/>
    <x v="8"/>
    <x v="1"/>
  </r>
  <r>
    <x v="61"/>
    <x v="225"/>
    <x v="28"/>
    <x v="4"/>
    <x v="189"/>
    <x v="0"/>
    <x v="0"/>
    <x v="1"/>
    <x v="1"/>
    <x v="1"/>
    <x v="61"/>
    <x v="47"/>
    <x v="1"/>
    <x v="1"/>
  </r>
  <r>
    <x v="13"/>
    <x v="13"/>
    <x v="28"/>
    <x v="751"/>
    <x v="13"/>
    <x v="0"/>
    <x v="0"/>
    <x v="1"/>
    <x v="1"/>
    <x v="0"/>
    <x v="13"/>
    <x v="1090"/>
    <x v="9"/>
    <x v="1"/>
  </r>
  <r>
    <x v="14"/>
    <x v="14"/>
    <x v="10"/>
    <x v="343"/>
    <x v="14"/>
    <x v="0"/>
    <x v="0"/>
    <x v="2"/>
    <x v="1"/>
    <x v="0"/>
    <x v="14"/>
    <x v="1091"/>
    <x v="2"/>
    <x v="1"/>
  </r>
  <r>
    <x v="15"/>
    <x v="15"/>
    <x v="9"/>
    <x v="750"/>
    <x v="15"/>
    <x v="0"/>
    <x v="0"/>
    <x v="2"/>
    <x v="1"/>
    <x v="1"/>
    <x v="15"/>
    <x v="1092"/>
    <x v="3"/>
    <x v="1"/>
  </r>
  <r>
    <x v="75"/>
    <x v="251"/>
    <x v="18"/>
    <x v="4"/>
    <x v="211"/>
    <x v="0"/>
    <x v="0"/>
    <x v="2"/>
    <x v="1"/>
    <x v="0"/>
    <x v="75"/>
    <x v="23"/>
    <x v="10"/>
    <x v="1"/>
  </r>
  <r>
    <x v="47"/>
    <x v="58"/>
    <x v="16"/>
    <x v="751"/>
    <x v="17"/>
    <x v="0"/>
    <x v="0"/>
    <x v="3"/>
    <x v="1"/>
    <x v="0"/>
    <x v="47"/>
    <x v="1093"/>
    <x v="4"/>
    <x v="1"/>
  </r>
  <r>
    <x v="18"/>
    <x v="18"/>
    <x v="20"/>
    <x v="4"/>
    <x v="18"/>
    <x v="0"/>
    <x v="0"/>
    <x v="3"/>
    <x v="1"/>
    <x v="1"/>
    <x v="18"/>
    <x v="28"/>
    <x v="5"/>
    <x v="1"/>
  </r>
  <r>
    <x v="0"/>
    <x v="19"/>
    <x v="3"/>
    <x v="752"/>
    <x v="19"/>
    <x v="0"/>
    <x v="0"/>
    <x v="3"/>
    <x v="1"/>
    <x v="0"/>
    <x v="0"/>
    <x v="1094"/>
    <x v="5"/>
    <x v="1"/>
  </r>
  <r>
    <x v="53"/>
    <x v="286"/>
    <x v="36"/>
    <x v="4"/>
    <x v="20"/>
    <x v="0"/>
    <x v="0"/>
    <x v="3"/>
    <x v="1"/>
    <x v="1"/>
    <x v="53"/>
    <x v="75"/>
    <x v="5"/>
    <x v="1"/>
  </r>
  <r>
    <x v="88"/>
    <x v="252"/>
    <x v="12"/>
    <x v="753"/>
    <x v="212"/>
    <x v="0"/>
    <x v="0"/>
    <x v="3"/>
    <x v="1"/>
    <x v="1"/>
    <x v="88"/>
    <x v="1095"/>
    <x v="6"/>
    <x v="1"/>
  </r>
  <r>
    <x v="73"/>
    <x v="120"/>
    <x v="24"/>
    <x v="4"/>
    <x v="115"/>
    <x v="0"/>
    <x v="0"/>
    <x v="0"/>
    <x v="2"/>
    <x v="1"/>
    <x v="73"/>
    <x v="33"/>
    <x v="7"/>
    <x v="2"/>
  </r>
  <r>
    <x v="14"/>
    <x v="22"/>
    <x v="9"/>
    <x v="4"/>
    <x v="22"/>
    <x v="0"/>
    <x v="0"/>
    <x v="0"/>
    <x v="2"/>
    <x v="1"/>
    <x v="14"/>
    <x v="10"/>
    <x v="0"/>
    <x v="2"/>
  </r>
  <r>
    <x v="26"/>
    <x v="297"/>
    <x v="27"/>
    <x v="754"/>
    <x v="246"/>
    <x v="0"/>
    <x v="0"/>
    <x v="0"/>
    <x v="2"/>
    <x v="1"/>
    <x v="26"/>
    <x v="1096"/>
    <x v="11"/>
    <x v="2"/>
  </r>
  <r>
    <x v="12"/>
    <x v="253"/>
    <x v="4"/>
    <x v="4"/>
    <x v="213"/>
    <x v="4"/>
    <x v="0"/>
    <x v="1"/>
    <x v="2"/>
    <x v="1"/>
    <x v="12"/>
    <x v="4"/>
    <x v="8"/>
    <x v="2"/>
  </r>
  <r>
    <x v="70"/>
    <x v="235"/>
    <x v="3"/>
    <x v="4"/>
    <x v="198"/>
    <x v="0"/>
    <x v="0"/>
    <x v="1"/>
    <x v="2"/>
    <x v="1"/>
    <x v="70"/>
    <x v="26"/>
    <x v="1"/>
    <x v="2"/>
  </r>
  <r>
    <x v="66"/>
    <x v="103"/>
    <x v="26"/>
    <x v="755"/>
    <x v="98"/>
    <x v="0"/>
    <x v="0"/>
    <x v="0"/>
    <x v="0"/>
    <x v="0"/>
    <x v="66"/>
    <x v="1097"/>
    <x v="11"/>
    <x v="0"/>
  </r>
  <r>
    <x v="67"/>
    <x v="104"/>
    <x v="28"/>
    <x v="756"/>
    <x v="99"/>
    <x v="0"/>
    <x v="0"/>
    <x v="1"/>
    <x v="0"/>
    <x v="0"/>
    <x v="67"/>
    <x v="1098"/>
    <x v="1"/>
    <x v="0"/>
  </r>
  <r>
    <x v="39"/>
    <x v="105"/>
    <x v="29"/>
    <x v="757"/>
    <x v="100"/>
    <x v="0"/>
    <x v="0"/>
    <x v="2"/>
    <x v="0"/>
    <x v="0"/>
    <x v="39"/>
    <x v="1099"/>
    <x v="2"/>
    <x v="0"/>
  </r>
  <r>
    <x v="3"/>
    <x v="3"/>
    <x v="28"/>
    <x v="758"/>
    <x v="3"/>
    <x v="0"/>
    <x v="0"/>
    <x v="2"/>
    <x v="0"/>
    <x v="0"/>
    <x v="3"/>
    <x v="1100"/>
    <x v="3"/>
    <x v="0"/>
  </r>
  <r>
    <x v="4"/>
    <x v="4"/>
    <x v="21"/>
    <x v="759"/>
    <x v="4"/>
    <x v="0"/>
    <x v="0"/>
    <x v="3"/>
    <x v="0"/>
    <x v="0"/>
    <x v="4"/>
    <x v="1101"/>
    <x v="4"/>
    <x v="0"/>
  </r>
  <r>
    <x v="42"/>
    <x v="107"/>
    <x v="18"/>
    <x v="760"/>
    <x v="102"/>
    <x v="0"/>
    <x v="0"/>
    <x v="3"/>
    <x v="0"/>
    <x v="0"/>
    <x v="42"/>
    <x v="1102"/>
    <x v="5"/>
    <x v="0"/>
  </r>
  <r>
    <x v="6"/>
    <x v="6"/>
    <x v="1"/>
    <x v="761"/>
    <x v="6"/>
    <x v="0"/>
    <x v="0"/>
    <x v="3"/>
    <x v="0"/>
    <x v="0"/>
    <x v="6"/>
    <x v="1103"/>
    <x v="5"/>
    <x v="0"/>
  </r>
  <r>
    <x v="23"/>
    <x v="288"/>
    <x v="12"/>
    <x v="762"/>
    <x v="240"/>
    <x v="0"/>
    <x v="0"/>
    <x v="3"/>
    <x v="0"/>
    <x v="0"/>
    <x v="23"/>
    <x v="1104"/>
    <x v="5"/>
    <x v="0"/>
  </r>
  <r>
    <x v="9"/>
    <x v="9"/>
    <x v="2"/>
    <x v="586"/>
    <x v="9"/>
    <x v="0"/>
    <x v="0"/>
    <x v="0"/>
    <x v="1"/>
    <x v="0"/>
    <x v="9"/>
    <x v="1105"/>
    <x v="7"/>
    <x v="1"/>
  </r>
  <r>
    <x v="6"/>
    <x v="148"/>
    <x v="30"/>
    <x v="763"/>
    <x v="133"/>
    <x v="0"/>
    <x v="0"/>
    <x v="0"/>
    <x v="1"/>
    <x v="0"/>
    <x v="6"/>
    <x v="1106"/>
    <x v="0"/>
    <x v="1"/>
  </r>
  <r>
    <x v="11"/>
    <x v="11"/>
    <x v="18"/>
    <x v="757"/>
    <x v="11"/>
    <x v="0"/>
    <x v="0"/>
    <x v="1"/>
    <x v="1"/>
    <x v="0"/>
    <x v="11"/>
    <x v="1107"/>
    <x v="8"/>
    <x v="1"/>
  </r>
  <r>
    <x v="9"/>
    <x v="268"/>
    <x v="5"/>
    <x v="764"/>
    <x v="224"/>
    <x v="0"/>
    <x v="0"/>
    <x v="1"/>
    <x v="1"/>
    <x v="0"/>
    <x v="9"/>
    <x v="1108"/>
    <x v="1"/>
    <x v="1"/>
  </r>
  <r>
    <x v="58"/>
    <x v="275"/>
    <x v="14"/>
    <x v="765"/>
    <x v="230"/>
    <x v="0"/>
    <x v="0"/>
    <x v="1"/>
    <x v="1"/>
    <x v="0"/>
    <x v="58"/>
    <x v="1109"/>
    <x v="9"/>
    <x v="1"/>
  </r>
  <r>
    <x v="71"/>
    <x v="115"/>
    <x v="26"/>
    <x v="766"/>
    <x v="110"/>
    <x v="0"/>
    <x v="0"/>
    <x v="2"/>
    <x v="1"/>
    <x v="0"/>
    <x v="71"/>
    <x v="1110"/>
    <x v="3"/>
    <x v="1"/>
  </r>
  <r>
    <x v="15"/>
    <x v="15"/>
    <x v="9"/>
    <x v="697"/>
    <x v="15"/>
    <x v="0"/>
    <x v="0"/>
    <x v="2"/>
    <x v="1"/>
    <x v="0"/>
    <x v="15"/>
    <x v="1111"/>
    <x v="3"/>
    <x v="1"/>
  </r>
  <r>
    <x v="16"/>
    <x v="16"/>
    <x v="16"/>
    <x v="586"/>
    <x v="16"/>
    <x v="0"/>
    <x v="0"/>
    <x v="2"/>
    <x v="1"/>
    <x v="0"/>
    <x v="16"/>
    <x v="1112"/>
    <x v="10"/>
    <x v="1"/>
  </r>
  <r>
    <x v="68"/>
    <x v="118"/>
    <x v="5"/>
    <x v="141"/>
    <x v="113"/>
    <x v="0"/>
    <x v="0"/>
    <x v="3"/>
    <x v="1"/>
    <x v="0"/>
    <x v="68"/>
    <x v="1113"/>
    <x v="4"/>
    <x v="1"/>
  </r>
  <r>
    <x v="79"/>
    <x v="149"/>
    <x v="6"/>
    <x v="767"/>
    <x v="114"/>
    <x v="0"/>
    <x v="0"/>
    <x v="3"/>
    <x v="1"/>
    <x v="0"/>
    <x v="79"/>
    <x v="1114"/>
    <x v="5"/>
    <x v="1"/>
  </r>
  <r>
    <x v="45"/>
    <x v="186"/>
    <x v="11"/>
    <x v="4"/>
    <x v="159"/>
    <x v="0"/>
    <x v="0"/>
    <x v="3"/>
    <x v="1"/>
    <x v="1"/>
    <x v="45"/>
    <x v="12"/>
    <x v="5"/>
    <x v="1"/>
  </r>
  <r>
    <x v="1"/>
    <x v="218"/>
    <x v="6"/>
    <x v="4"/>
    <x v="20"/>
    <x v="0"/>
    <x v="0"/>
    <x v="3"/>
    <x v="1"/>
    <x v="1"/>
    <x v="1"/>
    <x v="24"/>
    <x v="5"/>
    <x v="1"/>
  </r>
  <r>
    <x v="23"/>
    <x v="273"/>
    <x v="19"/>
    <x v="760"/>
    <x v="228"/>
    <x v="0"/>
    <x v="0"/>
    <x v="3"/>
    <x v="1"/>
    <x v="0"/>
    <x v="23"/>
    <x v="1115"/>
    <x v="6"/>
    <x v="1"/>
  </r>
  <r>
    <x v="67"/>
    <x v="298"/>
    <x v="7"/>
    <x v="764"/>
    <x v="115"/>
    <x v="0"/>
    <x v="0"/>
    <x v="0"/>
    <x v="2"/>
    <x v="0"/>
    <x v="67"/>
    <x v="1116"/>
    <x v="7"/>
    <x v="2"/>
  </r>
  <r>
    <x v="23"/>
    <x v="220"/>
    <x v="23"/>
    <x v="768"/>
    <x v="184"/>
    <x v="0"/>
    <x v="0"/>
    <x v="0"/>
    <x v="2"/>
    <x v="1"/>
    <x v="23"/>
    <x v="1117"/>
    <x v="0"/>
    <x v="2"/>
  </r>
  <r>
    <x v="39"/>
    <x v="190"/>
    <x v="2"/>
    <x v="579"/>
    <x v="162"/>
    <x v="0"/>
    <x v="0"/>
    <x v="0"/>
    <x v="2"/>
    <x v="0"/>
    <x v="39"/>
    <x v="1118"/>
    <x v="11"/>
    <x v="2"/>
  </r>
  <r>
    <x v="22"/>
    <x v="24"/>
    <x v="0"/>
    <x v="757"/>
    <x v="24"/>
    <x v="0"/>
    <x v="0"/>
    <x v="1"/>
    <x v="2"/>
    <x v="0"/>
    <x v="22"/>
    <x v="1119"/>
    <x v="8"/>
    <x v="2"/>
  </r>
  <r>
    <x v="23"/>
    <x v="150"/>
    <x v="21"/>
    <x v="769"/>
    <x v="134"/>
    <x v="0"/>
    <x v="2"/>
    <x v="0"/>
    <x v="0"/>
    <x v="0"/>
    <x v="23"/>
    <x v="1120"/>
    <x v="7"/>
    <x v="0"/>
  </r>
  <r>
    <x v="62"/>
    <x v="90"/>
    <x v="11"/>
    <x v="770"/>
    <x v="89"/>
    <x v="0"/>
    <x v="2"/>
    <x v="1"/>
    <x v="0"/>
    <x v="0"/>
    <x v="62"/>
    <x v="1121"/>
    <x v="8"/>
    <x v="0"/>
  </r>
  <r>
    <x v="74"/>
    <x v="124"/>
    <x v="3"/>
    <x v="771"/>
    <x v="118"/>
    <x v="0"/>
    <x v="2"/>
    <x v="1"/>
    <x v="0"/>
    <x v="0"/>
    <x v="74"/>
    <x v="1122"/>
    <x v="9"/>
    <x v="0"/>
  </r>
  <r>
    <x v="73"/>
    <x v="163"/>
    <x v="16"/>
    <x v="772"/>
    <x v="144"/>
    <x v="0"/>
    <x v="2"/>
    <x v="2"/>
    <x v="0"/>
    <x v="0"/>
    <x v="73"/>
    <x v="1123"/>
    <x v="3"/>
    <x v="0"/>
  </r>
  <r>
    <x v="60"/>
    <x v="164"/>
    <x v="2"/>
    <x v="773"/>
    <x v="145"/>
    <x v="0"/>
    <x v="2"/>
    <x v="2"/>
    <x v="0"/>
    <x v="0"/>
    <x v="60"/>
    <x v="1124"/>
    <x v="10"/>
    <x v="0"/>
  </r>
  <r>
    <x v="26"/>
    <x v="127"/>
    <x v="7"/>
    <x v="772"/>
    <x v="121"/>
    <x v="0"/>
    <x v="2"/>
    <x v="3"/>
    <x v="0"/>
    <x v="0"/>
    <x v="26"/>
    <x v="1125"/>
    <x v="4"/>
    <x v="0"/>
  </r>
  <r>
    <x v="49"/>
    <x v="92"/>
    <x v="24"/>
    <x v="774"/>
    <x v="32"/>
    <x v="0"/>
    <x v="2"/>
    <x v="3"/>
    <x v="0"/>
    <x v="1"/>
    <x v="49"/>
    <x v="1126"/>
    <x v="5"/>
    <x v="0"/>
  </r>
  <r>
    <x v="81"/>
    <x v="165"/>
    <x v="29"/>
    <x v="775"/>
    <x v="69"/>
    <x v="0"/>
    <x v="2"/>
    <x v="3"/>
    <x v="0"/>
    <x v="0"/>
    <x v="81"/>
    <x v="1127"/>
    <x v="5"/>
    <x v="0"/>
  </r>
  <r>
    <x v="47"/>
    <x v="166"/>
    <x v="22"/>
    <x v="776"/>
    <x v="34"/>
    <x v="0"/>
    <x v="2"/>
    <x v="3"/>
    <x v="0"/>
    <x v="0"/>
    <x v="47"/>
    <x v="1128"/>
    <x v="5"/>
    <x v="0"/>
  </r>
  <r>
    <x v="64"/>
    <x v="93"/>
    <x v="26"/>
    <x v="777"/>
    <x v="91"/>
    <x v="0"/>
    <x v="2"/>
    <x v="3"/>
    <x v="0"/>
    <x v="0"/>
    <x v="64"/>
    <x v="1129"/>
    <x v="6"/>
    <x v="0"/>
  </r>
  <r>
    <x v="82"/>
    <x v="167"/>
    <x v="21"/>
    <x v="778"/>
    <x v="146"/>
    <x v="0"/>
    <x v="2"/>
    <x v="0"/>
    <x v="1"/>
    <x v="0"/>
    <x v="82"/>
    <x v="1130"/>
    <x v="0"/>
    <x v="1"/>
  </r>
  <r>
    <x v="39"/>
    <x v="95"/>
    <x v="10"/>
    <x v="779"/>
    <x v="93"/>
    <x v="0"/>
    <x v="2"/>
    <x v="0"/>
    <x v="1"/>
    <x v="0"/>
    <x v="39"/>
    <x v="1131"/>
    <x v="11"/>
    <x v="1"/>
  </r>
  <r>
    <x v="23"/>
    <x v="168"/>
    <x v="21"/>
    <x v="780"/>
    <x v="125"/>
    <x v="0"/>
    <x v="2"/>
    <x v="1"/>
    <x v="1"/>
    <x v="0"/>
    <x v="23"/>
    <x v="1132"/>
    <x v="1"/>
    <x v="1"/>
  </r>
  <r>
    <x v="65"/>
    <x v="96"/>
    <x v="23"/>
    <x v="781"/>
    <x v="39"/>
    <x v="0"/>
    <x v="2"/>
    <x v="1"/>
    <x v="1"/>
    <x v="0"/>
    <x v="65"/>
    <x v="1133"/>
    <x v="9"/>
    <x v="1"/>
  </r>
  <r>
    <x v="39"/>
    <x v="169"/>
    <x v="21"/>
    <x v="769"/>
    <x v="126"/>
    <x v="0"/>
    <x v="2"/>
    <x v="2"/>
    <x v="1"/>
    <x v="0"/>
    <x v="39"/>
    <x v="1120"/>
    <x v="2"/>
    <x v="1"/>
  </r>
  <r>
    <x v="18"/>
    <x v="97"/>
    <x v="28"/>
    <x v="778"/>
    <x v="94"/>
    <x v="0"/>
    <x v="2"/>
    <x v="2"/>
    <x v="1"/>
    <x v="0"/>
    <x v="18"/>
    <x v="1134"/>
    <x v="3"/>
    <x v="1"/>
  </r>
  <r>
    <x v="0"/>
    <x v="170"/>
    <x v="24"/>
    <x v="782"/>
    <x v="42"/>
    <x v="0"/>
    <x v="2"/>
    <x v="2"/>
    <x v="1"/>
    <x v="0"/>
    <x v="0"/>
    <x v="1135"/>
    <x v="10"/>
    <x v="1"/>
  </r>
  <r>
    <x v="15"/>
    <x v="98"/>
    <x v="23"/>
    <x v="783"/>
    <x v="95"/>
    <x v="0"/>
    <x v="2"/>
    <x v="3"/>
    <x v="1"/>
    <x v="0"/>
    <x v="15"/>
    <x v="1136"/>
    <x v="4"/>
    <x v="1"/>
  </r>
  <r>
    <x v="31"/>
    <x v="99"/>
    <x v="19"/>
    <x v="784"/>
    <x v="96"/>
    <x v="0"/>
    <x v="2"/>
    <x v="3"/>
    <x v="1"/>
    <x v="0"/>
    <x v="31"/>
    <x v="1137"/>
    <x v="4"/>
    <x v="1"/>
  </r>
  <r>
    <x v="17"/>
    <x v="81"/>
    <x v="19"/>
    <x v="4"/>
    <x v="80"/>
    <x v="0"/>
    <x v="2"/>
    <x v="3"/>
    <x v="1"/>
    <x v="2"/>
    <x v="17"/>
    <x v="25"/>
    <x v="5"/>
    <x v="1"/>
  </r>
  <r>
    <x v="39"/>
    <x v="290"/>
    <x v="23"/>
    <x v="785"/>
    <x v="97"/>
    <x v="0"/>
    <x v="2"/>
    <x v="3"/>
    <x v="1"/>
    <x v="0"/>
    <x v="39"/>
    <x v="1138"/>
    <x v="5"/>
    <x v="1"/>
  </r>
  <r>
    <x v="74"/>
    <x v="159"/>
    <x v="29"/>
    <x v="782"/>
    <x v="140"/>
    <x v="0"/>
    <x v="2"/>
    <x v="3"/>
    <x v="1"/>
    <x v="0"/>
    <x v="74"/>
    <x v="1139"/>
    <x v="6"/>
    <x v="1"/>
  </r>
  <r>
    <x v="1"/>
    <x v="84"/>
    <x v="5"/>
    <x v="4"/>
    <x v="83"/>
    <x v="0"/>
    <x v="2"/>
    <x v="3"/>
    <x v="1"/>
    <x v="1"/>
    <x v="1"/>
    <x v="15"/>
    <x v="6"/>
    <x v="1"/>
  </r>
  <r>
    <x v="39"/>
    <x v="142"/>
    <x v="14"/>
    <x v="415"/>
    <x v="129"/>
    <x v="0"/>
    <x v="2"/>
    <x v="0"/>
    <x v="2"/>
    <x v="0"/>
    <x v="39"/>
    <x v="1140"/>
    <x v="7"/>
    <x v="2"/>
  </r>
  <r>
    <x v="23"/>
    <x v="245"/>
    <x v="22"/>
    <x v="420"/>
    <x v="205"/>
    <x v="0"/>
    <x v="2"/>
    <x v="0"/>
    <x v="2"/>
    <x v="0"/>
    <x v="23"/>
    <x v="1141"/>
    <x v="0"/>
    <x v="2"/>
  </r>
  <r>
    <x v="23"/>
    <x v="266"/>
    <x v="5"/>
    <x v="775"/>
    <x v="222"/>
    <x v="0"/>
    <x v="2"/>
    <x v="0"/>
    <x v="2"/>
    <x v="0"/>
    <x v="23"/>
    <x v="1142"/>
    <x v="11"/>
    <x v="2"/>
  </r>
  <r>
    <x v="23"/>
    <x v="171"/>
    <x v="34"/>
    <x v="780"/>
    <x v="147"/>
    <x v="0"/>
    <x v="2"/>
    <x v="1"/>
    <x v="2"/>
    <x v="0"/>
    <x v="23"/>
    <x v="1143"/>
    <x v="1"/>
    <x v="2"/>
  </r>
  <r>
    <x v="14"/>
    <x v="102"/>
    <x v="54"/>
    <x v="781"/>
    <x v="53"/>
    <x v="2"/>
    <x v="2"/>
    <x v="1"/>
    <x v="2"/>
    <x v="0"/>
    <x v="14"/>
    <x v="1144"/>
    <x v="1"/>
    <x v="2"/>
  </r>
  <r>
    <x v="23"/>
    <x v="150"/>
    <x v="4"/>
    <x v="786"/>
    <x v="134"/>
    <x v="0"/>
    <x v="6"/>
    <x v="0"/>
    <x v="0"/>
    <x v="1"/>
    <x v="23"/>
    <x v="1145"/>
    <x v="7"/>
    <x v="0"/>
  </r>
  <r>
    <x v="90"/>
    <x v="299"/>
    <x v="26"/>
    <x v="45"/>
    <x v="247"/>
    <x v="0"/>
    <x v="6"/>
    <x v="1"/>
    <x v="0"/>
    <x v="0"/>
    <x v="90"/>
    <x v="1146"/>
    <x v="8"/>
    <x v="0"/>
  </r>
  <r>
    <x v="74"/>
    <x v="124"/>
    <x v="6"/>
    <x v="787"/>
    <x v="118"/>
    <x v="0"/>
    <x v="6"/>
    <x v="1"/>
    <x v="0"/>
    <x v="0"/>
    <x v="74"/>
    <x v="1147"/>
    <x v="9"/>
    <x v="0"/>
  </r>
  <r>
    <x v="39"/>
    <x v="125"/>
    <x v="13"/>
    <x v="788"/>
    <x v="119"/>
    <x v="0"/>
    <x v="6"/>
    <x v="2"/>
    <x v="0"/>
    <x v="1"/>
    <x v="39"/>
    <x v="1148"/>
    <x v="3"/>
    <x v="0"/>
  </r>
  <r>
    <x v="28"/>
    <x v="280"/>
    <x v="29"/>
    <x v="789"/>
    <x v="235"/>
    <x v="0"/>
    <x v="6"/>
    <x v="2"/>
    <x v="0"/>
    <x v="0"/>
    <x v="28"/>
    <x v="1149"/>
    <x v="10"/>
    <x v="0"/>
  </r>
  <r>
    <x v="26"/>
    <x v="127"/>
    <x v="27"/>
    <x v="790"/>
    <x v="121"/>
    <x v="0"/>
    <x v="6"/>
    <x v="3"/>
    <x v="0"/>
    <x v="0"/>
    <x v="26"/>
    <x v="1150"/>
    <x v="4"/>
    <x v="0"/>
  </r>
  <r>
    <x v="70"/>
    <x v="128"/>
    <x v="8"/>
    <x v="31"/>
    <x v="32"/>
    <x v="0"/>
    <x v="6"/>
    <x v="3"/>
    <x v="0"/>
    <x v="0"/>
    <x v="70"/>
    <x v="1151"/>
    <x v="5"/>
    <x v="0"/>
  </r>
  <r>
    <x v="81"/>
    <x v="165"/>
    <x v="7"/>
    <x v="789"/>
    <x v="69"/>
    <x v="0"/>
    <x v="6"/>
    <x v="3"/>
    <x v="0"/>
    <x v="0"/>
    <x v="81"/>
    <x v="1152"/>
    <x v="5"/>
    <x v="0"/>
  </r>
  <r>
    <x v="47"/>
    <x v="166"/>
    <x v="29"/>
    <x v="22"/>
    <x v="34"/>
    <x v="0"/>
    <x v="6"/>
    <x v="3"/>
    <x v="0"/>
    <x v="0"/>
    <x v="47"/>
    <x v="1153"/>
    <x v="5"/>
    <x v="0"/>
  </r>
  <r>
    <x v="64"/>
    <x v="93"/>
    <x v="3"/>
    <x v="791"/>
    <x v="91"/>
    <x v="0"/>
    <x v="6"/>
    <x v="3"/>
    <x v="0"/>
    <x v="0"/>
    <x v="64"/>
    <x v="1154"/>
    <x v="6"/>
    <x v="0"/>
  </r>
  <r>
    <x v="75"/>
    <x v="132"/>
    <x v="14"/>
    <x v="792"/>
    <x v="123"/>
    <x v="0"/>
    <x v="6"/>
    <x v="0"/>
    <x v="1"/>
    <x v="0"/>
    <x v="75"/>
    <x v="1155"/>
    <x v="0"/>
    <x v="1"/>
  </r>
  <r>
    <x v="72"/>
    <x v="151"/>
    <x v="12"/>
    <x v="793"/>
    <x v="135"/>
    <x v="0"/>
    <x v="6"/>
    <x v="0"/>
    <x v="1"/>
    <x v="0"/>
    <x v="72"/>
    <x v="1156"/>
    <x v="11"/>
    <x v="1"/>
  </r>
  <r>
    <x v="73"/>
    <x v="134"/>
    <x v="23"/>
    <x v="794"/>
    <x v="125"/>
    <x v="0"/>
    <x v="6"/>
    <x v="1"/>
    <x v="1"/>
    <x v="0"/>
    <x v="73"/>
    <x v="1157"/>
    <x v="1"/>
    <x v="1"/>
  </r>
  <r>
    <x v="18"/>
    <x v="135"/>
    <x v="3"/>
    <x v="795"/>
    <x v="126"/>
    <x v="0"/>
    <x v="6"/>
    <x v="2"/>
    <x v="1"/>
    <x v="0"/>
    <x v="18"/>
    <x v="1158"/>
    <x v="2"/>
    <x v="1"/>
  </r>
  <r>
    <x v="39"/>
    <x v="136"/>
    <x v="5"/>
    <x v="796"/>
    <x v="76"/>
    <x v="0"/>
    <x v="6"/>
    <x v="2"/>
    <x v="1"/>
    <x v="0"/>
    <x v="39"/>
    <x v="1159"/>
    <x v="3"/>
    <x v="1"/>
  </r>
  <r>
    <x v="0"/>
    <x v="170"/>
    <x v="28"/>
    <x v="797"/>
    <x v="42"/>
    <x v="0"/>
    <x v="6"/>
    <x v="2"/>
    <x v="1"/>
    <x v="0"/>
    <x v="0"/>
    <x v="1160"/>
    <x v="10"/>
    <x v="1"/>
  </r>
  <r>
    <x v="77"/>
    <x v="138"/>
    <x v="12"/>
    <x v="484"/>
    <x v="78"/>
    <x v="0"/>
    <x v="6"/>
    <x v="3"/>
    <x v="1"/>
    <x v="0"/>
    <x v="77"/>
    <x v="1161"/>
    <x v="4"/>
    <x v="1"/>
  </r>
  <r>
    <x v="78"/>
    <x v="139"/>
    <x v="21"/>
    <x v="513"/>
    <x v="96"/>
    <x v="0"/>
    <x v="6"/>
    <x v="3"/>
    <x v="1"/>
    <x v="0"/>
    <x v="78"/>
    <x v="1162"/>
    <x v="4"/>
    <x v="1"/>
  </r>
  <r>
    <x v="17"/>
    <x v="81"/>
    <x v="11"/>
    <x v="4"/>
    <x v="80"/>
    <x v="0"/>
    <x v="6"/>
    <x v="3"/>
    <x v="1"/>
    <x v="1"/>
    <x v="17"/>
    <x v="12"/>
    <x v="5"/>
    <x v="1"/>
  </r>
  <r>
    <x v="62"/>
    <x v="140"/>
    <x v="28"/>
    <x v="282"/>
    <x v="128"/>
    <x v="0"/>
    <x v="6"/>
    <x v="3"/>
    <x v="1"/>
    <x v="0"/>
    <x v="62"/>
    <x v="1163"/>
    <x v="5"/>
    <x v="1"/>
  </r>
  <r>
    <x v="23"/>
    <x v="83"/>
    <x v="26"/>
    <x v="4"/>
    <x v="82"/>
    <x v="0"/>
    <x v="6"/>
    <x v="3"/>
    <x v="1"/>
    <x v="1"/>
    <x v="23"/>
    <x v="36"/>
    <x v="6"/>
    <x v="1"/>
  </r>
  <r>
    <x v="1"/>
    <x v="84"/>
    <x v="8"/>
    <x v="4"/>
    <x v="83"/>
    <x v="0"/>
    <x v="6"/>
    <x v="3"/>
    <x v="1"/>
    <x v="1"/>
    <x v="1"/>
    <x v="38"/>
    <x v="6"/>
    <x v="1"/>
  </r>
  <r>
    <x v="39"/>
    <x v="142"/>
    <x v="0"/>
    <x v="115"/>
    <x v="129"/>
    <x v="0"/>
    <x v="6"/>
    <x v="0"/>
    <x v="2"/>
    <x v="0"/>
    <x v="39"/>
    <x v="1164"/>
    <x v="7"/>
    <x v="2"/>
  </r>
  <r>
    <x v="23"/>
    <x v="245"/>
    <x v="27"/>
    <x v="542"/>
    <x v="205"/>
    <x v="0"/>
    <x v="6"/>
    <x v="0"/>
    <x v="2"/>
    <x v="0"/>
    <x v="23"/>
    <x v="1165"/>
    <x v="0"/>
    <x v="2"/>
  </r>
  <r>
    <x v="23"/>
    <x v="266"/>
    <x v="0"/>
    <x v="798"/>
    <x v="222"/>
    <x v="0"/>
    <x v="6"/>
    <x v="0"/>
    <x v="2"/>
    <x v="0"/>
    <x v="23"/>
    <x v="1042"/>
    <x v="11"/>
    <x v="2"/>
  </r>
  <r>
    <x v="13"/>
    <x v="144"/>
    <x v="16"/>
    <x v="794"/>
    <x v="130"/>
    <x v="0"/>
    <x v="6"/>
    <x v="1"/>
    <x v="2"/>
    <x v="0"/>
    <x v="13"/>
    <x v="1166"/>
    <x v="1"/>
    <x v="2"/>
  </r>
  <r>
    <x v="17"/>
    <x v="26"/>
    <x v="3"/>
    <x v="799"/>
    <x v="26"/>
    <x v="0"/>
    <x v="2"/>
    <x v="0"/>
    <x v="0"/>
    <x v="1"/>
    <x v="17"/>
    <x v="1167"/>
    <x v="7"/>
    <x v="0"/>
  </r>
  <r>
    <x v="39"/>
    <x v="145"/>
    <x v="10"/>
    <x v="800"/>
    <x v="131"/>
    <x v="0"/>
    <x v="2"/>
    <x v="0"/>
    <x v="0"/>
    <x v="0"/>
    <x v="39"/>
    <x v="1168"/>
    <x v="11"/>
    <x v="0"/>
  </r>
  <r>
    <x v="25"/>
    <x v="28"/>
    <x v="18"/>
    <x v="801"/>
    <x v="28"/>
    <x v="0"/>
    <x v="2"/>
    <x v="1"/>
    <x v="0"/>
    <x v="0"/>
    <x v="25"/>
    <x v="1169"/>
    <x v="1"/>
    <x v="0"/>
  </r>
  <r>
    <x v="5"/>
    <x v="29"/>
    <x v="11"/>
    <x v="423"/>
    <x v="29"/>
    <x v="0"/>
    <x v="2"/>
    <x v="2"/>
    <x v="0"/>
    <x v="0"/>
    <x v="5"/>
    <x v="1170"/>
    <x v="2"/>
    <x v="0"/>
  </r>
  <r>
    <x v="26"/>
    <x v="30"/>
    <x v="4"/>
    <x v="376"/>
    <x v="30"/>
    <x v="0"/>
    <x v="2"/>
    <x v="2"/>
    <x v="0"/>
    <x v="0"/>
    <x v="26"/>
    <x v="1171"/>
    <x v="10"/>
    <x v="0"/>
  </r>
  <r>
    <x v="63"/>
    <x v="91"/>
    <x v="4"/>
    <x v="802"/>
    <x v="90"/>
    <x v="5"/>
    <x v="2"/>
    <x v="3"/>
    <x v="0"/>
    <x v="0"/>
    <x v="63"/>
    <x v="1172"/>
    <x v="4"/>
    <x v="0"/>
  </r>
  <r>
    <x v="49"/>
    <x v="92"/>
    <x v="6"/>
    <x v="803"/>
    <x v="32"/>
    <x v="0"/>
    <x v="2"/>
    <x v="3"/>
    <x v="0"/>
    <x v="0"/>
    <x v="49"/>
    <x v="1173"/>
    <x v="5"/>
    <x v="0"/>
  </r>
  <r>
    <x v="29"/>
    <x v="33"/>
    <x v="4"/>
    <x v="53"/>
    <x v="33"/>
    <x v="0"/>
    <x v="2"/>
    <x v="3"/>
    <x v="0"/>
    <x v="1"/>
    <x v="29"/>
    <x v="1174"/>
    <x v="5"/>
    <x v="0"/>
  </r>
  <r>
    <x v="30"/>
    <x v="34"/>
    <x v="25"/>
    <x v="802"/>
    <x v="34"/>
    <x v="0"/>
    <x v="2"/>
    <x v="3"/>
    <x v="0"/>
    <x v="0"/>
    <x v="30"/>
    <x v="1175"/>
    <x v="5"/>
    <x v="0"/>
  </r>
  <r>
    <x v="31"/>
    <x v="35"/>
    <x v="5"/>
    <x v="804"/>
    <x v="35"/>
    <x v="0"/>
    <x v="2"/>
    <x v="3"/>
    <x v="0"/>
    <x v="0"/>
    <x v="31"/>
    <x v="1176"/>
    <x v="6"/>
    <x v="0"/>
  </r>
  <r>
    <x v="65"/>
    <x v="94"/>
    <x v="25"/>
    <x v="805"/>
    <x v="92"/>
    <x v="0"/>
    <x v="2"/>
    <x v="0"/>
    <x v="1"/>
    <x v="0"/>
    <x v="65"/>
    <x v="1177"/>
    <x v="0"/>
    <x v="1"/>
  </r>
  <r>
    <x v="39"/>
    <x v="95"/>
    <x v="0"/>
    <x v="806"/>
    <x v="93"/>
    <x v="0"/>
    <x v="2"/>
    <x v="0"/>
    <x v="1"/>
    <x v="0"/>
    <x v="39"/>
    <x v="1178"/>
    <x v="11"/>
    <x v="1"/>
  </r>
  <r>
    <x v="34"/>
    <x v="38"/>
    <x v="27"/>
    <x v="421"/>
    <x v="38"/>
    <x v="0"/>
    <x v="2"/>
    <x v="1"/>
    <x v="1"/>
    <x v="1"/>
    <x v="34"/>
    <x v="1179"/>
    <x v="1"/>
    <x v="1"/>
  </r>
  <r>
    <x v="35"/>
    <x v="39"/>
    <x v="14"/>
    <x v="807"/>
    <x v="39"/>
    <x v="0"/>
    <x v="2"/>
    <x v="1"/>
    <x v="1"/>
    <x v="0"/>
    <x v="35"/>
    <x v="1180"/>
    <x v="9"/>
    <x v="1"/>
  </r>
  <r>
    <x v="20"/>
    <x v="40"/>
    <x v="15"/>
    <x v="808"/>
    <x v="40"/>
    <x v="0"/>
    <x v="2"/>
    <x v="2"/>
    <x v="1"/>
    <x v="0"/>
    <x v="20"/>
    <x v="1181"/>
    <x v="2"/>
    <x v="1"/>
  </r>
  <r>
    <x v="18"/>
    <x v="97"/>
    <x v="5"/>
    <x v="809"/>
    <x v="94"/>
    <x v="0"/>
    <x v="2"/>
    <x v="2"/>
    <x v="1"/>
    <x v="0"/>
    <x v="18"/>
    <x v="1182"/>
    <x v="3"/>
    <x v="1"/>
  </r>
  <r>
    <x v="37"/>
    <x v="42"/>
    <x v="22"/>
    <x v="810"/>
    <x v="42"/>
    <x v="0"/>
    <x v="2"/>
    <x v="2"/>
    <x v="1"/>
    <x v="0"/>
    <x v="37"/>
    <x v="1183"/>
    <x v="10"/>
    <x v="1"/>
  </r>
  <r>
    <x v="38"/>
    <x v="43"/>
    <x v="5"/>
    <x v="806"/>
    <x v="43"/>
    <x v="0"/>
    <x v="2"/>
    <x v="3"/>
    <x v="1"/>
    <x v="0"/>
    <x v="38"/>
    <x v="1184"/>
    <x v="4"/>
    <x v="1"/>
  </r>
  <r>
    <x v="31"/>
    <x v="99"/>
    <x v="1"/>
    <x v="811"/>
    <x v="96"/>
    <x v="0"/>
    <x v="2"/>
    <x v="3"/>
    <x v="1"/>
    <x v="0"/>
    <x v="31"/>
    <x v="1185"/>
    <x v="4"/>
    <x v="1"/>
  </r>
  <r>
    <x v="11"/>
    <x v="152"/>
    <x v="7"/>
    <x v="4"/>
    <x v="80"/>
    <x v="0"/>
    <x v="2"/>
    <x v="3"/>
    <x v="1"/>
    <x v="2"/>
    <x v="11"/>
    <x v="7"/>
    <x v="5"/>
    <x v="1"/>
  </r>
  <r>
    <x v="8"/>
    <x v="46"/>
    <x v="29"/>
    <x v="812"/>
    <x v="46"/>
    <x v="0"/>
    <x v="2"/>
    <x v="3"/>
    <x v="1"/>
    <x v="0"/>
    <x v="8"/>
    <x v="1186"/>
    <x v="5"/>
    <x v="1"/>
  </r>
  <r>
    <x v="25"/>
    <x v="141"/>
    <x v="28"/>
    <x v="4"/>
    <x v="79"/>
    <x v="0"/>
    <x v="2"/>
    <x v="3"/>
    <x v="1"/>
    <x v="1"/>
    <x v="25"/>
    <x v="47"/>
    <x v="5"/>
    <x v="1"/>
  </r>
  <r>
    <x v="23"/>
    <x v="153"/>
    <x v="5"/>
    <x v="4"/>
    <x v="48"/>
    <x v="0"/>
    <x v="2"/>
    <x v="3"/>
    <x v="1"/>
    <x v="1"/>
    <x v="23"/>
    <x v="15"/>
    <x v="6"/>
    <x v="1"/>
  </r>
  <r>
    <x v="42"/>
    <x v="101"/>
    <x v="32"/>
    <x v="4"/>
    <x v="49"/>
    <x v="0"/>
    <x v="2"/>
    <x v="0"/>
    <x v="2"/>
    <x v="1"/>
    <x v="42"/>
    <x v="53"/>
    <x v="7"/>
    <x v="2"/>
  </r>
  <r>
    <x v="39"/>
    <x v="143"/>
    <x v="7"/>
    <x v="4"/>
    <x v="50"/>
    <x v="0"/>
    <x v="2"/>
    <x v="0"/>
    <x v="2"/>
    <x v="1"/>
    <x v="39"/>
    <x v="7"/>
    <x v="0"/>
    <x v="2"/>
  </r>
  <r>
    <x v="43"/>
    <x v="52"/>
    <x v="26"/>
    <x v="421"/>
    <x v="52"/>
    <x v="0"/>
    <x v="2"/>
    <x v="1"/>
    <x v="2"/>
    <x v="0"/>
    <x v="43"/>
    <x v="1187"/>
    <x v="1"/>
    <x v="2"/>
  </r>
  <r>
    <x v="23"/>
    <x v="53"/>
    <x v="27"/>
    <x v="807"/>
    <x v="53"/>
    <x v="2"/>
    <x v="2"/>
    <x v="1"/>
    <x v="2"/>
    <x v="0"/>
    <x v="23"/>
    <x v="1188"/>
    <x v="1"/>
    <x v="2"/>
  </r>
  <r>
    <x v="86"/>
    <x v="222"/>
    <x v="29"/>
    <x v="813"/>
    <x v="186"/>
    <x v="0"/>
    <x v="3"/>
    <x v="0"/>
    <x v="0"/>
    <x v="0"/>
    <x v="86"/>
    <x v="1189"/>
    <x v="0"/>
    <x v="0"/>
  </r>
  <r>
    <x v="10"/>
    <x v="54"/>
    <x v="6"/>
    <x v="814"/>
    <x v="54"/>
    <x v="0"/>
    <x v="3"/>
    <x v="1"/>
    <x v="0"/>
    <x v="0"/>
    <x v="10"/>
    <x v="1190"/>
    <x v="8"/>
    <x v="0"/>
  </r>
  <r>
    <x v="23"/>
    <x v="249"/>
    <x v="4"/>
    <x v="815"/>
    <x v="209"/>
    <x v="0"/>
    <x v="3"/>
    <x v="1"/>
    <x v="0"/>
    <x v="0"/>
    <x v="23"/>
    <x v="1191"/>
    <x v="9"/>
    <x v="0"/>
  </r>
  <r>
    <x v="90"/>
    <x v="300"/>
    <x v="14"/>
    <x v="816"/>
    <x v="248"/>
    <x v="0"/>
    <x v="3"/>
    <x v="2"/>
    <x v="0"/>
    <x v="0"/>
    <x v="90"/>
    <x v="1192"/>
    <x v="3"/>
    <x v="0"/>
  </r>
  <r>
    <x v="5"/>
    <x v="5"/>
    <x v="28"/>
    <x v="817"/>
    <x v="5"/>
    <x v="0"/>
    <x v="3"/>
    <x v="3"/>
    <x v="0"/>
    <x v="0"/>
    <x v="5"/>
    <x v="1193"/>
    <x v="4"/>
    <x v="0"/>
  </r>
  <r>
    <x v="44"/>
    <x v="55"/>
    <x v="25"/>
    <x v="818"/>
    <x v="55"/>
    <x v="0"/>
    <x v="3"/>
    <x v="0"/>
    <x v="1"/>
    <x v="0"/>
    <x v="44"/>
    <x v="1194"/>
    <x v="7"/>
    <x v="1"/>
  </r>
  <r>
    <x v="10"/>
    <x v="10"/>
    <x v="14"/>
    <x v="819"/>
    <x v="10"/>
    <x v="0"/>
    <x v="3"/>
    <x v="0"/>
    <x v="1"/>
    <x v="0"/>
    <x v="10"/>
    <x v="1195"/>
    <x v="0"/>
    <x v="1"/>
  </r>
  <r>
    <x v="57"/>
    <x v="250"/>
    <x v="1"/>
    <x v="820"/>
    <x v="210"/>
    <x v="0"/>
    <x v="3"/>
    <x v="1"/>
    <x v="1"/>
    <x v="0"/>
    <x v="57"/>
    <x v="1196"/>
    <x v="8"/>
    <x v="1"/>
  </r>
  <r>
    <x v="61"/>
    <x v="225"/>
    <x v="24"/>
    <x v="821"/>
    <x v="189"/>
    <x v="0"/>
    <x v="3"/>
    <x v="1"/>
    <x v="1"/>
    <x v="1"/>
    <x v="61"/>
    <x v="1197"/>
    <x v="1"/>
    <x v="1"/>
  </r>
  <r>
    <x v="23"/>
    <x v="226"/>
    <x v="23"/>
    <x v="822"/>
    <x v="190"/>
    <x v="3"/>
    <x v="3"/>
    <x v="1"/>
    <x v="1"/>
    <x v="1"/>
    <x v="23"/>
    <x v="1198"/>
    <x v="9"/>
    <x v="1"/>
  </r>
  <r>
    <x v="14"/>
    <x v="14"/>
    <x v="11"/>
    <x v="823"/>
    <x v="14"/>
    <x v="0"/>
    <x v="3"/>
    <x v="2"/>
    <x v="1"/>
    <x v="0"/>
    <x v="14"/>
    <x v="1199"/>
    <x v="2"/>
    <x v="1"/>
  </r>
  <r>
    <x v="85"/>
    <x v="228"/>
    <x v="24"/>
    <x v="816"/>
    <x v="191"/>
    <x v="0"/>
    <x v="3"/>
    <x v="2"/>
    <x v="1"/>
    <x v="1"/>
    <x v="85"/>
    <x v="1200"/>
    <x v="3"/>
    <x v="1"/>
  </r>
  <r>
    <x v="75"/>
    <x v="251"/>
    <x v="11"/>
    <x v="824"/>
    <x v="211"/>
    <x v="0"/>
    <x v="3"/>
    <x v="2"/>
    <x v="1"/>
    <x v="0"/>
    <x v="75"/>
    <x v="1201"/>
    <x v="10"/>
    <x v="1"/>
  </r>
  <r>
    <x v="47"/>
    <x v="58"/>
    <x v="12"/>
    <x v="819"/>
    <x v="17"/>
    <x v="0"/>
    <x v="3"/>
    <x v="3"/>
    <x v="1"/>
    <x v="1"/>
    <x v="47"/>
    <x v="1202"/>
    <x v="4"/>
    <x v="1"/>
  </r>
  <r>
    <x v="59"/>
    <x v="80"/>
    <x v="16"/>
    <x v="818"/>
    <x v="79"/>
    <x v="0"/>
    <x v="3"/>
    <x v="3"/>
    <x v="1"/>
    <x v="0"/>
    <x v="59"/>
    <x v="1203"/>
    <x v="5"/>
    <x v="1"/>
  </r>
  <r>
    <x v="86"/>
    <x v="278"/>
    <x v="16"/>
    <x v="753"/>
    <x v="233"/>
    <x v="0"/>
    <x v="3"/>
    <x v="3"/>
    <x v="1"/>
    <x v="0"/>
    <x v="86"/>
    <x v="1204"/>
    <x v="5"/>
    <x v="1"/>
  </r>
  <r>
    <x v="53"/>
    <x v="286"/>
    <x v="25"/>
    <x v="818"/>
    <x v="20"/>
    <x v="0"/>
    <x v="3"/>
    <x v="3"/>
    <x v="1"/>
    <x v="0"/>
    <x v="53"/>
    <x v="1194"/>
    <x v="5"/>
    <x v="1"/>
  </r>
  <r>
    <x v="88"/>
    <x v="252"/>
    <x v="23"/>
    <x v="16"/>
    <x v="212"/>
    <x v="0"/>
    <x v="3"/>
    <x v="3"/>
    <x v="1"/>
    <x v="0"/>
    <x v="88"/>
    <x v="1205"/>
    <x v="6"/>
    <x v="1"/>
  </r>
  <r>
    <x v="20"/>
    <x v="21"/>
    <x v="4"/>
    <x v="641"/>
    <x v="21"/>
    <x v="0"/>
    <x v="3"/>
    <x v="3"/>
    <x v="1"/>
    <x v="1"/>
    <x v="20"/>
    <x v="1206"/>
    <x v="6"/>
    <x v="1"/>
  </r>
  <r>
    <x v="14"/>
    <x v="22"/>
    <x v="27"/>
    <x v="825"/>
    <x v="22"/>
    <x v="0"/>
    <x v="3"/>
    <x v="0"/>
    <x v="2"/>
    <x v="1"/>
    <x v="14"/>
    <x v="1207"/>
    <x v="0"/>
    <x v="2"/>
  </r>
  <r>
    <x v="21"/>
    <x v="23"/>
    <x v="21"/>
    <x v="4"/>
    <x v="23"/>
    <x v="0"/>
    <x v="3"/>
    <x v="0"/>
    <x v="2"/>
    <x v="1"/>
    <x v="21"/>
    <x v="29"/>
    <x v="11"/>
    <x v="2"/>
  </r>
  <r>
    <x v="1"/>
    <x v="234"/>
    <x v="8"/>
    <x v="826"/>
    <x v="197"/>
    <x v="0"/>
    <x v="3"/>
    <x v="0"/>
    <x v="2"/>
    <x v="0"/>
    <x v="1"/>
    <x v="1208"/>
    <x v="11"/>
    <x v="2"/>
  </r>
  <r>
    <x v="12"/>
    <x v="253"/>
    <x v="55"/>
    <x v="820"/>
    <x v="213"/>
    <x v="4"/>
    <x v="3"/>
    <x v="1"/>
    <x v="2"/>
    <x v="1"/>
    <x v="12"/>
    <x v="1209"/>
    <x v="8"/>
    <x v="2"/>
  </r>
  <r>
    <x v="70"/>
    <x v="235"/>
    <x v="18"/>
    <x v="821"/>
    <x v="198"/>
    <x v="0"/>
    <x v="3"/>
    <x v="1"/>
    <x v="2"/>
    <x v="0"/>
    <x v="70"/>
    <x v="1210"/>
    <x v="1"/>
    <x v="2"/>
  </r>
  <r>
    <x v="66"/>
    <x v="103"/>
    <x v="28"/>
    <x v="4"/>
    <x v="98"/>
    <x v="0"/>
    <x v="0"/>
    <x v="0"/>
    <x v="0"/>
    <x v="1"/>
    <x v="66"/>
    <x v="47"/>
    <x v="11"/>
    <x v="0"/>
  </r>
  <r>
    <x v="1"/>
    <x v="1"/>
    <x v="32"/>
    <x v="261"/>
    <x v="1"/>
    <x v="0"/>
    <x v="0"/>
    <x v="1"/>
    <x v="0"/>
    <x v="0"/>
    <x v="1"/>
    <x v="1211"/>
    <x v="1"/>
    <x v="0"/>
  </r>
  <r>
    <x v="39"/>
    <x v="105"/>
    <x v="0"/>
    <x v="827"/>
    <x v="100"/>
    <x v="0"/>
    <x v="0"/>
    <x v="2"/>
    <x v="0"/>
    <x v="0"/>
    <x v="39"/>
    <x v="1212"/>
    <x v="2"/>
    <x v="0"/>
  </r>
  <r>
    <x v="3"/>
    <x v="3"/>
    <x v="26"/>
    <x v="4"/>
    <x v="3"/>
    <x v="0"/>
    <x v="0"/>
    <x v="2"/>
    <x v="0"/>
    <x v="1"/>
    <x v="3"/>
    <x v="36"/>
    <x v="3"/>
    <x v="0"/>
  </r>
  <r>
    <x v="4"/>
    <x v="4"/>
    <x v="10"/>
    <x v="4"/>
    <x v="4"/>
    <x v="0"/>
    <x v="0"/>
    <x v="3"/>
    <x v="0"/>
    <x v="0"/>
    <x v="4"/>
    <x v="11"/>
    <x v="4"/>
    <x v="0"/>
  </r>
  <r>
    <x v="42"/>
    <x v="107"/>
    <x v="1"/>
    <x v="4"/>
    <x v="102"/>
    <x v="0"/>
    <x v="0"/>
    <x v="3"/>
    <x v="0"/>
    <x v="1"/>
    <x v="42"/>
    <x v="13"/>
    <x v="5"/>
    <x v="0"/>
  </r>
  <r>
    <x v="6"/>
    <x v="6"/>
    <x v="8"/>
    <x v="4"/>
    <x v="6"/>
    <x v="0"/>
    <x v="0"/>
    <x v="3"/>
    <x v="0"/>
    <x v="0"/>
    <x v="6"/>
    <x v="38"/>
    <x v="5"/>
    <x v="0"/>
  </r>
  <r>
    <x v="23"/>
    <x v="288"/>
    <x v="13"/>
    <x v="745"/>
    <x v="240"/>
    <x v="0"/>
    <x v="0"/>
    <x v="3"/>
    <x v="0"/>
    <x v="1"/>
    <x v="23"/>
    <x v="1213"/>
    <x v="5"/>
    <x v="0"/>
  </r>
  <r>
    <x v="9"/>
    <x v="9"/>
    <x v="9"/>
    <x v="4"/>
    <x v="9"/>
    <x v="0"/>
    <x v="0"/>
    <x v="0"/>
    <x v="1"/>
    <x v="1"/>
    <x v="9"/>
    <x v="10"/>
    <x v="7"/>
    <x v="1"/>
  </r>
  <r>
    <x v="6"/>
    <x v="148"/>
    <x v="0"/>
    <x v="4"/>
    <x v="133"/>
    <x v="0"/>
    <x v="0"/>
    <x v="0"/>
    <x v="1"/>
    <x v="1"/>
    <x v="6"/>
    <x v="32"/>
    <x v="0"/>
    <x v="1"/>
  </r>
  <r>
    <x v="11"/>
    <x v="11"/>
    <x v="26"/>
    <x v="4"/>
    <x v="11"/>
    <x v="0"/>
    <x v="0"/>
    <x v="1"/>
    <x v="1"/>
    <x v="1"/>
    <x v="11"/>
    <x v="36"/>
    <x v="8"/>
    <x v="1"/>
  </r>
  <r>
    <x v="9"/>
    <x v="268"/>
    <x v="32"/>
    <x v="4"/>
    <x v="224"/>
    <x v="0"/>
    <x v="0"/>
    <x v="1"/>
    <x v="1"/>
    <x v="0"/>
    <x v="9"/>
    <x v="53"/>
    <x v="1"/>
    <x v="1"/>
  </r>
  <r>
    <x v="58"/>
    <x v="275"/>
    <x v="1"/>
    <x v="828"/>
    <x v="230"/>
    <x v="0"/>
    <x v="0"/>
    <x v="1"/>
    <x v="1"/>
    <x v="1"/>
    <x v="58"/>
    <x v="1214"/>
    <x v="9"/>
    <x v="1"/>
  </r>
  <r>
    <x v="71"/>
    <x v="115"/>
    <x v="19"/>
    <x v="4"/>
    <x v="110"/>
    <x v="0"/>
    <x v="0"/>
    <x v="2"/>
    <x v="1"/>
    <x v="1"/>
    <x v="71"/>
    <x v="25"/>
    <x v="3"/>
    <x v="1"/>
  </r>
  <r>
    <x v="15"/>
    <x v="15"/>
    <x v="18"/>
    <x v="4"/>
    <x v="15"/>
    <x v="0"/>
    <x v="0"/>
    <x v="2"/>
    <x v="1"/>
    <x v="0"/>
    <x v="15"/>
    <x v="23"/>
    <x v="3"/>
    <x v="1"/>
  </r>
  <r>
    <x v="16"/>
    <x v="16"/>
    <x v="19"/>
    <x v="4"/>
    <x v="16"/>
    <x v="0"/>
    <x v="0"/>
    <x v="2"/>
    <x v="1"/>
    <x v="1"/>
    <x v="16"/>
    <x v="25"/>
    <x v="10"/>
    <x v="1"/>
  </r>
  <r>
    <x v="17"/>
    <x v="17"/>
    <x v="24"/>
    <x v="333"/>
    <x v="17"/>
    <x v="0"/>
    <x v="0"/>
    <x v="3"/>
    <x v="1"/>
    <x v="1"/>
    <x v="17"/>
    <x v="1215"/>
    <x v="4"/>
    <x v="1"/>
  </r>
  <r>
    <x v="79"/>
    <x v="149"/>
    <x v="8"/>
    <x v="4"/>
    <x v="114"/>
    <x v="0"/>
    <x v="0"/>
    <x v="3"/>
    <x v="1"/>
    <x v="0"/>
    <x v="79"/>
    <x v="38"/>
    <x v="5"/>
    <x v="1"/>
  </r>
  <r>
    <x v="45"/>
    <x v="186"/>
    <x v="22"/>
    <x v="4"/>
    <x v="159"/>
    <x v="0"/>
    <x v="0"/>
    <x v="3"/>
    <x v="1"/>
    <x v="1"/>
    <x v="45"/>
    <x v="30"/>
    <x v="5"/>
    <x v="1"/>
  </r>
  <r>
    <x v="19"/>
    <x v="20"/>
    <x v="28"/>
    <x v="829"/>
    <x v="20"/>
    <x v="0"/>
    <x v="0"/>
    <x v="3"/>
    <x v="1"/>
    <x v="0"/>
    <x v="19"/>
    <x v="1216"/>
    <x v="5"/>
    <x v="1"/>
  </r>
  <r>
    <x v="23"/>
    <x v="273"/>
    <x v="23"/>
    <x v="4"/>
    <x v="228"/>
    <x v="0"/>
    <x v="0"/>
    <x v="3"/>
    <x v="1"/>
    <x v="1"/>
    <x v="23"/>
    <x v="31"/>
    <x v="6"/>
    <x v="1"/>
  </r>
  <r>
    <x v="50"/>
    <x v="189"/>
    <x v="8"/>
    <x v="4"/>
    <x v="161"/>
    <x v="0"/>
    <x v="0"/>
    <x v="0"/>
    <x v="2"/>
    <x v="1"/>
    <x v="50"/>
    <x v="38"/>
    <x v="7"/>
    <x v="2"/>
  </r>
  <r>
    <x v="14"/>
    <x v="22"/>
    <x v="2"/>
    <x v="4"/>
    <x v="22"/>
    <x v="0"/>
    <x v="0"/>
    <x v="0"/>
    <x v="2"/>
    <x v="1"/>
    <x v="14"/>
    <x v="9"/>
    <x v="0"/>
    <x v="2"/>
  </r>
  <r>
    <x v="39"/>
    <x v="190"/>
    <x v="3"/>
    <x v="624"/>
    <x v="162"/>
    <x v="0"/>
    <x v="0"/>
    <x v="0"/>
    <x v="2"/>
    <x v="0"/>
    <x v="39"/>
    <x v="250"/>
    <x v="11"/>
    <x v="2"/>
  </r>
  <r>
    <x v="22"/>
    <x v="24"/>
    <x v="3"/>
    <x v="4"/>
    <x v="24"/>
    <x v="0"/>
    <x v="0"/>
    <x v="1"/>
    <x v="2"/>
    <x v="1"/>
    <x v="22"/>
    <x v="26"/>
    <x v="8"/>
    <x v="2"/>
  </r>
  <r>
    <x v="86"/>
    <x v="222"/>
    <x v="25"/>
    <x v="830"/>
    <x v="186"/>
    <x v="0"/>
    <x v="3"/>
    <x v="0"/>
    <x v="0"/>
    <x v="0"/>
    <x v="86"/>
    <x v="1217"/>
    <x v="0"/>
    <x v="0"/>
  </r>
  <r>
    <x v="10"/>
    <x v="54"/>
    <x v="4"/>
    <x v="490"/>
    <x v="54"/>
    <x v="0"/>
    <x v="3"/>
    <x v="1"/>
    <x v="0"/>
    <x v="0"/>
    <x v="10"/>
    <x v="1218"/>
    <x v="8"/>
    <x v="0"/>
  </r>
  <r>
    <x v="23"/>
    <x v="249"/>
    <x v="26"/>
    <x v="831"/>
    <x v="209"/>
    <x v="0"/>
    <x v="3"/>
    <x v="1"/>
    <x v="0"/>
    <x v="0"/>
    <x v="23"/>
    <x v="1219"/>
    <x v="9"/>
    <x v="0"/>
  </r>
  <r>
    <x v="50"/>
    <x v="66"/>
    <x v="1"/>
    <x v="832"/>
    <x v="65"/>
    <x v="0"/>
    <x v="3"/>
    <x v="2"/>
    <x v="0"/>
    <x v="0"/>
    <x v="50"/>
    <x v="1220"/>
    <x v="3"/>
    <x v="0"/>
  </r>
  <r>
    <x v="23"/>
    <x v="301"/>
    <x v="14"/>
    <x v="833"/>
    <x v="249"/>
    <x v="0"/>
    <x v="3"/>
    <x v="3"/>
    <x v="0"/>
    <x v="0"/>
    <x v="23"/>
    <x v="1221"/>
    <x v="4"/>
    <x v="0"/>
  </r>
  <r>
    <x v="5"/>
    <x v="5"/>
    <x v="7"/>
    <x v="834"/>
    <x v="5"/>
    <x v="0"/>
    <x v="3"/>
    <x v="3"/>
    <x v="0"/>
    <x v="0"/>
    <x v="5"/>
    <x v="1222"/>
    <x v="4"/>
    <x v="0"/>
  </r>
  <r>
    <x v="32"/>
    <x v="302"/>
    <x v="6"/>
    <x v="835"/>
    <x v="8"/>
    <x v="0"/>
    <x v="3"/>
    <x v="3"/>
    <x v="0"/>
    <x v="0"/>
    <x v="32"/>
    <x v="1223"/>
    <x v="6"/>
    <x v="0"/>
  </r>
  <r>
    <x v="44"/>
    <x v="55"/>
    <x v="30"/>
    <x v="833"/>
    <x v="55"/>
    <x v="0"/>
    <x v="3"/>
    <x v="0"/>
    <x v="1"/>
    <x v="0"/>
    <x v="44"/>
    <x v="1224"/>
    <x v="7"/>
    <x v="1"/>
  </r>
  <r>
    <x v="10"/>
    <x v="10"/>
    <x v="2"/>
    <x v="836"/>
    <x v="10"/>
    <x v="0"/>
    <x v="3"/>
    <x v="0"/>
    <x v="1"/>
    <x v="0"/>
    <x v="10"/>
    <x v="1225"/>
    <x v="0"/>
    <x v="1"/>
  </r>
  <r>
    <x v="57"/>
    <x v="250"/>
    <x v="2"/>
    <x v="837"/>
    <x v="210"/>
    <x v="0"/>
    <x v="3"/>
    <x v="1"/>
    <x v="1"/>
    <x v="0"/>
    <x v="57"/>
    <x v="1226"/>
    <x v="8"/>
    <x v="1"/>
  </r>
  <r>
    <x v="61"/>
    <x v="225"/>
    <x v="5"/>
    <x v="834"/>
    <x v="189"/>
    <x v="0"/>
    <x v="3"/>
    <x v="1"/>
    <x v="1"/>
    <x v="0"/>
    <x v="61"/>
    <x v="1227"/>
    <x v="1"/>
    <x v="1"/>
  </r>
  <r>
    <x v="23"/>
    <x v="226"/>
    <x v="4"/>
    <x v="838"/>
    <x v="190"/>
    <x v="3"/>
    <x v="3"/>
    <x v="1"/>
    <x v="1"/>
    <x v="0"/>
    <x v="23"/>
    <x v="1228"/>
    <x v="9"/>
    <x v="1"/>
  </r>
  <r>
    <x v="14"/>
    <x v="14"/>
    <x v="19"/>
    <x v="839"/>
    <x v="14"/>
    <x v="0"/>
    <x v="3"/>
    <x v="2"/>
    <x v="1"/>
    <x v="0"/>
    <x v="14"/>
    <x v="1229"/>
    <x v="2"/>
    <x v="1"/>
  </r>
  <r>
    <x v="85"/>
    <x v="228"/>
    <x v="29"/>
    <x v="834"/>
    <x v="191"/>
    <x v="0"/>
    <x v="3"/>
    <x v="2"/>
    <x v="1"/>
    <x v="0"/>
    <x v="85"/>
    <x v="1230"/>
    <x v="3"/>
    <x v="1"/>
  </r>
  <r>
    <x v="89"/>
    <x v="229"/>
    <x v="18"/>
    <x v="840"/>
    <x v="192"/>
    <x v="0"/>
    <x v="3"/>
    <x v="2"/>
    <x v="1"/>
    <x v="0"/>
    <x v="89"/>
    <x v="1231"/>
    <x v="10"/>
    <x v="1"/>
  </r>
  <r>
    <x v="47"/>
    <x v="58"/>
    <x v="20"/>
    <x v="841"/>
    <x v="17"/>
    <x v="0"/>
    <x v="3"/>
    <x v="3"/>
    <x v="1"/>
    <x v="0"/>
    <x v="47"/>
    <x v="1232"/>
    <x v="4"/>
    <x v="1"/>
  </r>
  <r>
    <x v="59"/>
    <x v="80"/>
    <x v="1"/>
    <x v="842"/>
    <x v="79"/>
    <x v="0"/>
    <x v="3"/>
    <x v="3"/>
    <x v="1"/>
    <x v="0"/>
    <x v="59"/>
    <x v="1233"/>
    <x v="5"/>
    <x v="1"/>
  </r>
  <r>
    <x v="86"/>
    <x v="278"/>
    <x v="1"/>
    <x v="834"/>
    <x v="233"/>
    <x v="0"/>
    <x v="3"/>
    <x v="3"/>
    <x v="1"/>
    <x v="0"/>
    <x v="86"/>
    <x v="1234"/>
    <x v="5"/>
    <x v="1"/>
  </r>
  <r>
    <x v="53"/>
    <x v="286"/>
    <x v="23"/>
    <x v="490"/>
    <x v="20"/>
    <x v="0"/>
    <x v="3"/>
    <x v="3"/>
    <x v="1"/>
    <x v="0"/>
    <x v="53"/>
    <x v="1235"/>
    <x v="5"/>
    <x v="1"/>
  </r>
  <r>
    <x v="88"/>
    <x v="252"/>
    <x v="23"/>
    <x v="558"/>
    <x v="212"/>
    <x v="0"/>
    <x v="3"/>
    <x v="3"/>
    <x v="1"/>
    <x v="1"/>
    <x v="88"/>
    <x v="1236"/>
    <x v="6"/>
    <x v="1"/>
  </r>
  <r>
    <x v="20"/>
    <x v="21"/>
    <x v="29"/>
    <x v="843"/>
    <x v="21"/>
    <x v="0"/>
    <x v="3"/>
    <x v="3"/>
    <x v="1"/>
    <x v="0"/>
    <x v="20"/>
    <x v="1237"/>
    <x v="6"/>
    <x v="1"/>
  </r>
  <r>
    <x v="14"/>
    <x v="22"/>
    <x v="4"/>
    <x v="509"/>
    <x v="22"/>
    <x v="0"/>
    <x v="3"/>
    <x v="0"/>
    <x v="2"/>
    <x v="1"/>
    <x v="14"/>
    <x v="1238"/>
    <x v="0"/>
    <x v="2"/>
  </r>
  <r>
    <x v="21"/>
    <x v="23"/>
    <x v="26"/>
    <x v="4"/>
    <x v="23"/>
    <x v="0"/>
    <x v="3"/>
    <x v="0"/>
    <x v="2"/>
    <x v="1"/>
    <x v="21"/>
    <x v="36"/>
    <x v="11"/>
    <x v="2"/>
  </r>
  <r>
    <x v="1"/>
    <x v="234"/>
    <x v="4"/>
    <x v="832"/>
    <x v="197"/>
    <x v="0"/>
    <x v="3"/>
    <x v="0"/>
    <x v="2"/>
    <x v="0"/>
    <x v="1"/>
    <x v="1239"/>
    <x v="11"/>
    <x v="2"/>
  </r>
  <r>
    <x v="12"/>
    <x v="253"/>
    <x v="31"/>
    <x v="837"/>
    <x v="213"/>
    <x v="4"/>
    <x v="3"/>
    <x v="1"/>
    <x v="2"/>
    <x v="0"/>
    <x v="12"/>
    <x v="1240"/>
    <x v="8"/>
    <x v="2"/>
  </r>
  <r>
    <x v="70"/>
    <x v="235"/>
    <x v="9"/>
    <x v="834"/>
    <x v="198"/>
    <x v="0"/>
    <x v="3"/>
    <x v="1"/>
    <x v="2"/>
    <x v="0"/>
    <x v="70"/>
    <x v="1241"/>
    <x v="1"/>
    <x v="2"/>
  </r>
  <r>
    <x v="23"/>
    <x v="150"/>
    <x v="29"/>
    <x v="4"/>
    <x v="134"/>
    <x v="0"/>
    <x v="2"/>
    <x v="0"/>
    <x v="0"/>
    <x v="1"/>
    <x v="23"/>
    <x v="48"/>
    <x v="7"/>
    <x v="0"/>
  </r>
  <r>
    <x v="27"/>
    <x v="162"/>
    <x v="26"/>
    <x v="4"/>
    <x v="143"/>
    <x v="0"/>
    <x v="2"/>
    <x v="1"/>
    <x v="0"/>
    <x v="0"/>
    <x v="27"/>
    <x v="36"/>
    <x v="8"/>
    <x v="0"/>
  </r>
  <r>
    <x v="74"/>
    <x v="124"/>
    <x v="12"/>
    <x v="4"/>
    <x v="118"/>
    <x v="0"/>
    <x v="2"/>
    <x v="1"/>
    <x v="0"/>
    <x v="1"/>
    <x v="74"/>
    <x v="46"/>
    <x v="9"/>
    <x v="0"/>
  </r>
  <r>
    <x v="73"/>
    <x v="163"/>
    <x v="27"/>
    <x v="4"/>
    <x v="144"/>
    <x v="0"/>
    <x v="2"/>
    <x v="2"/>
    <x v="0"/>
    <x v="1"/>
    <x v="73"/>
    <x v="39"/>
    <x v="3"/>
    <x v="0"/>
  </r>
  <r>
    <x v="60"/>
    <x v="164"/>
    <x v="18"/>
    <x v="4"/>
    <x v="145"/>
    <x v="0"/>
    <x v="2"/>
    <x v="2"/>
    <x v="0"/>
    <x v="1"/>
    <x v="60"/>
    <x v="23"/>
    <x v="10"/>
    <x v="0"/>
  </r>
  <r>
    <x v="26"/>
    <x v="127"/>
    <x v="7"/>
    <x v="844"/>
    <x v="121"/>
    <x v="0"/>
    <x v="2"/>
    <x v="3"/>
    <x v="0"/>
    <x v="1"/>
    <x v="26"/>
    <x v="1242"/>
    <x v="4"/>
    <x v="0"/>
  </r>
  <r>
    <x v="70"/>
    <x v="128"/>
    <x v="10"/>
    <x v="4"/>
    <x v="32"/>
    <x v="0"/>
    <x v="2"/>
    <x v="3"/>
    <x v="0"/>
    <x v="1"/>
    <x v="70"/>
    <x v="11"/>
    <x v="5"/>
    <x v="0"/>
  </r>
  <r>
    <x v="81"/>
    <x v="165"/>
    <x v="3"/>
    <x v="4"/>
    <x v="69"/>
    <x v="0"/>
    <x v="2"/>
    <x v="3"/>
    <x v="0"/>
    <x v="1"/>
    <x v="81"/>
    <x v="26"/>
    <x v="5"/>
    <x v="0"/>
  </r>
  <r>
    <x v="64"/>
    <x v="93"/>
    <x v="11"/>
    <x v="844"/>
    <x v="91"/>
    <x v="0"/>
    <x v="2"/>
    <x v="3"/>
    <x v="0"/>
    <x v="0"/>
    <x v="64"/>
    <x v="1243"/>
    <x v="6"/>
    <x v="0"/>
  </r>
  <r>
    <x v="75"/>
    <x v="132"/>
    <x v="9"/>
    <x v="4"/>
    <x v="123"/>
    <x v="0"/>
    <x v="2"/>
    <x v="0"/>
    <x v="1"/>
    <x v="1"/>
    <x v="75"/>
    <x v="10"/>
    <x v="0"/>
    <x v="1"/>
  </r>
  <r>
    <x v="72"/>
    <x v="151"/>
    <x v="1"/>
    <x v="4"/>
    <x v="135"/>
    <x v="0"/>
    <x v="2"/>
    <x v="0"/>
    <x v="1"/>
    <x v="1"/>
    <x v="72"/>
    <x v="13"/>
    <x v="11"/>
    <x v="1"/>
  </r>
  <r>
    <x v="23"/>
    <x v="168"/>
    <x v="8"/>
    <x v="4"/>
    <x v="125"/>
    <x v="0"/>
    <x v="2"/>
    <x v="1"/>
    <x v="1"/>
    <x v="0"/>
    <x v="23"/>
    <x v="38"/>
    <x v="1"/>
    <x v="1"/>
  </r>
  <r>
    <x v="65"/>
    <x v="96"/>
    <x v="6"/>
    <x v="4"/>
    <x v="39"/>
    <x v="0"/>
    <x v="2"/>
    <x v="1"/>
    <x v="1"/>
    <x v="1"/>
    <x v="65"/>
    <x v="24"/>
    <x v="9"/>
    <x v="1"/>
  </r>
  <r>
    <x v="39"/>
    <x v="169"/>
    <x v="1"/>
    <x v="845"/>
    <x v="126"/>
    <x v="0"/>
    <x v="2"/>
    <x v="2"/>
    <x v="1"/>
    <x v="1"/>
    <x v="39"/>
    <x v="1244"/>
    <x v="2"/>
    <x v="1"/>
  </r>
  <r>
    <x v="39"/>
    <x v="136"/>
    <x v="19"/>
    <x v="4"/>
    <x v="76"/>
    <x v="0"/>
    <x v="2"/>
    <x v="2"/>
    <x v="1"/>
    <x v="1"/>
    <x v="39"/>
    <x v="25"/>
    <x v="3"/>
    <x v="1"/>
  </r>
  <r>
    <x v="15"/>
    <x v="98"/>
    <x v="13"/>
    <x v="4"/>
    <x v="95"/>
    <x v="0"/>
    <x v="2"/>
    <x v="3"/>
    <x v="1"/>
    <x v="1"/>
    <x v="15"/>
    <x v="17"/>
    <x v="4"/>
    <x v="1"/>
  </r>
  <r>
    <x v="78"/>
    <x v="139"/>
    <x v="11"/>
    <x v="4"/>
    <x v="96"/>
    <x v="0"/>
    <x v="2"/>
    <x v="3"/>
    <x v="1"/>
    <x v="1"/>
    <x v="78"/>
    <x v="12"/>
    <x v="4"/>
    <x v="1"/>
  </r>
  <r>
    <x v="17"/>
    <x v="81"/>
    <x v="19"/>
    <x v="4"/>
    <x v="80"/>
    <x v="0"/>
    <x v="2"/>
    <x v="3"/>
    <x v="1"/>
    <x v="1"/>
    <x v="17"/>
    <x v="25"/>
    <x v="5"/>
    <x v="1"/>
  </r>
  <r>
    <x v="62"/>
    <x v="140"/>
    <x v="10"/>
    <x v="4"/>
    <x v="128"/>
    <x v="0"/>
    <x v="2"/>
    <x v="3"/>
    <x v="1"/>
    <x v="1"/>
    <x v="62"/>
    <x v="11"/>
    <x v="5"/>
    <x v="1"/>
  </r>
  <r>
    <x v="23"/>
    <x v="83"/>
    <x v="28"/>
    <x v="846"/>
    <x v="82"/>
    <x v="0"/>
    <x v="2"/>
    <x v="3"/>
    <x v="1"/>
    <x v="0"/>
    <x v="23"/>
    <x v="308"/>
    <x v="6"/>
    <x v="1"/>
  </r>
  <r>
    <x v="1"/>
    <x v="84"/>
    <x v="12"/>
    <x v="4"/>
    <x v="83"/>
    <x v="0"/>
    <x v="2"/>
    <x v="3"/>
    <x v="1"/>
    <x v="1"/>
    <x v="1"/>
    <x v="46"/>
    <x v="6"/>
    <x v="1"/>
  </r>
  <r>
    <x v="39"/>
    <x v="142"/>
    <x v="7"/>
    <x v="791"/>
    <x v="129"/>
    <x v="0"/>
    <x v="2"/>
    <x v="0"/>
    <x v="2"/>
    <x v="0"/>
    <x v="39"/>
    <x v="1245"/>
    <x v="7"/>
    <x v="2"/>
  </r>
  <r>
    <x v="23"/>
    <x v="245"/>
    <x v="6"/>
    <x v="4"/>
    <x v="205"/>
    <x v="0"/>
    <x v="2"/>
    <x v="0"/>
    <x v="2"/>
    <x v="1"/>
    <x v="23"/>
    <x v="24"/>
    <x v="0"/>
    <x v="2"/>
  </r>
  <r>
    <x v="2"/>
    <x v="87"/>
    <x v="12"/>
    <x v="4"/>
    <x v="86"/>
    <x v="0"/>
    <x v="2"/>
    <x v="0"/>
    <x v="2"/>
    <x v="1"/>
    <x v="2"/>
    <x v="46"/>
    <x v="11"/>
    <x v="2"/>
  </r>
  <r>
    <x v="23"/>
    <x v="171"/>
    <x v="18"/>
    <x v="4"/>
    <x v="147"/>
    <x v="0"/>
    <x v="2"/>
    <x v="1"/>
    <x v="2"/>
    <x v="1"/>
    <x v="23"/>
    <x v="23"/>
    <x v="1"/>
    <x v="2"/>
  </r>
  <r>
    <x v="14"/>
    <x v="102"/>
    <x v="52"/>
    <x v="4"/>
    <x v="53"/>
    <x v="2"/>
    <x v="2"/>
    <x v="1"/>
    <x v="2"/>
    <x v="0"/>
    <x v="14"/>
    <x v="1246"/>
    <x v="1"/>
    <x v="2"/>
  </r>
  <r>
    <x v="23"/>
    <x v="150"/>
    <x v="22"/>
    <x v="847"/>
    <x v="134"/>
    <x v="0"/>
    <x v="6"/>
    <x v="0"/>
    <x v="0"/>
    <x v="0"/>
    <x v="23"/>
    <x v="1247"/>
    <x v="7"/>
    <x v="0"/>
  </r>
  <r>
    <x v="26"/>
    <x v="123"/>
    <x v="15"/>
    <x v="848"/>
    <x v="117"/>
    <x v="0"/>
    <x v="6"/>
    <x v="1"/>
    <x v="0"/>
    <x v="0"/>
    <x v="26"/>
    <x v="1248"/>
    <x v="8"/>
    <x v="0"/>
  </r>
  <r>
    <x v="74"/>
    <x v="124"/>
    <x v="12"/>
    <x v="34"/>
    <x v="118"/>
    <x v="0"/>
    <x v="6"/>
    <x v="1"/>
    <x v="0"/>
    <x v="1"/>
    <x v="74"/>
    <x v="1249"/>
    <x v="9"/>
    <x v="0"/>
  </r>
  <r>
    <x v="39"/>
    <x v="125"/>
    <x v="13"/>
    <x v="849"/>
    <x v="119"/>
    <x v="0"/>
    <x v="6"/>
    <x v="2"/>
    <x v="0"/>
    <x v="0"/>
    <x v="39"/>
    <x v="1250"/>
    <x v="3"/>
    <x v="0"/>
  </r>
  <r>
    <x v="23"/>
    <x v="126"/>
    <x v="28"/>
    <x v="850"/>
    <x v="120"/>
    <x v="0"/>
    <x v="6"/>
    <x v="2"/>
    <x v="0"/>
    <x v="0"/>
    <x v="23"/>
    <x v="1251"/>
    <x v="10"/>
    <x v="0"/>
  </r>
  <r>
    <x v="26"/>
    <x v="127"/>
    <x v="19"/>
    <x v="851"/>
    <x v="121"/>
    <x v="0"/>
    <x v="6"/>
    <x v="3"/>
    <x v="0"/>
    <x v="0"/>
    <x v="26"/>
    <x v="1252"/>
    <x v="4"/>
    <x v="0"/>
  </r>
  <r>
    <x v="70"/>
    <x v="128"/>
    <x v="19"/>
    <x v="852"/>
    <x v="32"/>
    <x v="0"/>
    <x v="6"/>
    <x v="3"/>
    <x v="0"/>
    <x v="0"/>
    <x v="70"/>
    <x v="1253"/>
    <x v="5"/>
    <x v="0"/>
  </r>
  <r>
    <x v="50"/>
    <x v="129"/>
    <x v="14"/>
    <x v="182"/>
    <x v="69"/>
    <x v="0"/>
    <x v="6"/>
    <x v="3"/>
    <x v="0"/>
    <x v="0"/>
    <x v="50"/>
    <x v="1254"/>
    <x v="5"/>
    <x v="0"/>
  </r>
  <r>
    <x v="34"/>
    <x v="130"/>
    <x v="12"/>
    <x v="46"/>
    <x v="70"/>
    <x v="0"/>
    <x v="6"/>
    <x v="3"/>
    <x v="0"/>
    <x v="0"/>
    <x v="34"/>
    <x v="1255"/>
    <x v="5"/>
    <x v="0"/>
  </r>
  <r>
    <x v="30"/>
    <x v="131"/>
    <x v="0"/>
    <x v="853"/>
    <x v="122"/>
    <x v="0"/>
    <x v="6"/>
    <x v="0"/>
    <x v="1"/>
    <x v="0"/>
    <x v="30"/>
    <x v="1256"/>
    <x v="7"/>
    <x v="1"/>
  </r>
  <r>
    <x v="75"/>
    <x v="132"/>
    <x v="0"/>
    <x v="854"/>
    <x v="123"/>
    <x v="0"/>
    <x v="6"/>
    <x v="0"/>
    <x v="1"/>
    <x v="0"/>
    <x v="75"/>
    <x v="1257"/>
    <x v="0"/>
    <x v="1"/>
  </r>
  <r>
    <x v="72"/>
    <x v="151"/>
    <x v="30"/>
    <x v="855"/>
    <x v="135"/>
    <x v="0"/>
    <x v="6"/>
    <x v="0"/>
    <x v="1"/>
    <x v="0"/>
    <x v="72"/>
    <x v="1258"/>
    <x v="11"/>
    <x v="1"/>
  </r>
  <r>
    <x v="73"/>
    <x v="134"/>
    <x v="4"/>
    <x v="773"/>
    <x v="125"/>
    <x v="0"/>
    <x v="6"/>
    <x v="1"/>
    <x v="1"/>
    <x v="1"/>
    <x v="73"/>
    <x v="1259"/>
    <x v="1"/>
    <x v="1"/>
  </r>
  <r>
    <x v="18"/>
    <x v="135"/>
    <x v="30"/>
    <x v="856"/>
    <x v="126"/>
    <x v="0"/>
    <x v="6"/>
    <x v="2"/>
    <x v="1"/>
    <x v="0"/>
    <x v="18"/>
    <x v="1260"/>
    <x v="2"/>
    <x v="1"/>
  </r>
  <r>
    <x v="39"/>
    <x v="136"/>
    <x v="9"/>
    <x v="851"/>
    <x v="76"/>
    <x v="0"/>
    <x v="6"/>
    <x v="2"/>
    <x v="1"/>
    <x v="0"/>
    <x v="39"/>
    <x v="1261"/>
    <x v="3"/>
    <x v="1"/>
  </r>
  <r>
    <x v="0"/>
    <x v="170"/>
    <x v="21"/>
    <x v="857"/>
    <x v="42"/>
    <x v="0"/>
    <x v="6"/>
    <x v="2"/>
    <x v="1"/>
    <x v="0"/>
    <x v="0"/>
    <x v="1262"/>
    <x v="10"/>
    <x v="1"/>
  </r>
  <r>
    <x v="77"/>
    <x v="138"/>
    <x v="1"/>
    <x v="676"/>
    <x v="78"/>
    <x v="0"/>
    <x v="6"/>
    <x v="3"/>
    <x v="1"/>
    <x v="0"/>
    <x v="77"/>
    <x v="1263"/>
    <x v="4"/>
    <x v="1"/>
  </r>
  <r>
    <x v="78"/>
    <x v="139"/>
    <x v="19"/>
    <x v="858"/>
    <x v="96"/>
    <x v="0"/>
    <x v="6"/>
    <x v="3"/>
    <x v="1"/>
    <x v="0"/>
    <x v="78"/>
    <x v="1264"/>
    <x v="4"/>
    <x v="1"/>
  </r>
  <r>
    <x v="17"/>
    <x v="81"/>
    <x v="27"/>
    <x v="4"/>
    <x v="80"/>
    <x v="0"/>
    <x v="6"/>
    <x v="3"/>
    <x v="1"/>
    <x v="1"/>
    <x v="17"/>
    <x v="39"/>
    <x v="5"/>
    <x v="1"/>
  </r>
  <r>
    <x v="27"/>
    <x v="82"/>
    <x v="15"/>
    <x v="4"/>
    <x v="81"/>
    <x v="0"/>
    <x v="6"/>
    <x v="3"/>
    <x v="1"/>
    <x v="0"/>
    <x v="27"/>
    <x v="27"/>
    <x v="5"/>
    <x v="1"/>
  </r>
  <r>
    <x v="23"/>
    <x v="83"/>
    <x v="27"/>
    <x v="4"/>
    <x v="82"/>
    <x v="0"/>
    <x v="6"/>
    <x v="3"/>
    <x v="1"/>
    <x v="1"/>
    <x v="23"/>
    <x v="39"/>
    <x v="6"/>
    <x v="1"/>
  </r>
  <r>
    <x v="1"/>
    <x v="84"/>
    <x v="32"/>
    <x v="19"/>
    <x v="83"/>
    <x v="0"/>
    <x v="6"/>
    <x v="3"/>
    <x v="1"/>
    <x v="0"/>
    <x v="1"/>
    <x v="1265"/>
    <x v="6"/>
    <x v="1"/>
  </r>
  <r>
    <x v="35"/>
    <x v="154"/>
    <x v="16"/>
    <x v="361"/>
    <x v="136"/>
    <x v="0"/>
    <x v="6"/>
    <x v="0"/>
    <x v="2"/>
    <x v="0"/>
    <x v="35"/>
    <x v="1266"/>
    <x v="7"/>
    <x v="2"/>
  </r>
  <r>
    <x v="23"/>
    <x v="245"/>
    <x v="19"/>
    <x v="777"/>
    <x v="205"/>
    <x v="0"/>
    <x v="6"/>
    <x v="0"/>
    <x v="2"/>
    <x v="0"/>
    <x v="23"/>
    <x v="1267"/>
    <x v="0"/>
    <x v="2"/>
  </r>
  <r>
    <x v="2"/>
    <x v="87"/>
    <x v="3"/>
    <x v="4"/>
    <x v="86"/>
    <x v="0"/>
    <x v="6"/>
    <x v="0"/>
    <x v="2"/>
    <x v="2"/>
    <x v="2"/>
    <x v="26"/>
    <x v="11"/>
    <x v="2"/>
  </r>
  <r>
    <x v="13"/>
    <x v="144"/>
    <x v="41"/>
    <x v="773"/>
    <x v="130"/>
    <x v="0"/>
    <x v="6"/>
    <x v="1"/>
    <x v="2"/>
    <x v="1"/>
    <x v="13"/>
    <x v="1268"/>
    <x v="1"/>
    <x v="2"/>
  </r>
  <r>
    <x v="66"/>
    <x v="103"/>
    <x v="1"/>
    <x v="54"/>
    <x v="98"/>
    <x v="0"/>
    <x v="0"/>
    <x v="0"/>
    <x v="0"/>
    <x v="0"/>
    <x v="66"/>
    <x v="1269"/>
    <x v="11"/>
    <x v="0"/>
  </r>
  <r>
    <x v="1"/>
    <x v="1"/>
    <x v="27"/>
    <x v="859"/>
    <x v="1"/>
    <x v="0"/>
    <x v="0"/>
    <x v="1"/>
    <x v="0"/>
    <x v="1"/>
    <x v="1"/>
    <x v="1270"/>
    <x v="1"/>
    <x v="0"/>
  </r>
  <r>
    <x v="39"/>
    <x v="105"/>
    <x v="27"/>
    <x v="860"/>
    <x v="100"/>
    <x v="0"/>
    <x v="0"/>
    <x v="2"/>
    <x v="0"/>
    <x v="1"/>
    <x v="39"/>
    <x v="1271"/>
    <x v="2"/>
    <x v="0"/>
  </r>
  <r>
    <x v="3"/>
    <x v="3"/>
    <x v="19"/>
    <x v="861"/>
    <x v="3"/>
    <x v="0"/>
    <x v="0"/>
    <x v="2"/>
    <x v="0"/>
    <x v="1"/>
    <x v="3"/>
    <x v="1272"/>
    <x v="3"/>
    <x v="0"/>
  </r>
  <r>
    <x v="4"/>
    <x v="4"/>
    <x v="28"/>
    <x v="862"/>
    <x v="4"/>
    <x v="0"/>
    <x v="0"/>
    <x v="3"/>
    <x v="0"/>
    <x v="0"/>
    <x v="4"/>
    <x v="1273"/>
    <x v="4"/>
    <x v="0"/>
  </r>
  <r>
    <x v="42"/>
    <x v="107"/>
    <x v="7"/>
    <x v="863"/>
    <x v="102"/>
    <x v="0"/>
    <x v="0"/>
    <x v="3"/>
    <x v="0"/>
    <x v="1"/>
    <x v="42"/>
    <x v="1274"/>
    <x v="5"/>
    <x v="0"/>
  </r>
  <r>
    <x v="6"/>
    <x v="6"/>
    <x v="15"/>
    <x v="62"/>
    <x v="6"/>
    <x v="0"/>
    <x v="0"/>
    <x v="3"/>
    <x v="0"/>
    <x v="0"/>
    <x v="6"/>
    <x v="1275"/>
    <x v="5"/>
    <x v="0"/>
  </r>
  <r>
    <x v="23"/>
    <x v="288"/>
    <x v="23"/>
    <x v="864"/>
    <x v="240"/>
    <x v="0"/>
    <x v="0"/>
    <x v="3"/>
    <x v="0"/>
    <x v="0"/>
    <x v="23"/>
    <x v="1276"/>
    <x v="5"/>
    <x v="0"/>
  </r>
  <r>
    <x v="9"/>
    <x v="9"/>
    <x v="23"/>
    <x v="863"/>
    <x v="9"/>
    <x v="0"/>
    <x v="0"/>
    <x v="0"/>
    <x v="1"/>
    <x v="1"/>
    <x v="9"/>
    <x v="1277"/>
    <x v="7"/>
    <x v="1"/>
  </r>
  <r>
    <x v="6"/>
    <x v="148"/>
    <x v="24"/>
    <x v="865"/>
    <x v="133"/>
    <x v="0"/>
    <x v="0"/>
    <x v="0"/>
    <x v="1"/>
    <x v="1"/>
    <x v="6"/>
    <x v="1278"/>
    <x v="0"/>
    <x v="1"/>
  </r>
  <r>
    <x v="11"/>
    <x v="11"/>
    <x v="14"/>
    <x v="866"/>
    <x v="11"/>
    <x v="0"/>
    <x v="0"/>
    <x v="1"/>
    <x v="1"/>
    <x v="0"/>
    <x v="11"/>
    <x v="1279"/>
    <x v="8"/>
    <x v="1"/>
  </r>
  <r>
    <x v="9"/>
    <x v="268"/>
    <x v="7"/>
    <x v="112"/>
    <x v="224"/>
    <x v="0"/>
    <x v="0"/>
    <x v="1"/>
    <x v="1"/>
    <x v="1"/>
    <x v="9"/>
    <x v="1280"/>
    <x v="1"/>
    <x v="1"/>
  </r>
  <r>
    <x v="58"/>
    <x v="275"/>
    <x v="20"/>
    <x v="867"/>
    <x v="230"/>
    <x v="0"/>
    <x v="0"/>
    <x v="1"/>
    <x v="1"/>
    <x v="1"/>
    <x v="58"/>
    <x v="1281"/>
    <x v="9"/>
    <x v="1"/>
  </r>
  <r>
    <x v="71"/>
    <x v="115"/>
    <x v="15"/>
    <x v="868"/>
    <x v="110"/>
    <x v="0"/>
    <x v="0"/>
    <x v="2"/>
    <x v="1"/>
    <x v="0"/>
    <x v="71"/>
    <x v="1282"/>
    <x v="3"/>
    <x v="1"/>
  </r>
  <r>
    <x v="15"/>
    <x v="15"/>
    <x v="25"/>
    <x v="37"/>
    <x v="15"/>
    <x v="0"/>
    <x v="0"/>
    <x v="2"/>
    <x v="1"/>
    <x v="1"/>
    <x v="15"/>
    <x v="1283"/>
    <x v="3"/>
    <x v="1"/>
  </r>
  <r>
    <x v="16"/>
    <x v="16"/>
    <x v="27"/>
    <x v="863"/>
    <x v="16"/>
    <x v="0"/>
    <x v="0"/>
    <x v="2"/>
    <x v="1"/>
    <x v="1"/>
    <x v="16"/>
    <x v="1284"/>
    <x v="10"/>
    <x v="1"/>
  </r>
  <r>
    <x v="17"/>
    <x v="17"/>
    <x v="11"/>
    <x v="869"/>
    <x v="17"/>
    <x v="0"/>
    <x v="0"/>
    <x v="3"/>
    <x v="1"/>
    <x v="0"/>
    <x v="17"/>
    <x v="1285"/>
    <x v="4"/>
    <x v="1"/>
  </r>
  <r>
    <x v="79"/>
    <x v="149"/>
    <x v="3"/>
    <x v="865"/>
    <x v="114"/>
    <x v="0"/>
    <x v="0"/>
    <x v="3"/>
    <x v="1"/>
    <x v="1"/>
    <x v="79"/>
    <x v="1286"/>
    <x v="5"/>
    <x v="1"/>
  </r>
  <r>
    <x v="45"/>
    <x v="186"/>
    <x v="14"/>
    <x v="4"/>
    <x v="159"/>
    <x v="0"/>
    <x v="0"/>
    <x v="3"/>
    <x v="1"/>
    <x v="1"/>
    <x v="45"/>
    <x v="41"/>
    <x v="5"/>
    <x v="1"/>
  </r>
  <r>
    <x v="19"/>
    <x v="20"/>
    <x v="19"/>
    <x v="4"/>
    <x v="20"/>
    <x v="0"/>
    <x v="0"/>
    <x v="3"/>
    <x v="1"/>
    <x v="1"/>
    <x v="19"/>
    <x v="25"/>
    <x v="5"/>
    <x v="1"/>
  </r>
  <r>
    <x v="2"/>
    <x v="188"/>
    <x v="18"/>
    <x v="4"/>
    <x v="160"/>
    <x v="0"/>
    <x v="0"/>
    <x v="3"/>
    <x v="1"/>
    <x v="1"/>
    <x v="2"/>
    <x v="23"/>
    <x v="6"/>
    <x v="1"/>
  </r>
  <r>
    <x v="50"/>
    <x v="189"/>
    <x v="27"/>
    <x v="4"/>
    <x v="161"/>
    <x v="0"/>
    <x v="0"/>
    <x v="0"/>
    <x v="2"/>
    <x v="1"/>
    <x v="50"/>
    <x v="39"/>
    <x v="7"/>
    <x v="2"/>
  </r>
  <r>
    <x v="14"/>
    <x v="22"/>
    <x v="4"/>
    <x v="4"/>
    <x v="22"/>
    <x v="0"/>
    <x v="0"/>
    <x v="0"/>
    <x v="2"/>
    <x v="1"/>
    <x v="14"/>
    <x v="4"/>
    <x v="0"/>
    <x v="2"/>
  </r>
  <r>
    <x v="39"/>
    <x v="190"/>
    <x v="8"/>
    <x v="4"/>
    <x v="162"/>
    <x v="0"/>
    <x v="0"/>
    <x v="0"/>
    <x v="2"/>
    <x v="1"/>
    <x v="39"/>
    <x v="38"/>
    <x v="11"/>
    <x v="2"/>
  </r>
  <r>
    <x v="22"/>
    <x v="24"/>
    <x v="28"/>
    <x v="866"/>
    <x v="24"/>
    <x v="0"/>
    <x v="0"/>
    <x v="1"/>
    <x v="2"/>
    <x v="0"/>
    <x v="22"/>
    <x v="1287"/>
    <x v="8"/>
    <x v="2"/>
  </r>
  <r>
    <x v="48"/>
    <x v="63"/>
    <x v="2"/>
    <x v="870"/>
    <x v="62"/>
    <x v="0"/>
    <x v="5"/>
    <x v="0"/>
    <x v="0"/>
    <x v="0"/>
    <x v="48"/>
    <x v="1288"/>
    <x v="0"/>
    <x v="0"/>
  </r>
  <r>
    <x v="19"/>
    <x v="64"/>
    <x v="32"/>
    <x v="17"/>
    <x v="63"/>
    <x v="0"/>
    <x v="5"/>
    <x v="1"/>
    <x v="0"/>
    <x v="0"/>
    <x v="19"/>
    <x v="1289"/>
    <x v="8"/>
    <x v="0"/>
  </r>
  <r>
    <x v="49"/>
    <x v="65"/>
    <x v="28"/>
    <x v="871"/>
    <x v="64"/>
    <x v="0"/>
    <x v="5"/>
    <x v="1"/>
    <x v="0"/>
    <x v="0"/>
    <x v="49"/>
    <x v="1290"/>
    <x v="9"/>
    <x v="0"/>
  </r>
  <r>
    <x v="39"/>
    <x v="125"/>
    <x v="2"/>
    <x v="31"/>
    <x v="119"/>
    <x v="0"/>
    <x v="5"/>
    <x v="2"/>
    <x v="0"/>
    <x v="0"/>
    <x v="39"/>
    <x v="1291"/>
    <x v="3"/>
    <x v="0"/>
  </r>
  <r>
    <x v="23"/>
    <x v="126"/>
    <x v="30"/>
    <x v="408"/>
    <x v="120"/>
    <x v="0"/>
    <x v="5"/>
    <x v="2"/>
    <x v="0"/>
    <x v="0"/>
    <x v="23"/>
    <x v="1292"/>
    <x v="10"/>
    <x v="0"/>
  </r>
  <r>
    <x v="37"/>
    <x v="68"/>
    <x v="30"/>
    <x v="872"/>
    <x v="67"/>
    <x v="3"/>
    <x v="5"/>
    <x v="3"/>
    <x v="0"/>
    <x v="1"/>
    <x v="37"/>
    <x v="1293"/>
    <x v="4"/>
    <x v="0"/>
  </r>
  <r>
    <x v="76"/>
    <x v="263"/>
    <x v="16"/>
    <x v="29"/>
    <x v="219"/>
    <x v="0"/>
    <x v="5"/>
    <x v="3"/>
    <x v="0"/>
    <x v="0"/>
    <x v="76"/>
    <x v="1294"/>
    <x v="5"/>
    <x v="0"/>
  </r>
  <r>
    <x v="50"/>
    <x v="129"/>
    <x v="15"/>
    <x v="873"/>
    <x v="69"/>
    <x v="0"/>
    <x v="5"/>
    <x v="3"/>
    <x v="0"/>
    <x v="0"/>
    <x v="50"/>
    <x v="1295"/>
    <x v="5"/>
    <x v="0"/>
  </r>
  <r>
    <x v="53"/>
    <x v="71"/>
    <x v="10"/>
    <x v="408"/>
    <x v="70"/>
    <x v="0"/>
    <x v="5"/>
    <x v="3"/>
    <x v="0"/>
    <x v="0"/>
    <x v="53"/>
    <x v="1296"/>
    <x v="5"/>
    <x v="0"/>
  </r>
  <r>
    <x v="30"/>
    <x v="131"/>
    <x v="19"/>
    <x v="874"/>
    <x v="122"/>
    <x v="0"/>
    <x v="5"/>
    <x v="0"/>
    <x v="1"/>
    <x v="0"/>
    <x v="30"/>
    <x v="1297"/>
    <x v="7"/>
    <x v="1"/>
  </r>
  <r>
    <x v="55"/>
    <x v="73"/>
    <x v="28"/>
    <x v="875"/>
    <x v="72"/>
    <x v="0"/>
    <x v="5"/>
    <x v="0"/>
    <x v="1"/>
    <x v="0"/>
    <x v="55"/>
    <x v="1298"/>
    <x v="0"/>
    <x v="1"/>
  </r>
  <r>
    <x v="12"/>
    <x v="292"/>
    <x v="5"/>
    <x v="870"/>
    <x v="243"/>
    <x v="0"/>
    <x v="5"/>
    <x v="0"/>
    <x v="1"/>
    <x v="0"/>
    <x v="12"/>
    <x v="1299"/>
    <x v="11"/>
    <x v="1"/>
  </r>
  <r>
    <x v="0"/>
    <x v="74"/>
    <x v="5"/>
    <x v="876"/>
    <x v="73"/>
    <x v="3"/>
    <x v="5"/>
    <x v="1"/>
    <x v="1"/>
    <x v="0"/>
    <x v="0"/>
    <x v="1300"/>
    <x v="1"/>
    <x v="1"/>
  </r>
  <r>
    <x v="43"/>
    <x v="75"/>
    <x v="1"/>
    <x v="877"/>
    <x v="74"/>
    <x v="0"/>
    <x v="5"/>
    <x v="1"/>
    <x v="1"/>
    <x v="0"/>
    <x v="43"/>
    <x v="1301"/>
    <x v="9"/>
    <x v="1"/>
  </r>
  <r>
    <x v="56"/>
    <x v="76"/>
    <x v="15"/>
    <x v="878"/>
    <x v="75"/>
    <x v="0"/>
    <x v="5"/>
    <x v="2"/>
    <x v="1"/>
    <x v="0"/>
    <x v="56"/>
    <x v="1302"/>
    <x v="2"/>
    <x v="1"/>
  </r>
  <r>
    <x v="57"/>
    <x v="77"/>
    <x v="3"/>
    <x v="879"/>
    <x v="76"/>
    <x v="0"/>
    <x v="5"/>
    <x v="2"/>
    <x v="1"/>
    <x v="1"/>
    <x v="57"/>
    <x v="1303"/>
    <x v="3"/>
    <x v="1"/>
  </r>
  <r>
    <x v="58"/>
    <x v="78"/>
    <x v="18"/>
    <x v="872"/>
    <x v="77"/>
    <x v="0"/>
    <x v="5"/>
    <x v="2"/>
    <x v="1"/>
    <x v="0"/>
    <x v="58"/>
    <x v="1304"/>
    <x v="10"/>
    <x v="1"/>
  </r>
  <r>
    <x v="77"/>
    <x v="138"/>
    <x v="24"/>
    <x v="873"/>
    <x v="78"/>
    <x v="0"/>
    <x v="5"/>
    <x v="3"/>
    <x v="1"/>
    <x v="0"/>
    <x v="77"/>
    <x v="36"/>
    <x v="4"/>
    <x v="1"/>
  </r>
  <r>
    <x v="14"/>
    <x v="282"/>
    <x v="2"/>
    <x v="877"/>
    <x v="237"/>
    <x v="0"/>
    <x v="5"/>
    <x v="3"/>
    <x v="1"/>
    <x v="0"/>
    <x v="14"/>
    <x v="1305"/>
    <x v="4"/>
    <x v="1"/>
  </r>
  <r>
    <x v="24"/>
    <x v="267"/>
    <x v="25"/>
    <x v="871"/>
    <x v="223"/>
    <x v="0"/>
    <x v="5"/>
    <x v="3"/>
    <x v="1"/>
    <x v="0"/>
    <x v="24"/>
    <x v="1306"/>
    <x v="5"/>
    <x v="1"/>
  </r>
  <r>
    <x v="35"/>
    <x v="59"/>
    <x v="8"/>
    <x v="4"/>
    <x v="58"/>
    <x v="0"/>
    <x v="5"/>
    <x v="3"/>
    <x v="1"/>
    <x v="0"/>
    <x v="35"/>
    <x v="38"/>
    <x v="5"/>
    <x v="1"/>
  </r>
  <r>
    <x v="23"/>
    <x v="83"/>
    <x v="12"/>
    <x v="17"/>
    <x v="82"/>
    <x v="0"/>
    <x v="5"/>
    <x v="3"/>
    <x v="1"/>
    <x v="1"/>
    <x v="23"/>
    <x v="1307"/>
    <x v="6"/>
    <x v="1"/>
  </r>
  <r>
    <x v="60"/>
    <x v="85"/>
    <x v="27"/>
    <x v="4"/>
    <x v="84"/>
    <x v="0"/>
    <x v="5"/>
    <x v="0"/>
    <x v="2"/>
    <x v="1"/>
    <x v="60"/>
    <x v="39"/>
    <x v="7"/>
    <x v="2"/>
  </r>
  <r>
    <x v="39"/>
    <x v="293"/>
    <x v="32"/>
    <x v="880"/>
    <x v="244"/>
    <x v="0"/>
    <x v="5"/>
    <x v="0"/>
    <x v="2"/>
    <x v="0"/>
    <x v="39"/>
    <x v="1308"/>
    <x v="0"/>
    <x v="2"/>
  </r>
  <r>
    <x v="39"/>
    <x v="160"/>
    <x v="25"/>
    <x v="881"/>
    <x v="141"/>
    <x v="0"/>
    <x v="5"/>
    <x v="0"/>
    <x v="2"/>
    <x v="0"/>
    <x v="39"/>
    <x v="1309"/>
    <x v="11"/>
    <x v="2"/>
  </r>
  <r>
    <x v="58"/>
    <x v="89"/>
    <x v="9"/>
    <x v="876"/>
    <x v="88"/>
    <x v="4"/>
    <x v="5"/>
    <x v="1"/>
    <x v="2"/>
    <x v="0"/>
    <x v="58"/>
    <x v="1310"/>
    <x v="1"/>
    <x v="2"/>
  </r>
  <r>
    <x v="86"/>
    <x v="222"/>
    <x v="28"/>
    <x v="4"/>
    <x v="186"/>
    <x v="0"/>
    <x v="4"/>
    <x v="0"/>
    <x v="0"/>
    <x v="1"/>
    <x v="86"/>
    <x v="47"/>
    <x v="0"/>
    <x v="0"/>
  </r>
  <r>
    <x v="10"/>
    <x v="54"/>
    <x v="20"/>
    <x v="558"/>
    <x v="54"/>
    <x v="0"/>
    <x v="4"/>
    <x v="1"/>
    <x v="0"/>
    <x v="1"/>
    <x v="10"/>
    <x v="1311"/>
    <x v="8"/>
    <x v="0"/>
  </r>
  <r>
    <x v="23"/>
    <x v="249"/>
    <x v="16"/>
    <x v="882"/>
    <x v="209"/>
    <x v="0"/>
    <x v="4"/>
    <x v="1"/>
    <x v="0"/>
    <x v="0"/>
    <x v="23"/>
    <x v="1312"/>
    <x v="9"/>
    <x v="0"/>
  </r>
  <r>
    <x v="50"/>
    <x v="66"/>
    <x v="5"/>
    <x v="4"/>
    <x v="65"/>
    <x v="0"/>
    <x v="4"/>
    <x v="2"/>
    <x v="0"/>
    <x v="1"/>
    <x v="50"/>
    <x v="15"/>
    <x v="3"/>
    <x v="0"/>
  </r>
  <r>
    <x v="23"/>
    <x v="301"/>
    <x v="7"/>
    <x v="4"/>
    <x v="249"/>
    <x v="0"/>
    <x v="4"/>
    <x v="3"/>
    <x v="0"/>
    <x v="1"/>
    <x v="23"/>
    <x v="7"/>
    <x v="4"/>
    <x v="0"/>
  </r>
  <r>
    <x v="5"/>
    <x v="5"/>
    <x v="11"/>
    <x v="569"/>
    <x v="5"/>
    <x v="0"/>
    <x v="4"/>
    <x v="3"/>
    <x v="0"/>
    <x v="0"/>
    <x v="5"/>
    <x v="812"/>
    <x v="4"/>
    <x v="0"/>
  </r>
  <r>
    <x v="32"/>
    <x v="302"/>
    <x v="7"/>
    <x v="883"/>
    <x v="8"/>
    <x v="0"/>
    <x v="4"/>
    <x v="3"/>
    <x v="0"/>
    <x v="1"/>
    <x v="32"/>
    <x v="1313"/>
    <x v="6"/>
    <x v="0"/>
  </r>
  <r>
    <x v="44"/>
    <x v="55"/>
    <x v="15"/>
    <x v="884"/>
    <x v="55"/>
    <x v="0"/>
    <x v="4"/>
    <x v="0"/>
    <x v="1"/>
    <x v="0"/>
    <x v="44"/>
    <x v="1314"/>
    <x v="7"/>
    <x v="1"/>
  </r>
  <r>
    <x v="10"/>
    <x v="10"/>
    <x v="32"/>
    <x v="4"/>
    <x v="10"/>
    <x v="0"/>
    <x v="4"/>
    <x v="0"/>
    <x v="1"/>
    <x v="0"/>
    <x v="10"/>
    <x v="53"/>
    <x v="0"/>
    <x v="1"/>
  </r>
  <r>
    <x v="57"/>
    <x v="250"/>
    <x v="32"/>
    <x v="4"/>
    <x v="210"/>
    <x v="0"/>
    <x v="4"/>
    <x v="1"/>
    <x v="1"/>
    <x v="0"/>
    <x v="57"/>
    <x v="53"/>
    <x v="8"/>
    <x v="1"/>
  </r>
  <r>
    <x v="61"/>
    <x v="225"/>
    <x v="28"/>
    <x v="885"/>
    <x v="189"/>
    <x v="0"/>
    <x v="4"/>
    <x v="1"/>
    <x v="1"/>
    <x v="0"/>
    <x v="61"/>
    <x v="1315"/>
    <x v="1"/>
    <x v="1"/>
  </r>
  <r>
    <x v="23"/>
    <x v="226"/>
    <x v="23"/>
    <x v="886"/>
    <x v="190"/>
    <x v="3"/>
    <x v="4"/>
    <x v="1"/>
    <x v="1"/>
    <x v="1"/>
    <x v="23"/>
    <x v="1316"/>
    <x v="9"/>
    <x v="1"/>
  </r>
  <r>
    <x v="14"/>
    <x v="14"/>
    <x v="22"/>
    <x v="887"/>
    <x v="14"/>
    <x v="0"/>
    <x v="4"/>
    <x v="2"/>
    <x v="1"/>
    <x v="0"/>
    <x v="14"/>
    <x v="1317"/>
    <x v="2"/>
    <x v="1"/>
  </r>
  <r>
    <x v="85"/>
    <x v="228"/>
    <x v="16"/>
    <x v="883"/>
    <x v="191"/>
    <x v="0"/>
    <x v="4"/>
    <x v="2"/>
    <x v="1"/>
    <x v="0"/>
    <x v="85"/>
    <x v="1318"/>
    <x v="3"/>
    <x v="1"/>
  </r>
  <r>
    <x v="89"/>
    <x v="229"/>
    <x v="13"/>
    <x v="4"/>
    <x v="192"/>
    <x v="0"/>
    <x v="4"/>
    <x v="2"/>
    <x v="1"/>
    <x v="1"/>
    <x v="89"/>
    <x v="17"/>
    <x v="10"/>
    <x v="1"/>
  </r>
  <r>
    <x v="47"/>
    <x v="58"/>
    <x v="15"/>
    <x v="4"/>
    <x v="17"/>
    <x v="0"/>
    <x v="4"/>
    <x v="3"/>
    <x v="1"/>
    <x v="0"/>
    <x v="47"/>
    <x v="27"/>
    <x v="4"/>
    <x v="1"/>
  </r>
  <r>
    <x v="59"/>
    <x v="80"/>
    <x v="1"/>
    <x v="558"/>
    <x v="79"/>
    <x v="0"/>
    <x v="4"/>
    <x v="3"/>
    <x v="1"/>
    <x v="0"/>
    <x v="59"/>
    <x v="1319"/>
    <x v="5"/>
    <x v="1"/>
  </r>
  <r>
    <x v="86"/>
    <x v="278"/>
    <x v="26"/>
    <x v="4"/>
    <x v="233"/>
    <x v="0"/>
    <x v="4"/>
    <x v="3"/>
    <x v="1"/>
    <x v="0"/>
    <x v="86"/>
    <x v="36"/>
    <x v="5"/>
    <x v="1"/>
  </r>
  <r>
    <x v="53"/>
    <x v="286"/>
    <x v="0"/>
    <x v="888"/>
    <x v="20"/>
    <x v="0"/>
    <x v="4"/>
    <x v="3"/>
    <x v="1"/>
    <x v="0"/>
    <x v="53"/>
    <x v="1320"/>
    <x v="5"/>
    <x v="1"/>
  </r>
  <r>
    <x v="88"/>
    <x v="252"/>
    <x v="25"/>
    <x v="4"/>
    <x v="212"/>
    <x v="0"/>
    <x v="4"/>
    <x v="3"/>
    <x v="1"/>
    <x v="1"/>
    <x v="88"/>
    <x v="44"/>
    <x v="6"/>
    <x v="1"/>
  </r>
  <r>
    <x v="20"/>
    <x v="21"/>
    <x v="14"/>
    <x v="889"/>
    <x v="21"/>
    <x v="0"/>
    <x v="4"/>
    <x v="3"/>
    <x v="1"/>
    <x v="0"/>
    <x v="20"/>
    <x v="1321"/>
    <x v="6"/>
    <x v="1"/>
  </r>
  <r>
    <x v="14"/>
    <x v="22"/>
    <x v="9"/>
    <x v="890"/>
    <x v="22"/>
    <x v="0"/>
    <x v="4"/>
    <x v="0"/>
    <x v="2"/>
    <x v="1"/>
    <x v="14"/>
    <x v="1322"/>
    <x v="0"/>
    <x v="2"/>
  </r>
  <r>
    <x v="21"/>
    <x v="23"/>
    <x v="12"/>
    <x v="4"/>
    <x v="23"/>
    <x v="0"/>
    <x v="4"/>
    <x v="0"/>
    <x v="2"/>
    <x v="2"/>
    <x v="21"/>
    <x v="46"/>
    <x v="11"/>
    <x v="2"/>
  </r>
  <r>
    <x v="1"/>
    <x v="234"/>
    <x v="20"/>
    <x v="891"/>
    <x v="197"/>
    <x v="0"/>
    <x v="4"/>
    <x v="0"/>
    <x v="2"/>
    <x v="1"/>
    <x v="1"/>
    <x v="1323"/>
    <x v="11"/>
    <x v="2"/>
  </r>
  <r>
    <x v="12"/>
    <x v="253"/>
    <x v="54"/>
    <x v="4"/>
    <x v="213"/>
    <x v="4"/>
    <x v="4"/>
    <x v="1"/>
    <x v="2"/>
    <x v="0"/>
    <x v="12"/>
    <x v="1324"/>
    <x v="8"/>
    <x v="2"/>
  </r>
  <r>
    <x v="70"/>
    <x v="235"/>
    <x v="10"/>
    <x v="885"/>
    <x v="198"/>
    <x v="0"/>
    <x v="4"/>
    <x v="1"/>
    <x v="2"/>
    <x v="0"/>
    <x v="70"/>
    <x v="1325"/>
    <x v="1"/>
    <x v="2"/>
  </r>
  <r>
    <x v="48"/>
    <x v="63"/>
    <x v="6"/>
    <x v="892"/>
    <x v="62"/>
    <x v="0"/>
    <x v="5"/>
    <x v="0"/>
    <x v="0"/>
    <x v="0"/>
    <x v="48"/>
    <x v="1326"/>
    <x v="0"/>
    <x v="0"/>
  </r>
  <r>
    <x v="26"/>
    <x v="123"/>
    <x v="19"/>
    <x v="893"/>
    <x v="117"/>
    <x v="0"/>
    <x v="5"/>
    <x v="1"/>
    <x v="0"/>
    <x v="1"/>
    <x v="26"/>
    <x v="1327"/>
    <x v="8"/>
    <x v="0"/>
  </r>
  <r>
    <x v="23"/>
    <x v="261"/>
    <x v="22"/>
    <x v="894"/>
    <x v="218"/>
    <x v="0"/>
    <x v="5"/>
    <x v="1"/>
    <x v="0"/>
    <x v="1"/>
    <x v="23"/>
    <x v="1328"/>
    <x v="9"/>
    <x v="0"/>
  </r>
  <r>
    <x v="39"/>
    <x v="125"/>
    <x v="30"/>
    <x v="895"/>
    <x v="119"/>
    <x v="0"/>
    <x v="5"/>
    <x v="2"/>
    <x v="0"/>
    <x v="1"/>
    <x v="39"/>
    <x v="1329"/>
    <x v="3"/>
    <x v="0"/>
  </r>
  <r>
    <x v="23"/>
    <x v="126"/>
    <x v="28"/>
    <x v="896"/>
    <x v="120"/>
    <x v="0"/>
    <x v="5"/>
    <x v="2"/>
    <x v="0"/>
    <x v="0"/>
    <x v="23"/>
    <x v="1330"/>
    <x v="10"/>
    <x v="0"/>
  </r>
  <r>
    <x v="21"/>
    <x v="262"/>
    <x v="6"/>
    <x v="4"/>
    <x v="90"/>
    <x v="0"/>
    <x v="5"/>
    <x v="3"/>
    <x v="0"/>
    <x v="1"/>
    <x v="21"/>
    <x v="24"/>
    <x v="4"/>
    <x v="0"/>
  </r>
  <r>
    <x v="76"/>
    <x v="263"/>
    <x v="28"/>
    <x v="897"/>
    <x v="219"/>
    <x v="0"/>
    <x v="5"/>
    <x v="3"/>
    <x v="0"/>
    <x v="0"/>
    <x v="76"/>
    <x v="1331"/>
    <x v="5"/>
    <x v="0"/>
  </r>
  <r>
    <x v="50"/>
    <x v="129"/>
    <x v="0"/>
    <x v="898"/>
    <x v="69"/>
    <x v="0"/>
    <x v="5"/>
    <x v="3"/>
    <x v="0"/>
    <x v="0"/>
    <x v="50"/>
    <x v="1332"/>
    <x v="5"/>
    <x v="0"/>
  </r>
  <r>
    <x v="34"/>
    <x v="130"/>
    <x v="24"/>
    <x v="898"/>
    <x v="70"/>
    <x v="0"/>
    <x v="5"/>
    <x v="3"/>
    <x v="0"/>
    <x v="1"/>
    <x v="34"/>
    <x v="1333"/>
    <x v="5"/>
    <x v="0"/>
  </r>
  <r>
    <x v="30"/>
    <x v="131"/>
    <x v="23"/>
    <x v="863"/>
    <x v="122"/>
    <x v="0"/>
    <x v="5"/>
    <x v="0"/>
    <x v="1"/>
    <x v="1"/>
    <x v="30"/>
    <x v="1277"/>
    <x v="7"/>
    <x v="1"/>
  </r>
  <r>
    <x v="56"/>
    <x v="264"/>
    <x v="10"/>
    <x v="894"/>
    <x v="220"/>
    <x v="0"/>
    <x v="5"/>
    <x v="0"/>
    <x v="1"/>
    <x v="0"/>
    <x v="56"/>
    <x v="1334"/>
    <x v="0"/>
    <x v="1"/>
  </r>
  <r>
    <x v="59"/>
    <x v="265"/>
    <x v="18"/>
    <x v="897"/>
    <x v="221"/>
    <x v="0"/>
    <x v="5"/>
    <x v="0"/>
    <x v="1"/>
    <x v="0"/>
    <x v="59"/>
    <x v="1335"/>
    <x v="11"/>
    <x v="1"/>
  </r>
  <r>
    <x v="0"/>
    <x v="74"/>
    <x v="23"/>
    <x v="4"/>
    <x v="73"/>
    <x v="3"/>
    <x v="5"/>
    <x v="1"/>
    <x v="1"/>
    <x v="1"/>
    <x v="0"/>
    <x v="31"/>
    <x v="1"/>
    <x v="1"/>
  </r>
  <r>
    <x v="56"/>
    <x v="76"/>
    <x v="15"/>
    <x v="4"/>
    <x v="75"/>
    <x v="0"/>
    <x v="5"/>
    <x v="2"/>
    <x v="1"/>
    <x v="0"/>
    <x v="56"/>
    <x v="27"/>
    <x v="2"/>
    <x v="1"/>
  </r>
  <r>
    <x v="39"/>
    <x v="136"/>
    <x v="30"/>
    <x v="899"/>
    <x v="76"/>
    <x v="0"/>
    <x v="5"/>
    <x v="2"/>
    <x v="1"/>
    <x v="1"/>
    <x v="39"/>
    <x v="1336"/>
    <x v="3"/>
    <x v="1"/>
  </r>
  <r>
    <x v="36"/>
    <x v="137"/>
    <x v="6"/>
    <x v="900"/>
    <x v="127"/>
    <x v="0"/>
    <x v="5"/>
    <x v="2"/>
    <x v="1"/>
    <x v="0"/>
    <x v="36"/>
    <x v="1337"/>
    <x v="10"/>
    <x v="1"/>
  </r>
  <r>
    <x v="77"/>
    <x v="138"/>
    <x v="19"/>
    <x v="901"/>
    <x v="78"/>
    <x v="0"/>
    <x v="5"/>
    <x v="3"/>
    <x v="1"/>
    <x v="1"/>
    <x v="77"/>
    <x v="1338"/>
    <x v="4"/>
    <x v="1"/>
  </r>
  <r>
    <x v="78"/>
    <x v="139"/>
    <x v="10"/>
    <x v="902"/>
    <x v="96"/>
    <x v="0"/>
    <x v="5"/>
    <x v="3"/>
    <x v="1"/>
    <x v="0"/>
    <x v="78"/>
    <x v="1339"/>
    <x v="4"/>
    <x v="1"/>
  </r>
  <r>
    <x v="48"/>
    <x v="230"/>
    <x v="14"/>
    <x v="4"/>
    <x v="193"/>
    <x v="5"/>
    <x v="5"/>
    <x v="3"/>
    <x v="1"/>
    <x v="1"/>
    <x v="48"/>
    <x v="41"/>
    <x v="5"/>
    <x v="1"/>
  </r>
  <r>
    <x v="27"/>
    <x v="82"/>
    <x v="5"/>
    <x v="903"/>
    <x v="81"/>
    <x v="0"/>
    <x v="5"/>
    <x v="3"/>
    <x v="1"/>
    <x v="0"/>
    <x v="27"/>
    <x v="1340"/>
    <x v="5"/>
    <x v="1"/>
  </r>
  <r>
    <x v="23"/>
    <x v="83"/>
    <x v="11"/>
    <x v="4"/>
    <x v="82"/>
    <x v="0"/>
    <x v="5"/>
    <x v="3"/>
    <x v="1"/>
    <x v="0"/>
    <x v="23"/>
    <x v="12"/>
    <x v="6"/>
    <x v="1"/>
  </r>
  <r>
    <x v="35"/>
    <x v="154"/>
    <x v="27"/>
    <x v="4"/>
    <x v="136"/>
    <x v="0"/>
    <x v="5"/>
    <x v="0"/>
    <x v="2"/>
    <x v="1"/>
    <x v="35"/>
    <x v="39"/>
    <x v="7"/>
    <x v="2"/>
  </r>
  <r>
    <x v="4"/>
    <x v="86"/>
    <x v="4"/>
    <x v="4"/>
    <x v="85"/>
    <x v="0"/>
    <x v="5"/>
    <x v="0"/>
    <x v="2"/>
    <x v="1"/>
    <x v="4"/>
    <x v="4"/>
    <x v="0"/>
    <x v="2"/>
  </r>
  <r>
    <x v="51"/>
    <x v="303"/>
    <x v="22"/>
    <x v="863"/>
    <x v="250"/>
    <x v="0"/>
    <x v="5"/>
    <x v="0"/>
    <x v="2"/>
    <x v="0"/>
    <x v="51"/>
    <x v="1341"/>
    <x v="11"/>
    <x v="2"/>
  </r>
  <r>
    <x v="58"/>
    <x v="89"/>
    <x v="1"/>
    <x v="4"/>
    <x v="88"/>
    <x v="4"/>
    <x v="5"/>
    <x v="1"/>
    <x v="2"/>
    <x v="1"/>
    <x v="58"/>
    <x v="13"/>
    <x v="1"/>
    <x v="2"/>
  </r>
  <r>
    <x v="86"/>
    <x v="222"/>
    <x v="0"/>
    <x v="4"/>
    <x v="186"/>
    <x v="0"/>
    <x v="5"/>
    <x v="0"/>
    <x v="0"/>
    <x v="1"/>
    <x v="86"/>
    <x v="32"/>
    <x v="0"/>
    <x v="0"/>
  </r>
  <r>
    <x v="19"/>
    <x v="64"/>
    <x v="6"/>
    <x v="904"/>
    <x v="63"/>
    <x v="0"/>
    <x v="5"/>
    <x v="1"/>
    <x v="0"/>
    <x v="0"/>
    <x v="19"/>
    <x v="1342"/>
    <x v="8"/>
    <x v="0"/>
  </r>
  <r>
    <x v="88"/>
    <x v="223"/>
    <x v="8"/>
    <x v="905"/>
    <x v="187"/>
    <x v="0"/>
    <x v="5"/>
    <x v="1"/>
    <x v="0"/>
    <x v="0"/>
    <x v="88"/>
    <x v="1343"/>
    <x v="9"/>
    <x v="0"/>
  </r>
  <r>
    <x v="50"/>
    <x v="66"/>
    <x v="18"/>
    <x v="4"/>
    <x v="65"/>
    <x v="0"/>
    <x v="5"/>
    <x v="2"/>
    <x v="0"/>
    <x v="0"/>
    <x v="50"/>
    <x v="23"/>
    <x v="3"/>
    <x v="0"/>
  </r>
  <r>
    <x v="16"/>
    <x v="67"/>
    <x v="22"/>
    <x v="906"/>
    <x v="66"/>
    <x v="0"/>
    <x v="5"/>
    <x v="3"/>
    <x v="0"/>
    <x v="0"/>
    <x v="16"/>
    <x v="1344"/>
    <x v="4"/>
    <x v="0"/>
  </r>
  <r>
    <x v="37"/>
    <x v="68"/>
    <x v="6"/>
    <x v="4"/>
    <x v="67"/>
    <x v="3"/>
    <x v="5"/>
    <x v="3"/>
    <x v="0"/>
    <x v="0"/>
    <x v="37"/>
    <x v="24"/>
    <x v="4"/>
    <x v="0"/>
  </r>
  <r>
    <x v="51"/>
    <x v="69"/>
    <x v="1"/>
    <x v="181"/>
    <x v="68"/>
    <x v="0"/>
    <x v="5"/>
    <x v="3"/>
    <x v="0"/>
    <x v="1"/>
    <x v="51"/>
    <x v="1345"/>
    <x v="5"/>
    <x v="0"/>
  </r>
  <r>
    <x v="52"/>
    <x v="70"/>
    <x v="16"/>
    <x v="907"/>
    <x v="69"/>
    <x v="0"/>
    <x v="5"/>
    <x v="3"/>
    <x v="0"/>
    <x v="0"/>
    <x v="52"/>
    <x v="1346"/>
    <x v="5"/>
    <x v="0"/>
  </r>
  <r>
    <x v="53"/>
    <x v="71"/>
    <x v="16"/>
    <x v="908"/>
    <x v="70"/>
    <x v="0"/>
    <x v="5"/>
    <x v="3"/>
    <x v="0"/>
    <x v="0"/>
    <x v="53"/>
    <x v="1347"/>
    <x v="5"/>
    <x v="0"/>
  </r>
  <r>
    <x v="54"/>
    <x v="72"/>
    <x v="29"/>
    <x v="909"/>
    <x v="71"/>
    <x v="0"/>
    <x v="5"/>
    <x v="0"/>
    <x v="1"/>
    <x v="0"/>
    <x v="54"/>
    <x v="1348"/>
    <x v="7"/>
    <x v="1"/>
  </r>
  <r>
    <x v="55"/>
    <x v="73"/>
    <x v="18"/>
    <x v="4"/>
    <x v="72"/>
    <x v="0"/>
    <x v="5"/>
    <x v="0"/>
    <x v="1"/>
    <x v="0"/>
    <x v="55"/>
    <x v="23"/>
    <x v="0"/>
    <x v="1"/>
  </r>
  <r>
    <x v="33"/>
    <x v="277"/>
    <x v="23"/>
    <x v="910"/>
    <x v="232"/>
    <x v="0"/>
    <x v="5"/>
    <x v="1"/>
    <x v="1"/>
    <x v="1"/>
    <x v="33"/>
    <x v="1349"/>
    <x v="1"/>
    <x v="1"/>
  </r>
  <r>
    <x v="23"/>
    <x v="226"/>
    <x v="27"/>
    <x v="904"/>
    <x v="190"/>
    <x v="3"/>
    <x v="5"/>
    <x v="1"/>
    <x v="1"/>
    <x v="1"/>
    <x v="23"/>
    <x v="1350"/>
    <x v="9"/>
    <x v="1"/>
  </r>
  <r>
    <x v="41"/>
    <x v="227"/>
    <x v="16"/>
    <x v="908"/>
    <x v="75"/>
    <x v="0"/>
    <x v="5"/>
    <x v="2"/>
    <x v="1"/>
    <x v="0"/>
    <x v="41"/>
    <x v="1347"/>
    <x v="2"/>
    <x v="1"/>
  </r>
  <r>
    <x v="57"/>
    <x v="77"/>
    <x v="14"/>
    <x v="904"/>
    <x v="76"/>
    <x v="0"/>
    <x v="5"/>
    <x v="2"/>
    <x v="1"/>
    <x v="0"/>
    <x v="57"/>
    <x v="1351"/>
    <x v="3"/>
    <x v="1"/>
  </r>
  <r>
    <x v="89"/>
    <x v="229"/>
    <x v="1"/>
    <x v="4"/>
    <x v="192"/>
    <x v="0"/>
    <x v="5"/>
    <x v="2"/>
    <x v="1"/>
    <x v="1"/>
    <x v="89"/>
    <x v="13"/>
    <x v="10"/>
    <x v="1"/>
  </r>
  <r>
    <x v="29"/>
    <x v="79"/>
    <x v="1"/>
    <x v="911"/>
    <x v="78"/>
    <x v="0"/>
    <x v="5"/>
    <x v="3"/>
    <x v="1"/>
    <x v="1"/>
    <x v="29"/>
    <x v="1352"/>
    <x v="4"/>
    <x v="1"/>
  </r>
  <r>
    <x v="59"/>
    <x v="80"/>
    <x v="3"/>
    <x v="912"/>
    <x v="79"/>
    <x v="0"/>
    <x v="5"/>
    <x v="3"/>
    <x v="1"/>
    <x v="1"/>
    <x v="59"/>
    <x v="1353"/>
    <x v="5"/>
    <x v="1"/>
  </r>
  <r>
    <x v="86"/>
    <x v="278"/>
    <x v="2"/>
    <x v="4"/>
    <x v="233"/>
    <x v="0"/>
    <x v="5"/>
    <x v="3"/>
    <x v="1"/>
    <x v="1"/>
    <x v="86"/>
    <x v="9"/>
    <x v="5"/>
    <x v="1"/>
  </r>
  <r>
    <x v="35"/>
    <x v="59"/>
    <x v="36"/>
    <x v="562"/>
    <x v="58"/>
    <x v="0"/>
    <x v="5"/>
    <x v="3"/>
    <x v="1"/>
    <x v="1"/>
    <x v="35"/>
    <x v="1354"/>
    <x v="5"/>
    <x v="1"/>
  </r>
  <r>
    <x v="91"/>
    <x v="304"/>
    <x v="10"/>
    <x v="4"/>
    <x v="195"/>
    <x v="0"/>
    <x v="5"/>
    <x v="3"/>
    <x v="1"/>
    <x v="0"/>
    <x v="91"/>
    <x v="11"/>
    <x v="6"/>
    <x v="1"/>
  </r>
  <r>
    <x v="20"/>
    <x v="21"/>
    <x v="16"/>
    <x v="839"/>
    <x v="21"/>
    <x v="0"/>
    <x v="5"/>
    <x v="3"/>
    <x v="1"/>
    <x v="0"/>
    <x v="20"/>
    <x v="1355"/>
    <x v="6"/>
    <x v="1"/>
  </r>
  <r>
    <x v="60"/>
    <x v="85"/>
    <x v="22"/>
    <x v="913"/>
    <x v="84"/>
    <x v="0"/>
    <x v="5"/>
    <x v="0"/>
    <x v="2"/>
    <x v="0"/>
    <x v="60"/>
    <x v="1356"/>
    <x v="7"/>
    <x v="2"/>
  </r>
  <r>
    <x v="23"/>
    <x v="233"/>
    <x v="6"/>
    <x v="914"/>
    <x v="196"/>
    <x v="5"/>
    <x v="5"/>
    <x v="0"/>
    <x v="2"/>
    <x v="0"/>
    <x v="23"/>
    <x v="1357"/>
    <x v="11"/>
    <x v="2"/>
  </r>
  <r>
    <x v="1"/>
    <x v="234"/>
    <x v="5"/>
    <x v="4"/>
    <x v="197"/>
    <x v="0"/>
    <x v="5"/>
    <x v="0"/>
    <x v="2"/>
    <x v="1"/>
    <x v="1"/>
    <x v="15"/>
    <x v="11"/>
    <x v="2"/>
  </r>
  <r>
    <x v="61"/>
    <x v="88"/>
    <x v="12"/>
    <x v="915"/>
    <x v="87"/>
    <x v="0"/>
    <x v="5"/>
    <x v="1"/>
    <x v="2"/>
    <x v="1"/>
    <x v="61"/>
    <x v="1358"/>
    <x v="8"/>
    <x v="2"/>
  </r>
  <r>
    <x v="87"/>
    <x v="279"/>
    <x v="22"/>
    <x v="910"/>
    <x v="234"/>
    <x v="1"/>
    <x v="5"/>
    <x v="1"/>
    <x v="2"/>
    <x v="1"/>
    <x v="87"/>
    <x v="1359"/>
    <x v="1"/>
    <x v="2"/>
  </r>
  <r>
    <x v="86"/>
    <x v="222"/>
    <x v="1"/>
    <x v="4"/>
    <x v="186"/>
    <x v="0"/>
    <x v="4"/>
    <x v="0"/>
    <x v="0"/>
    <x v="1"/>
    <x v="86"/>
    <x v="13"/>
    <x v="0"/>
    <x v="0"/>
  </r>
  <r>
    <x v="10"/>
    <x v="54"/>
    <x v="16"/>
    <x v="4"/>
    <x v="54"/>
    <x v="0"/>
    <x v="4"/>
    <x v="1"/>
    <x v="0"/>
    <x v="0"/>
    <x v="10"/>
    <x v="21"/>
    <x v="8"/>
    <x v="0"/>
  </r>
  <r>
    <x v="88"/>
    <x v="223"/>
    <x v="23"/>
    <x v="4"/>
    <x v="187"/>
    <x v="0"/>
    <x v="4"/>
    <x v="1"/>
    <x v="0"/>
    <x v="1"/>
    <x v="88"/>
    <x v="31"/>
    <x v="9"/>
    <x v="0"/>
  </r>
  <r>
    <x v="50"/>
    <x v="66"/>
    <x v="18"/>
    <x v="916"/>
    <x v="65"/>
    <x v="0"/>
    <x v="4"/>
    <x v="2"/>
    <x v="0"/>
    <x v="0"/>
    <x v="50"/>
    <x v="1360"/>
    <x v="3"/>
    <x v="0"/>
  </r>
  <r>
    <x v="16"/>
    <x v="67"/>
    <x v="14"/>
    <x v="4"/>
    <x v="66"/>
    <x v="0"/>
    <x v="4"/>
    <x v="3"/>
    <x v="0"/>
    <x v="0"/>
    <x v="16"/>
    <x v="41"/>
    <x v="4"/>
    <x v="0"/>
  </r>
  <r>
    <x v="5"/>
    <x v="5"/>
    <x v="28"/>
    <x v="4"/>
    <x v="5"/>
    <x v="0"/>
    <x v="4"/>
    <x v="3"/>
    <x v="0"/>
    <x v="1"/>
    <x v="5"/>
    <x v="47"/>
    <x v="4"/>
    <x v="0"/>
  </r>
  <r>
    <x v="51"/>
    <x v="69"/>
    <x v="8"/>
    <x v="917"/>
    <x v="68"/>
    <x v="0"/>
    <x v="4"/>
    <x v="3"/>
    <x v="0"/>
    <x v="0"/>
    <x v="51"/>
    <x v="1361"/>
    <x v="5"/>
    <x v="0"/>
  </r>
  <r>
    <x v="66"/>
    <x v="224"/>
    <x v="13"/>
    <x v="4"/>
    <x v="188"/>
    <x v="0"/>
    <x v="4"/>
    <x v="3"/>
    <x v="0"/>
    <x v="1"/>
    <x v="66"/>
    <x v="17"/>
    <x v="5"/>
    <x v="0"/>
  </r>
  <r>
    <x v="44"/>
    <x v="55"/>
    <x v="18"/>
    <x v="918"/>
    <x v="55"/>
    <x v="0"/>
    <x v="4"/>
    <x v="0"/>
    <x v="1"/>
    <x v="0"/>
    <x v="44"/>
    <x v="1362"/>
    <x v="7"/>
    <x v="1"/>
  </r>
  <r>
    <x v="55"/>
    <x v="73"/>
    <x v="9"/>
    <x v="917"/>
    <x v="72"/>
    <x v="0"/>
    <x v="4"/>
    <x v="0"/>
    <x v="1"/>
    <x v="1"/>
    <x v="55"/>
    <x v="1363"/>
    <x v="0"/>
    <x v="1"/>
  </r>
  <r>
    <x v="57"/>
    <x v="250"/>
    <x v="19"/>
    <x v="919"/>
    <x v="210"/>
    <x v="0"/>
    <x v="4"/>
    <x v="1"/>
    <x v="1"/>
    <x v="1"/>
    <x v="57"/>
    <x v="1364"/>
    <x v="8"/>
    <x v="1"/>
  </r>
  <r>
    <x v="61"/>
    <x v="225"/>
    <x v="21"/>
    <x v="4"/>
    <x v="189"/>
    <x v="0"/>
    <x v="4"/>
    <x v="1"/>
    <x v="1"/>
    <x v="1"/>
    <x v="61"/>
    <x v="29"/>
    <x v="1"/>
    <x v="1"/>
  </r>
  <r>
    <x v="23"/>
    <x v="226"/>
    <x v="29"/>
    <x v="920"/>
    <x v="190"/>
    <x v="3"/>
    <x v="4"/>
    <x v="1"/>
    <x v="1"/>
    <x v="0"/>
    <x v="23"/>
    <x v="1365"/>
    <x v="9"/>
    <x v="1"/>
  </r>
  <r>
    <x v="14"/>
    <x v="14"/>
    <x v="25"/>
    <x v="4"/>
    <x v="14"/>
    <x v="0"/>
    <x v="4"/>
    <x v="2"/>
    <x v="1"/>
    <x v="1"/>
    <x v="14"/>
    <x v="44"/>
    <x v="2"/>
    <x v="1"/>
  </r>
  <r>
    <x v="89"/>
    <x v="229"/>
    <x v="16"/>
    <x v="4"/>
    <x v="192"/>
    <x v="0"/>
    <x v="4"/>
    <x v="2"/>
    <x v="1"/>
    <x v="0"/>
    <x v="89"/>
    <x v="21"/>
    <x v="10"/>
    <x v="1"/>
  </r>
  <r>
    <x v="47"/>
    <x v="58"/>
    <x v="21"/>
    <x v="919"/>
    <x v="17"/>
    <x v="0"/>
    <x v="4"/>
    <x v="3"/>
    <x v="1"/>
    <x v="1"/>
    <x v="47"/>
    <x v="1366"/>
    <x v="4"/>
    <x v="1"/>
  </r>
  <r>
    <x v="59"/>
    <x v="80"/>
    <x v="10"/>
    <x v="4"/>
    <x v="79"/>
    <x v="0"/>
    <x v="4"/>
    <x v="3"/>
    <x v="1"/>
    <x v="0"/>
    <x v="59"/>
    <x v="11"/>
    <x v="5"/>
    <x v="1"/>
  </r>
  <r>
    <x v="86"/>
    <x v="278"/>
    <x v="9"/>
    <x v="4"/>
    <x v="233"/>
    <x v="0"/>
    <x v="4"/>
    <x v="3"/>
    <x v="1"/>
    <x v="1"/>
    <x v="86"/>
    <x v="10"/>
    <x v="5"/>
    <x v="1"/>
  </r>
  <r>
    <x v="53"/>
    <x v="286"/>
    <x v="36"/>
    <x v="917"/>
    <x v="20"/>
    <x v="0"/>
    <x v="4"/>
    <x v="3"/>
    <x v="1"/>
    <x v="1"/>
    <x v="53"/>
    <x v="1367"/>
    <x v="5"/>
    <x v="1"/>
  </r>
  <r>
    <x v="91"/>
    <x v="304"/>
    <x v="4"/>
    <x v="4"/>
    <x v="195"/>
    <x v="0"/>
    <x v="4"/>
    <x v="3"/>
    <x v="1"/>
    <x v="1"/>
    <x v="91"/>
    <x v="4"/>
    <x v="6"/>
    <x v="1"/>
  </r>
  <r>
    <x v="20"/>
    <x v="21"/>
    <x v="18"/>
    <x v="4"/>
    <x v="21"/>
    <x v="0"/>
    <x v="4"/>
    <x v="3"/>
    <x v="1"/>
    <x v="0"/>
    <x v="20"/>
    <x v="23"/>
    <x v="6"/>
    <x v="1"/>
  </r>
  <r>
    <x v="14"/>
    <x v="22"/>
    <x v="29"/>
    <x v="4"/>
    <x v="22"/>
    <x v="0"/>
    <x v="4"/>
    <x v="0"/>
    <x v="2"/>
    <x v="1"/>
    <x v="14"/>
    <x v="48"/>
    <x v="0"/>
    <x v="2"/>
  </r>
  <r>
    <x v="23"/>
    <x v="233"/>
    <x v="9"/>
    <x v="921"/>
    <x v="196"/>
    <x v="5"/>
    <x v="4"/>
    <x v="0"/>
    <x v="2"/>
    <x v="1"/>
    <x v="23"/>
    <x v="1368"/>
    <x v="11"/>
    <x v="2"/>
  </r>
  <r>
    <x v="1"/>
    <x v="234"/>
    <x v="8"/>
    <x v="922"/>
    <x v="197"/>
    <x v="0"/>
    <x v="4"/>
    <x v="0"/>
    <x v="2"/>
    <x v="0"/>
    <x v="1"/>
    <x v="1369"/>
    <x v="11"/>
    <x v="2"/>
  </r>
  <r>
    <x v="12"/>
    <x v="253"/>
    <x v="56"/>
    <x v="919"/>
    <x v="213"/>
    <x v="4"/>
    <x v="4"/>
    <x v="1"/>
    <x v="2"/>
    <x v="2"/>
    <x v="12"/>
    <x v="1370"/>
    <x v="8"/>
    <x v="2"/>
  </r>
  <r>
    <x v="70"/>
    <x v="235"/>
    <x v="8"/>
    <x v="4"/>
    <x v="198"/>
    <x v="0"/>
    <x v="4"/>
    <x v="1"/>
    <x v="2"/>
    <x v="0"/>
    <x v="70"/>
    <x v="38"/>
    <x v="1"/>
    <x v="2"/>
  </r>
  <r>
    <x v="48"/>
    <x v="63"/>
    <x v="28"/>
    <x v="923"/>
    <x v="62"/>
    <x v="0"/>
    <x v="5"/>
    <x v="0"/>
    <x v="0"/>
    <x v="0"/>
    <x v="48"/>
    <x v="1371"/>
    <x v="0"/>
    <x v="0"/>
  </r>
  <r>
    <x v="19"/>
    <x v="64"/>
    <x v="19"/>
    <x v="923"/>
    <x v="63"/>
    <x v="0"/>
    <x v="5"/>
    <x v="1"/>
    <x v="0"/>
    <x v="0"/>
    <x v="19"/>
    <x v="1372"/>
    <x v="8"/>
    <x v="0"/>
  </r>
  <r>
    <x v="49"/>
    <x v="65"/>
    <x v="3"/>
    <x v="924"/>
    <x v="64"/>
    <x v="0"/>
    <x v="5"/>
    <x v="1"/>
    <x v="0"/>
    <x v="1"/>
    <x v="49"/>
    <x v="1373"/>
    <x v="9"/>
    <x v="0"/>
  </r>
  <r>
    <x v="50"/>
    <x v="66"/>
    <x v="28"/>
    <x v="924"/>
    <x v="65"/>
    <x v="0"/>
    <x v="5"/>
    <x v="2"/>
    <x v="0"/>
    <x v="0"/>
    <x v="50"/>
    <x v="1374"/>
    <x v="3"/>
    <x v="0"/>
  </r>
  <r>
    <x v="80"/>
    <x v="291"/>
    <x v="5"/>
    <x v="228"/>
    <x v="242"/>
    <x v="0"/>
    <x v="5"/>
    <x v="3"/>
    <x v="0"/>
    <x v="0"/>
    <x v="80"/>
    <x v="1375"/>
    <x v="4"/>
    <x v="0"/>
  </r>
  <r>
    <x v="37"/>
    <x v="68"/>
    <x v="12"/>
    <x v="925"/>
    <x v="67"/>
    <x v="3"/>
    <x v="5"/>
    <x v="3"/>
    <x v="0"/>
    <x v="1"/>
    <x v="37"/>
    <x v="1376"/>
    <x v="4"/>
    <x v="0"/>
  </r>
  <r>
    <x v="76"/>
    <x v="263"/>
    <x v="22"/>
    <x v="926"/>
    <x v="219"/>
    <x v="0"/>
    <x v="5"/>
    <x v="3"/>
    <x v="0"/>
    <x v="0"/>
    <x v="76"/>
    <x v="1377"/>
    <x v="5"/>
    <x v="0"/>
  </r>
  <r>
    <x v="50"/>
    <x v="129"/>
    <x v="25"/>
    <x v="927"/>
    <x v="69"/>
    <x v="0"/>
    <x v="5"/>
    <x v="3"/>
    <x v="0"/>
    <x v="0"/>
    <x v="50"/>
    <x v="1378"/>
    <x v="5"/>
    <x v="0"/>
  </r>
  <r>
    <x v="53"/>
    <x v="71"/>
    <x v="24"/>
    <x v="928"/>
    <x v="70"/>
    <x v="0"/>
    <x v="5"/>
    <x v="3"/>
    <x v="0"/>
    <x v="1"/>
    <x v="53"/>
    <x v="1379"/>
    <x v="5"/>
    <x v="0"/>
  </r>
  <r>
    <x v="30"/>
    <x v="131"/>
    <x v="12"/>
    <x v="929"/>
    <x v="122"/>
    <x v="0"/>
    <x v="5"/>
    <x v="0"/>
    <x v="1"/>
    <x v="1"/>
    <x v="30"/>
    <x v="1380"/>
    <x v="7"/>
    <x v="1"/>
  </r>
  <r>
    <x v="55"/>
    <x v="73"/>
    <x v="5"/>
    <x v="930"/>
    <x v="72"/>
    <x v="0"/>
    <x v="5"/>
    <x v="0"/>
    <x v="1"/>
    <x v="0"/>
    <x v="55"/>
    <x v="1381"/>
    <x v="0"/>
    <x v="1"/>
  </r>
  <r>
    <x v="12"/>
    <x v="292"/>
    <x v="6"/>
    <x v="931"/>
    <x v="243"/>
    <x v="0"/>
    <x v="5"/>
    <x v="0"/>
    <x v="1"/>
    <x v="0"/>
    <x v="12"/>
    <x v="1382"/>
    <x v="11"/>
    <x v="1"/>
  </r>
  <r>
    <x v="0"/>
    <x v="74"/>
    <x v="22"/>
    <x v="932"/>
    <x v="73"/>
    <x v="3"/>
    <x v="5"/>
    <x v="1"/>
    <x v="1"/>
    <x v="0"/>
    <x v="0"/>
    <x v="1383"/>
    <x v="1"/>
    <x v="1"/>
  </r>
  <r>
    <x v="43"/>
    <x v="75"/>
    <x v="27"/>
    <x v="167"/>
    <x v="74"/>
    <x v="0"/>
    <x v="5"/>
    <x v="1"/>
    <x v="1"/>
    <x v="1"/>
    <x v="43"/>
    <x v="1384"/>
    <x v="9"/>
    <x v="1"/>
  </r>
  <r>
    <x v="56"/>
    <x v="76"/>
    <x v="13"/>
    <x v="211"/>
    <x v="75"/>
    <x v="0"/>
    <x v="5"/>
    <x v="2"/>
    <x v="1"/>
    <x v="0"/>
    <x v="56"/>
    <x v="1385"/>
    <x v="2"/>
    <x v="1"/>
  </r>
  <r>
    <x v="57"/>
    <x v="77"/>
    <x v="20"/>
    <x v="923"/>
    <x v="76"/>
    <x v="0"/>
    <x v="5"/>
    <x v="2"/>
    <x v="1"/>
    <x v="1"/>
    <x v="57"/>
    <x v="1386"/>
    <x v="3"/>
    <x v="1"/>
  </r>
  <r>
    <x v="58"/>
    <x v="78"/>
    <x v="27"/>
    <x v="933"/>
    <x v="77"/>
    <x v="0"/>
    <x v="5"/>
    <x v="2"/>
    <x v="1"/>
    <x v="0"/>
    <x v="58"/>
    <x v="1387"/>
    <x v="10"/>
    <x v="1"/>
  </r>
  <r>
    <x v="77"/>
    <x v="138"/>
    <x v="30"/>
    <x v="934"/>
    <x v="78"/>
    <x v="0"/>
    <x v="5"/>
    <x v="3"/>
    <x v="1"/>
    <x v="1"/>
    <x v="77"/>
    <x v="1388"/>
    <x v="4"/>
    <x v="1"/>
  </r>
  <r>
    <x v="59"/>
    <x v="80"/>
    <x v="7"/>
    <x v="929"/>
    <x v="79"/>
    <x v="0"/>
    <x v="5"/>
    <x v="3"/>
    <x v="1"/>
    <x v="1"/>
    <x v="59"/>
    <x v="1389"/>
    <x v="5"/>
    <x v="1"/>
  </r>
  <r>
    <x v="48"/>
    <x v="230"/>
    <x v="15"/>
    <x v="743"/>
    <x v="193"/>
    <x v="5"/>
    <x v="5"/>
    <x v="3"/>
    <x v="1"/>
    <x v="0"/>
    <x v="48"/>
    <x v="1390"/>
    <x v="5"/>
    <x v="1"/>
  </r>
  <r>
    <x v="35"/>
    <x v="59"/>
    <x v="24"/>
    <x v="594"/>
    <x v="58"/>
    <x v="0"/>
    <x v="5"/>
    <x v="3"/>
    <x v="1"/>
    <x v="1"/>
    <x v="35"/>
    <x v="1391"/>
    <x v="5"/>
    <x v="1"/>
  </r>
  <r>
    <x v="23"/>
    <x v="83"/>
    <x v="6"/>
    <x v="724"/>
    <x v="82"/>
    <x v="0"/>
    <x v="5"/>
    <x v="3"/>
    <x v="1"/>
    <x v="0"/>
    <x v="23"/>
    <x v="1392"/>
    <x v="6"/>
    <x v="1"/>
  </r>
  <r>
    <x v="60"/>
    <x v="85"/>
    <x v="2"/>
    <x v="735"/>
    <x v="84"/>
    <x v="0"/>
    <x v="5"/>
    <x v="0"/>
    <x v="2"/>
    <x v="0"/>
    <x v="60"/>
    <x v="1393"/>
    <x v="7"/>
    <x v="2"/>
  </r>
  <r>
    <x v="23"/>
    <x v="233"/>
    <x v="9"/>
    <x v="4"/>
    <x v="196"/>
    <x v="5"/>
    <x v="5"/>
    <x v="0"/>
    <x v="2"/>
    <x v="1"/>
    <x v="23"/>
    <x v="10"/>
    <x v="11"/>
    <x v="2"/>
  </r>
  <r>
    <x v="51"/>
    <x v="303"/>
    <x v="8"/>
    <x v="935"/>
    <x v="250"/>
    <x v="0"/>
    <x v="5"/>
    <x v="0"/>
    <x v="2"/>
    <x v="0"/>
    <x v="51"/>
    <x v="635"/>
    <x v="11"/>
    <x v="2"/>
  </r>
  <r>
    <x v="58"/>
    <x v="89"/>
    <x v="28"/>
    <x v="932"/>
    <x v="88"/>
    <x v="4"/>
    <x v="5"/>
    <x v="1"/>
    <x v="2"/>
    <x v="0"/>
    <x v="58"/>
    <x v="1394"/>
    <x v="1"/>
    <x v="2"/>
  </r>
  <r>
    <x v="62"/>
    <x v="90"/>
    <x v="13"/>
    <x v="4"/>
    <x v="89"/>
    <x v="0"/>
    <x v="1"/>
    <x v="1"/>
    <x v="0"/>
    <x v="1"/>
    <x v="62"/>
    <x v="17"/>
    <x v="8"/>
    <x v="0"/>
  </r>
  <r>
    <x v="25"/>
    <x v="28"/>
    <x v="3"/>
    <x v="4"/>
    <x v="28"/>
    <x v="0"/>
    <x v="1"/>
    <x v="1"/>
    <x v="0"/>
    <x v="1"/>
    <x v="25"/>
    <x v="26"/>
    <x v="1"/>
    <x v="0"/>
  </r>
  <r>
    <x v="5"/>
    <x v="29"/>
    <x v="5"/>
    <x v="4"/>
    <x v="29"/>
    <x v="0"/>
    <x v="1"/>
    <x v="2"/>
    <x v="0"/>
    <x v="1"/>
    <x v="5"/>
    <x v="15"/>
    <x v="2"/>
    <x v="0"/>
  </r>
  <r>
    <x v="26"/>
    <x v="30"/>
    <x v="14"/>
    <x v="4"/>
    <x v="30"/>
    <x v="0"/>
    <x v="1"/>
    <x v="2"/>
    <x v="0"/>
    <x v="0"/>
    <x v="26"/>
    <x v="41"/>
    <x v="10"/>
    <x v="0"/>
  </r>
  <r>
    <x v="63"/>
    <x v="91"/>
    <x v="25"/>
    <x v="936"/>
    <x v="90"/>
    <x v="5"/>
    <x v="1"/>
    <x v="3"/>
    <x v="0"/>
    <x v="1"/>
    <x v="63"/>
    <x v="1395"/>
    <x v="4"/>
    <x v="0"/>
  </r>
  <r>
    <x v="49"/>
    <x v="92"/>
    <x v="13"/>
    <x v="937"/>
    <x v="32"/>
    <x v="0"/>
    <x v="1"/>
    <x v="3"/>
    <x v="0"/>
    <x v="1"/>
    <x v="49"/>
    <x v="1396"/>
    <x v="5"/>
    <x v="0"/>
  </r>
  <r>
    <x v="29"/>
    <x v="33"/>
    <x v="10"/>
    <x v="938"/>
    <x v="33"/>
    <x v="0"/>
    <x v="1"/>
    <x v="3"/>
    <x v="0"/>
    <x v="0"/>
    <x v="29"/>
    <x v="1397"/>
    <x v="5"/>
    <x v="0"/>
  </r>
  <r>
    <x v="30"/>
    <x v="34"/>
    <x v="18"/>
    <x v="266"/>
    <x v="34"/>
    <x v="0"/>
    <x v="1"/>
    <x v="3"/>
    <x v="0"/>
    <x v="0"/>
    <x v="30"/>
    <x v="1398"/>
    <x v="5"/>
    <x v="0"/>
  </r>
  <r>
    <x v="31"/>
    <x v="35"/>
    <x v="29"/>
    <x v="4"/>
    <x v="35"/>
    <x v="0"/>
    <x v="1"/>
    <x v="3"/>
    <x v="0"/>
    <x v="1"/>
    <x v="31"/>
    <x v="48"/>
    <x v="6"/>
    <x v="0"/>
  </r>
  <r>
    <x v="65"/>
    <x v="94"/>
    <x v="28"/>
    <x v="142"/>
    <x v="92"/>
    <x v="0"/>
    <x v="1"/>
    <x v="0"/>
    <x v="1"/>
    <x v="0"/>
    <x v="65"/>
    <x v="1399"/>
    <x v="0"/>
    <x v="1"/>
  </r>
  <r>
    <x v="34"/>
    <x v="38"/>
    <x v="27"/>
    <x v="4"/>
    <x v="38"/>
    <x v="0"/>
    <x v="1"/>
    <x v="1"/>
    <x v="1"/>
    <x v="1"/>
    <x v="34"/>
    <x v="39"/>
    <x v="1"/>
    <x v="1"/>
  </r>
  <r>
    <x v="35"/>
    <x v="39"/>
    <x v="3"/>
    <x v="939"/>
    <x v="39"/>
    <x v="0"/>
    <x v="1"/>
    <x v="1"/>
    <x v="1"/>
    <x v="1"/>
    <x v="35"/>
    <x v="1400"/>
    <x v="9"/>
    <x v="1"/>
  </r>
  <r>
    <x v="20"/>
    <x v="40"/>
    <x v="12"/>
    <x v="142"/>
    <x v="40"/>
    <x v="0"/>
    <x v="1"/>
    <x v="2"/>
    <x v="1"/>
    <x v="1"/>
    <x v="20"/>
    <x v="1401"/>
    <x v="2"/>
    <x v="1"/>
  </r>
  <r>
    <x v="18"/>
    <x v="97"/>
    <x v="26"/>
    <x v="937"/>
    <x v="94"/>
    <x v="0"/>
    <x v="1"/>
    <x v="2"/>
    <x v="1"/>
    <x v="0"/>
    <x v="18"/>
    <x v="1402"/>
    <x v="3"/>
    <x v="1"/>
  </r>
  <r>
    <x v="37"/>
    <x v="42"/>
    <x v="11"/>
    <x v="4"/>
    <x v="42"/>
    <x v="0"/>
    <x v="1"/>
    <x v="2"/>
    <x v="1"/>
    <x v="1"/>
    <x v="37"/>
    <x v="12"/>
    <x v="10"/>
    <x v="1"/>
  </r>
  <r>
    <x v="38"/>
    <x v="43"/>
    <x v="23"/>
    <x v="4"/>
    <x v="43"/>
    <x v="0"/>
    <x v="1"/>
    <x v="3"/>
    <x v="1"/>
    <x v="1"/>
    <x v="38"/>
    <x v="31"/>
    <x v="4"/>
    <x v="1"/>
  </r>
  <r>
    <x v="31"/>
    <x v="99"/>
    <x v="0"/>
    <x v="940"/>
    <x v="96"/>
    <x v="0"/>
    <x v="1"/>
    <x v="3"/>
    <x v="1"/>
    <x v="0"/>
    <x v="31"/>
    <x v="1403"/>
    <x v="4"/>
    <x v="1"/>
  </r>
  <r>
    <x v="11"/>
    <x v="152"/>
    <x v="1"/>
    <x v="4"/>
    <x v="80"/>
    <x v="0"/>
    <x v="1"/>
    <x v="3"/>
    <x v="1"/>
    <x v="1"/>
    <x v="11"/>
    <x v="13"/>
    <x v="5"/>
    <x v="1"/>
  </r>
  <r>
    <x v="62"/>
    <x v="140"/>
    <x v="12"/>
    <x v="4"/>
    <x v="128"/>
    <x v="0"/>
    <x v="1"/>
    <x v="3"/>
    <x v="1"/>
    <x v="2"/>
    <x v="62"/>
    <x v="46"/>
    <x v="5"/>
    <x v="1"/>
  </r>
  <r>
    <x v="25"/>
    <x v="141"/>
    <x v="22"/>
    <x v="746"/>
    <x v="79"/>
    <x v="0"/>
    <x v="1"/>
    <x v="3"/>
    <x v="1"/>
    <x v="0"/>
    <x v="25"/>
    <x v="1404"/>
    <x v="5"/>
    <x v="1"/>
  </r>
  <r>
    <x v="23"/>
    <x v="153"/>
    <x v="26"/>
    <x v="4"/>
    <x v="48"/>
    <x v="0"/>
    <x v="1"/>
    <x v="3"/>
    <x v="1"/>
    <x v="1"/>
    <x v="23"/>
    <x v="36"/>
    <x v="6"/>
    <x v="1"/>
  </r>
  <r>
    <x v="39"/>
    <x v="142"/>
    <x v="1"/>
    <x v="4"/>
    <x v="129"/>
    <x v="0"/>
    <x v="1"/>
    <x v="0"/>
    <x v="2"/>
    <x v="1"/>
    <x v="39"/>
    <x v="13"/>
    <x v="7"/>
    <x v="2"/>
  </r>
  <r>
    <x v="39"/>
    <x v="143"/>
    <x v="1"/>
    <x v="941"/>
    <x v="50"/>
    <x v="0"/>
    <x v="1"/>
    <x v="0"/>
    <x v="2"/>
    <x v="0"/>
    <x v="39"/>
    <x v="1405"/>
    <x v="0"/>
    <x v="2"/>
  </r>
  <r>
    <x v="43"/>
    <x v="52"/>
    <x v="1"/>
    <x v="4"/>
    <x v="52"/>
    <x v="0"/>
    <x v="1"/>
    <x v="1"/>
    <x v="2"/>
    <x v="1"/>
    <x v="43"/>
    <x v="13"/>
    <x v="1"/>
    <x v="2"/>
  </r>
  <r>
    <x v="23"/>
    <x v="53"/>
    <x v="12"/>
    <x v="939"/>
    <x v="53"/>
    <x v="2"/>
    <x v="1"/>
    <x v="1"/>
    <x v="2"/>
    <x v="1"/>
    <x v="23"/>
    <x v="1406"/>
    <x v="1"/>
    <x v="2"/>
  </r>
  <r>
    <x v="86"/>
    <x v="222"/>
    <x v="22"/>
    <x v="4"/>
    <x v="186"/>
    <x v="0"/>
    <x v="4"/>
    <x v="0"/>
    <x v="0"/>
    <x v="1"/>
    <x v="86"/>
    <x v="30"/>
    <x v="0"/>
    <x v="0"/>
  </r>
  <r>
    <x v="10"/>
    <x v="54"/>
    <x v="16"/>
    <x v="4"/>
    <x v="54"/>
    <x v="0"/>
    <x v="4"/>
    <x v="1"/>
    <x v="0"/>
    <x v="1"/>
    <x v="10"/>
    <x v="21"/>
    <x v="8"/>
    <x v="0"/>
  </r>
  <r>
    <x v="23"/>
    <x v="249"/>
    <x v="26"/>
    <x v="942"/>
    <x v="209"/>
    <x v="0"/>
    <x v="4"/>
    <x v="1"/>
    <x v="0"/>
    <x v="0"/>
    <x v="23"/>
    <x v="1407"/>
    <x v="9"/>
    <x v="0"/>
  </r>
  <r>
    <x v="3"/>
    <x v="3"/>
    <x v="14"/>
    <x v="4"/>
    <x v="3"/>
    <x v="0"/>
    <x v="4"/>
    <x v="2"/>
    <x v="0"/>
    <x v="0"/>
    <x v="3"/>
    <x v="41"/>
    <x v="3"/>
    <x v="0"/>
  </r>
  <r>
    <x v="5"/>
    <x v="5"/>
    <x v="5"/>
    <x v="4"/>
    <x v="5"/>
    <x v="0"/>
    <x v="4"/>
    <x v="3"/>
    <x v="0"/>
    <x v="1"/>
    <x v="5"/>
    <x v="15"/>
    <x v="4"/>
    <x v="0"/>
  </r>
  <r>
    <x v="7"/>
    <x v="7"/>
    <x v="6"/>
    <x v="4"/>
    <x v="7"/>
    <x v="0"/>
    <x v="4"/>
    <x v="3"/>
    <x v="0"/>
    <x v="1"/>
    <x v="7"/>
    <x v="24"/>
    <x v="5"/>
    <x v="0"/>
  </r>
  <r>
    <x v="44"/>
    <x v="55"/>
    <x v="32"/>
    <x v="4"/>
    <x v="55"/>
    <x v="0"/>
    <x v="4"/>
    <x v="0"/>
    <x v="1"/>
    <x v="0"/>
    <x v="44"/>
    <x v="53"/>
    <x v="7"/>
    <x v="1"/>
  </r>
  <r>
    <x v="10"/>
    <x v="10"/>
    <x v="6"/>
    <x v="4"/>
    <x v="10"/>
    <x v="0"/>
    <x v="4"/>
    <x v="0"/>
    <x v="1"/>
    <x v="1"/>
    <x v="10"/>
    <x v="24"/>
    <x v="0"/>
    <x v="1"/>
  </r>
  <r>
    <x v="57"/>
    <x v="250"/>
    <x v="32"/>
    <x v="943"/>
    <x v="210"/>
    <x v="0"/>
    <x v="4"/>
    <x v="1"/>
    <x v="1"/>
    <x v="0"/>
    <x v="57"/>
    <x v="1408"/>
    <x v="8"/>
    <x v="1"/>
  </r>
  <r>
    <x v="61"/>
    <x v="225"/>
    <x v="27"/>
    <x v="4"/>
    <x v="189"/>
    <x v="0"/>
    <x v="4"/>
    <x v="1"/>
    <x v="1"/>
    <x v="1"/>
    <x v="61"/>
    <x v="39"/>
    <x v="1"/>
    <x v="1"/>
  </r>
  <r>
    <x v="13"/>
    <x v="13"/>
    <x v="20"/>
    <x v="4"/>
    <x v="13"/>
    <x v="0"/>
    <x v="4"/>
    <x v="1"/>
    <x v="1"/>
    <x v="1"/>
    <x v="13"/>
    <x v="28"/>
    <x v="9"/>
    <x v="1"/>
  </r>
  <r>
    <x v="14"/>
    <x v="14"/>
    <x v="7"/>
    <x v="4"/>
    <x v="14"/>
    <x v="0"/>
    <x v="4"/>
    <x v="2"/>
    <x v="1"/>
    <x v="1"/>
    <x v="14"/>
    <x v="7"/>
    <x v="2"/>
    <x v="1"/>
  </r>
  <r>
    <x v="15"/>
    <x v="15"/>
    <x v="3"/>
    <x v="4"/>
    <x v="15"/>
    <x v="0"/>
    <x v="4"/>
    <x v="2"/>
    <x v="1"/>
    <x v="1"/>
    <x v="15"/>
    <x v="26"/>
    <x v="3"/>
    <x v="1"/>
  </r>
  <r>
    <x v="75"/>
    <x v="251"/>
    <x v="21"/>
    <x v="4"/>
    <x v="211"/>
    <x v="0"/>
    <x v="4"/>
    <x v="2"/>
    <x v="1"/>
    <x v="1"/>
    <x v="75"/>
    <x v="29"/>
    <x v="10"/>
    <x v="1"/>
  </r>
  <r>
    <x v="18"/>
    <x v="18"/>
    <x v="24"/>
    <x v="4"/>
    <x v="18"/>
    <x v="0"/>
    <x v="4"/>
    <x v="3"/>
    <x v="1"/>
    <x v="2"/>
    <x v="18"/>
    <x v="33"/>
    <x v="5"/>
    <x v="1"/>
  </r>
  <r>
    <x v="86"/>
    <x v="278"/>
    <x v="29"/>
    <x v="4"/>
    <x v="233"/>
    <x v="0"/>
    <x v="4"/>
    <x v="3"/>
    <x v="1"/>
    <x v="1"/>
    <x v="86"/>
    <x v="48"/>
    <x v="5"/>
    <x v="1"/>
  </r>
  <r>
    <x v="53"/>
    <x v="286"/>
    <x v="6"/>
    <x v="4"/>
    <x v="20"/>
    <x v="0"/>
    <x v="4"/>
    <x v="3"/>
    <x v="1"/>
    <x v="1"/>
    <x v="53"/>
    <x v="24"/>
    <x v="5"/>
    <x v="1"/>
  </r>
  <r>
    <x v="88"/>
    <x v="252"/>
    <x v="7"/>
    <x v="944"/>
    <x v="212"/>
    <x v="0"/>
    <x v="4"/>
    <x v="3"/>
    <x v="1"/>
    <x v="1"/>
    <x v="88"/>
    <x v="1409"/>
    <x v="6"/>
    <x v="1"/>
  </r>
  <r>
    <x v="20"/>
    <x v="21"/>
    <x v="27"/>
    <x v="945"/>
    <x v="21"/>
    <x v="0"/>
    <x v="4"/>
    <x v="3"/>
    <x v="1"/>
    <x v="1"/>
    <x v="20"/>
    <x v="1410"/>
    <x v="6"/>
    <x v="1"/>
  </r>
  <r>
    <x v="14"/>
    <x v="22"/>
    <x v="32"/>
    <x v="946"/>
    <x v="22"/>
    <x v="0"/>
    <x v="4"/>
    <x v="0"/>
    <x v="2"/>
    <x v="0"/>
    <x v="14"/>
    <x v="1411"/>
    <x v="0"/>
    <x v="2"/>
  </r>
  <r>
    <x v="21"/>
    <x v="23"/>
    <x v="24"/>
    <x v="4"/>
    <x v="23"/>
    <x v="0"/>
    <x v="4"/>
    <x v="0"/>
    <x v="2"/>
    <x v="2"/>
    <x v="21"/>
    <x v="33"/>
    <x v="11"/>
    <x v="2"/>
  </r>
  <r>
    <x v="1"/>
    <x v="234"/>
    <x v="10"/>
    <x v="4"/>
    <x v="197"/>
    <x v="0"/>
    <x v="4"/>
    <x v="0"/>
    <x v="2"/>
    <x v="0"/>
    <x v="1"/>
    <x v="11"/>
    <x v="11"/>
    <x v="2"/>
  </r>
  <r>
    <x v="12"/>
    <x v="253"/>
    <x v="15"/>
    <x v="943"/>
    <x v="213"/>
    <x v="4"/>
    <x v="4"/>
    <x v="1"/>
    <x v="2"/>
    <x v="0"/>
    <x v="12"/>
    <x v="1412"/>
    <x v="8"/>
    <x v="2"/>
  </r>
  <r>
    <x v="70"/>
    <x v="235"/>
    <x v="2"/>
    <x v="4"/>
    <x v="198"/>
    <x v="0"/>
    <x v="4"/>
    <x v="1"/>
    <x v="2"/>
    <x v="1"/>
    <x v="70"/>
    <x v="9"/>
    <x v="1"/>
    <x v="2"/>
  </r>
  <r>
    <x v="86"/>
    <x v="222"/>
    <x v="27"/>
    <x v="947"/>
    <x v="186"/>
    <x v="0"/>
    <x v="4"/>
    <x v="0"/>
    <x v="0"/>
    <x v="1"/>
    <x v="86"/>
    <x v="1413"/>
    <x v="0"/>
    <x v="0"/>
  </r>
  <r>
    <x v="10"/>
    <x v="54"/>
    <x v="30"/>
    <x v="29"/>
    <x v="54"/>
    <x v="0"/>
    <x v="4"/>
    <x v="1"/>
    <x v="0"/>
    <x v="1"/>
    <x v="10"/>
    <x v="1414"/>
    <x v="8"/>
    <x v="0"/>
  </r>
  <r>
    <x v="50"/>
    <x v="66"/>
    <x v="11"/>
    <x v="860"/>
    <x v="65"/>
    <x v="0"/>
    <x v="4"/>
    <x v="2"/>
    <x v="0"/>
    <x v="0"/>
    <x v="50"/>
    <x v="69"/>
    <x v="3"/>
    <x v="0"/>
  </r>
  <r>
    <x v="16"/>
    <x v="67"/>
    <x v="30"/>
    <x v="948"/>
    <x v="66"/>
    <x v="0"/>
    <x v="4"/>
    <x v="3"/>
    <x v="0"/>
    <x v="1"/>
    <x v="16"/>
    <x v="1415"/>
    <x v="4"/>
    <x v="0"/>
  </r>
  <r>
    <x v="5"/>
    <x v="5"/>
    <x v="7"/>
    <x v="860"/>
    <x v="5"/>
    <x v="0"/>
    <x v="4"/>
    <x v="3"/>
    <x v="0"/>
    <x v="1"/>
    <x v="5"/>
    <x v="1416"/>
    <x v="4"/>
    <x v="0"/>
  </r>
  <r>
    <x v="32"/>
    <x v="302"/>
    <x v="19"/>
    <x v="931"/>
    <x v="8"/>
    <x v="0"/>
    <x v="4"/>
    <x v="3"/>
    <x v="0"/>
    <x v="1"/>
    <x v="32"/>
    <x v="1417"/>
    <x v="6"/>
    <x v="0"/>
  </r>
  <r>
    <x v="44"/>
    <x v="55"/>
    <x v="28"/>
    <x v="948"/>
    <x v="55"/>
    <x v="0"/>
    <x v="4"/>
    <x v="0"/>
    <x v="1"/>
    <x v="0"/>
    <x v="44"/>
    <x v="1418"/>
    <x v="7"/>
    <x v="1"/>
  </r>
  <r>
    <x v="10"/>
    <x v="10"/>
    <x v="18"/>
    <x v="949"/>
    <x v="10"/>
    <x v="0"/>
    <x v="4"/>
    <x v="0"/>
    <x v="1"/>
    <x v="0"/>
    <x v="10"/>
    <x v="1419"/>
    <x v="0"/>
    <x v="1"/>
  </r>
  <r>
    <x v="57"/>
    <x v="250"/>
    <x v="22"/>
    <x v="950"/>
    <x v="210"/>
    <x v="0"/>
    <x v="4"/>
    <x v="1"/>
    <x v="1"/>
    <x v="0"/>
    <x v="57"/>
    <x v="1420"/>
    <x v="8"/>
    <x v="1"/>
  </r>
  <r>
    <x v="61"/>
    <x v="225"/>
    <x v="27"/>
    <x v="949"/>
    <x v="189"/>
    <x v="0"/>
    <x v="4"/>
    <x v="1"/>
    <x v="1"/>
    <x v="0"/>
    <x v="61"/>
    <x v="1421"/>
    <x v="1"/>
    <x v="1"/>
  </r>
  <r>
    <x v="23"/>
    <x v="226"/>
    <x v="26"/>
    <x v="29"/>
    <x v="190"/>
    <x v="3"/>
    <x v="4"/>
    <x v="1"/>
    <x v="1"/>
    <x v="0"/>
    <x v="23"/>
    <x v="1422"/>
    <x v="9"/>
    <x v="1"/>
  </r>
  <r>
    <x v="14"/>
    <x v="14"/>
    <x v="30"/>
    <x v="521"/>
    <x v="14"/>
    <x v="0"/>
    <x v="4"/>
    <x v="2"/>
    <x v="1"/>
    <x v="1"/>
    <x v="14"/>
    <x v="1423"/>
    <x v="2"/>
    <x v="1"/>
  </r>
  <r>
    <x v="85"/>
    <x v="228"/>
    <x v="32"/>
    <x v="685"/>
    <x v="191"/>
    <x v="0"/>
    <x v="4"/>
    <x v="2"/>
    <x v="1"/>
    <x v="0"/>
    <x v="85"/>
    <x v="1424"/>
    <x v="3"/>
    <x v="1"/>
  </r>
  <r>
    <x v="89"/>
    <x v="229"/>
    <x v="8"/>
    <x v="951"/>
    <x v="192"/>
    <x v="0"/>
    <x v="4"/>
    <x v="2"/>
    <x v="1"/>
    <x v="0"/>
    <x v="89"/>
    <x v="1425"/>
    <x v="10"/>
    <x v="1"/>
  </r>
  <r>
    <x v="47"/>
    <x v="58"/>
    <x v="15"/>
    <x v="952"/>
    <x v="17"/>
    <x v="0"/>
    <x v="4"/>
    <x v="3"/>
    <x v="1"/>
    <x v="0"/>
    <x v="47"/>
    <x v="1426"/>
    <x v="4"/>
    <x v="1"/>
  </r>
  <r>
    <x v="59"/>
    <x v="80"/>
    <x v="7"/>
    <x v="75"/>
    <x v="79"/>
    <x v="0"/>
    <x v="4"/>
    <x v="3"/>
    <x v="1"/>
    <x v="1"/>
    <x v="59"/>
    <x v="1427"/>
    <x v="5"/>
    <x v="1"/>
  </r>
  <r>
    <x v="86"/>
    <x v="278"/>
    <x v="29"/>
    <x v="31"/>
    <x v="233"/>
    <x v="0"/>
    <x v="4"/>
    <x v="3"/>
    <x v="1"/>
    <x v="0"/>
    <x v="86"/>
    <x v="1428"/>
    <x v="5"/>
    <x v="1"/>
  </r>
  <r>
    <x v="19"/>
    <x v="20"/>
    <x v="1"/>
    <x v="4"/>
    <x v="20"/>
    <x v="0"/>
    <x v="4"/>
    <x v="3"/>
    <x v="1"/>
    <x v="1"/>
    <x v="19"/>
    <x v="13"/>
    <x v="5"/>
    <x v="1"/>
  </r>
  <r>
    <x v="88"/>
    <x v="252"/>
    <x v="30"/>
    <x v="953"/>
    <x v="212"/>
    <x v="0"/>
    <x v="4"/>
    <x v="3"/>
    <x v="1"/>
    <x v="1"/>
    <x v="88"/>
    <x v="1429"/>
    <x v="6"/>
    <x v="1"/>
  </r>
  <r>
    <x v="20"/>
    <x v="21"/>
    <x v="27"/>
    <x v="4"/>
    <x v="21"/>
    <x v="0"/>
    <x v="4"/>
    <x v="3"/>
    <x v="1"/>
    <x v="1"/>
    <x v="20"/>
    <x v="39"/>
    <x v="6"/>
    <x v="1"/>
  </r>
  <r>
    <x v="14"/>
    <x v="22"/>
    <x v="27"/>
    <x v="4"/>
    <x v="22"/>
    <x v="0"/>
    <x v="4"/>
    <x v="0"/>
    <x v="2"/>
    <x v="1"/>
    <x v="14"/>
    <x v="39"/>
    <x v="0"/>
    <x v="2"/>
  </r>
  <r>
    <x v="23"/>
    <x v="233"/>
    <x v="22"/>
    <x v="954"/>
    <x v="196"/>
    <x v="5"/>
    <x v="4"/>
    <x v="0"/>
    <x v="2"/>
    <x v="1"/>
    <x v="23"/>
    <x v="1430"/>
    <x v="11"/>
    <x v="2"/>
  </r>
  <r>
    <x v="1"/>
    <x v="234"/>
    <x v="6"/>
    <x v="955"/>
    <x v="197"/>
    <x v="0"/>
    <x v="4"/>
    <x v="0"/>
    <x v="2"/>
    <x v="0"/>
    <x v="1"/>
    <x v="1431"/>
    <x v="11"/>
    <x v="2"/>
  </r>
  <r>
    <x v="12"/>
    <x v="253"/>
    <x v="57"/>
    <x v="950"/>
    <x v="213"/>
    <x v="4"/>
    <x v="4"/>
    <x v="1"/>
    <x v="2"/>
    <x v="2"/>
    <x v="12"/>
    <x v="1432"/>
    <x v="8"/>
    <x v="2"/>
  </r>
  <r>
    <x v="70"/>
    <x v="235"/>
    <x v="25"/>
    <x v="949"/>
    <x v="198"/>
    <x v="0"/>
    <x v="4"/>
    <x v="1"/>
    <x v="2"/>
    <x v="0"/>
    <x v="70"/>
    <x v="759"/>
    <x v="1"/>
    <x v="2"/>
  </r>
  <r>
    <x v="48"/>
    <x v="63"/>
    <x v="25"/>
    <x v="723"/>
    <x v="62"/>
    <x v="0"/>
    <x v="5"/>
    <x v="0"/>
    <x v="0"/>
    <x v="1"/>
    <x v="48"/>
    <x v="1433"/>
    <x v="0"/>
    <x v="0"/>
  </r>
  <r>
    <x v="53"/>
    <x v="305"/>
    <x v="5"/>
    <x v="4"/>
    <x v="251"/>
    <x v="0"/>
    <x v="5"/>
    <x v="1"/>
    <x v="0"/>
    <x v="1"/>
    <x v="53"/>
    <x v="15"/>
    <x v="8"/>
    <x v="0"/>
  </r>
  <r>
    <x v="49"/>
    <x v="65"/>
    <x v="13"/>
    <x v="956"/>
    <x v="64"/>
    <x v="0"/>
    <x v="5"/>
    <x v="1"/>
    <x v="0"/>
    <x v="1"/>
    <x v="49"/>
    <x v="1434"/>
    <x v="9"/>
    <x v="0"/>
  </r>
  <r>
    <x v="39"/>
    <x v="125"/>
    <x v="15"/>
    <x v="4"/>
    <x v="119"/>
    <x v="0"/>
    <x v="5"/>
    <x v="2"/>
    <x v="0"/>
    <x v="0"/>
    <x v="39"/>
    <x v="27"/>
    <x v="3"/>
    <x v="0"/>
  </r>
  <r>
    <x v="23"/>
    <x v="126"/>
    <x v="24"/>
    <x v="957"/>
    <x v="120"/>
    <x v="0"/>
    <x v="5"/>
    <x v="2"/>
    <x v="0"/>
    <x v="1"/>
    <x v="23"/>
    <x v="1435"/>
    <x v="10"/>
    <x v="0"/>
  </r>
  <r>
    <x v="37"/>
    <x v="68"/>
    <x v="16"/>
    <x v="4"/>
    <x v="67"/>
    <x v="3"/>
    <x v="5"/>
    <x v="3"/>
    <x v="0"/>
    <x v="0"/>
    <x v="37"/>
    <x v="21"/>
    <x v="4"/>
    <x v="0"/>
  </r>
  <r>
    <x v="76"/>
    <x v="263"/>
    <x v="27"/>
    <x v="348"/>
    <x v="219"/>
    <x v="0"/>
    <x v="5"/>
    <x v="3"/>
    <x v="0"/>
    <x v="1"/>
    <x v="76"/>
    <x v="1436"/>
    <x v="5"/>
    <x v="0"/>
  </r>
  <r>
    <x v="50"/>
    <x v="129"/>
    <x v="9"/>
    <x v="4"/>
    <x v="69"/>
    <x v="0"/>
    <x v="5"/>
    <x v="3"/>
    <x v="0"/>
    <x v="1"/>
    <x v="50"/>
    <x v="10"/>
    <x v="5"/>
    <x v="0"/>
  </r>
  <r>
    <x v="53"/>
    <x v="71"/>
    <x v="26"/>
    <x v="348"/>
    <x v="70"/>
    <x v="0"/>
    <x v="5"/>
    <x v="3"/>
    <x v="0"/>
    <x v="0"/>
    <x v="53"/>
    <x v="1437"/>
    <x v="5"/>
    <x v="0"/>
  </r>
  <r>
    <x v="30"/>
    <x v="131"/>
    <x v="9"/>
    <x v="4"/>
    <x v="122"/>
    <x v="0"/>
    <x v="5"/>
    <x v="0"/>
    <x v="1"/>
    <x v="1"/>
    <x v="30"/>
    <x v="10"/>
    <x v="7"/>
    <x v="1"/>
  </r>
  <r>
    <x v="55"/>
    <x v="73"/>
    <x v="19"/>
    <x v="4"/>
    <x v="72"/>
    <x v="0"/>
    <x v="5"/>
    <x v="0"/>
    <x v="1"/>
    <x v="1"/>
    <x v="55"/>
    <x v="25"/>
    <x v="0"/>
    <x v="1"/>
  </r>
  <r>
    <x v="59"/>
    <x v="265"/>
    <x v="7"/>
    <x v="958"/>
    <x v="221"/>
    <x v="0"/>
    <x v="5"/>
    <x v="0"/>
    <x v="1"/>
    <x v="1"/>
    <x v="59"/>
    <x v="1438"/>
    <x v="11"/>
    <x v="1"/>
  </r>
  <r>
    <x v="0"/>
    <x v="74"/>
    <x v="0"/>
    <x v="4"/>
    <x v="73"/>
    <x v="3"/>
    <x v="5"/>
    <x v="1"/>
    <x v="1"/>
    <x v="1"/>
    <x v="0"/>
    <x v="32"/>
    <x v="1"/>
    <x v="1"/>
  </r>
  <r>
    <x v="43"/>
    <x v="75"/>
    <x v="32"/>
    <x v="957"/>
    <x v="74"/>
    <x v="0"/>
    <x v="5"/>
    <x v="1"/>
    <x v="1"/>
    <x v="0"/>
    <x v="43"/>
    <x v="1439"/>
    <x v="9"/>
    <x v="1"/>
  </r>
  <r>
    <x v="56"/>
    <x v="76"/>
    <x v="23"/>
    <x v="959"/>
    <x v="75"/>
    <x v="0"/>
    <x v="5"/>
    <x v="2"/>
    <x v="1"/>
    <x v="1"/>
    <x v="56"/>
    <x v="1440"/>
    <x v="2"/>
    <x v="1"/>
  </r>
  <r>
    <x v="57"/>
    <x v="77"/>
    <x v="8"/>
    <x v="957"/>
    <x v="76"/>
    <x v="0"/>
    <x v="5"/>
    <x v="2"/>
    <x v="1"/>
    <x v="0"/>
    <x v="57"/>
    <x v="1441"/>
    <x v="3"/>
    <x v="1"/>
  </r>
  <r>
    <x v="58"/>
    <x v="78"/>
    <x v="1"/>
    <x v="4"/>
    <x v="77"/>
    <x v="0"/>
    <x v="5"/>
    <x v="2"/>
    <x v="1"/>
    <x v="1"/>
    <x v="58"/>
    <x v="13"/>
    <x v="10"/>
    <x v="1"/>
  </r>
  <r>
    <x v="77"/>
    <x v="138"/>
    <x v="22"/>
    <x v="960"/>
    <x v="78"/>
    <x v="0"/>
    <x v="5"/>
    <x v="3"/>
    <x v="1"/>
    <x v="0"/>
    <x v="77"/>
    <x v="1442"/>
    <x v="4"/>
    <x v="1"/>
  </r>
  <r>
    <x v="14"/>
    <x v="282"/>
    <x v="28"/>
    <x v="959"/>
    <x v="237"/>
    <x v="0"/>
    <x v="5"/>
    <x v="3"/>
    <x v="1"/>
    <x v="0"/>
    <x v="14"/>
    <x v="1443"/>
    <x v="4"/>
    <x v="1"/>
  </r>
  <r>
    <x v="48"/>
    <x v="230"/>
    <x v="30"/>
    <x v="961"/>
    <x v="193"/>
    <x v="5"/>
    <x v="5"/>
    <x v="3"/>
    <x v="1"/>
    <x v="1"/>
    <x v="48"/>
    <x v="1444"/>
    <x v="5"/>
    <x v="1"/>
  </r>
  <r>
    <x v="27"/>
    <x v="82"/>
    <x v="28"/>
    <x v="48"/>
    <x v="81"/>
    <x v="0"/>
    <x v="5"/>
    <x v="3"/>
    <x v="1"/>
    <x v="0"/>
    <x v="27"/>
    <x v="1445"/>
    <x v="5"/>
    <x v="1"/>
  </r>
  <r>
    <x v="23"/>
    <x v="83"/>
    <x v="28"/>
    <x v="880"/>
    <x v="82"/>
    <x v="0"/>
    <x v="5"/>
    <x v="3"/>
    <x v="1"/>
    <x v="0"/>
    <x v="23"/>
    <x v="1446"/>
    <x v="6"/>
    <x v="1"/>
  </r>
  <r>
    <x v="60"/>
    <x v="85"/>
    <x v="1"/>
    <x v="13"/>
    <x v="84"/>
    <x v="0"/>
    <x v="5"/>
    <x v="0"/>
    <x v="2"/>
    <x v="1"/>
    <x v="60"/>
    <x v="1447"/>
    <x v="7"/>
    <x v="2"/>
  </r>
  <r>
    <x v="23"/>
    <x v="233"/>
    <x v="3"/>
    <x v="962"/>
    <x v="196"/>
    <x v="5"/>
    <x v="5"/>
    <x v="0"/>
    <x v="2"/>
    <x v="1"/>
    <x v="23"/>
    <x v="1448"/>
    <x v="11"/>
    <x v="2"/>
  </r>
  <r>
    <x v="51"/>
    <x v="303"/>
    <x v="7"/>
    <x v="4"/>
    <x v="250"/>
    <x v="0"/>
    <x v="5"/>
    <x v="0"/>
    <x v="2"/>
    <x v="1"/>
    <x v="51"/>
    <x v="7"/>
    <x v="11"/>
    <x v="2"/>
  </r>
  <r>
    <x v="58"/>
    <x v="89"/>
    <x v="11"/>
    <x v="4"/>
    <x v="88"/>
    <x v="4"/>
    <x v="5"/>
    <x v="1"/>
    <x v="2"/>
    <x v="1"/>
    <x v="58"/>
    <x v="12"/>
    <x v="1"/>
    <x v="2"/>
  </r>
  <r>
    <x v="48"/>
    <x v="63"/>
    <x v="8"/>
    <x v="4"/>
    <x v="62"/>
    <x v="0"/>
    <x v="5"/>
    <x v="0"/>
    <x v="0"/>
    <x v="0"/>
    <x v="48"/>
    <x v="38"/>
    <x v="0"/>
    <x v="0"/>
  </r>
  <r>
    <x v="26"/>
    <x v="123"/>
    <x v="3"/>
    <x v="963"/>
    <x v="117"/>
    <x v="0"/>
    <x v="5"/>
    <x v="1"/>
    <x v="0"/>
    <x v="1"/>
    <x v="26"/>
    <x v="1449"/>
    <x v="8"/>
    <x v="0"/>
  </r>
  <r>
    <x v="49"/>
    <x v="65"/>
    <x v="0"/>
    <x v="964"/>
    <x v="64"/>
    <x v="0"/>
    <x v="5"/>
    <x v="1"/>
    <x v="0"/>
    <x v="0"/>
    <x v="49"/>
    <x v="1450"/>
    <x v="9"/>
    <x v="0"/>
  </r>
  <r>
    <x v="39"/>
    <x v="125"/>
    <x v="19"/>
    <x v="964"/>
    <x v="119"/>
    <x v="0"/>
    <x v="5"/>
    <x v="2"/>
    <x v="0"/>
    <x v="1"/>
    <x v="39"/>
    <x v="1451"/>
    <x v="3"/>
    <x v="0"/>
  </r>
  <r>
    <x v="23"/>
    <x v="126"/>
    <x v="14"/>
    <x v="4"/>
    <x v="120"/>
    <x v="0"/>
    <x v="5"/>
    <x v="2"/>
    <x v="0"/>
    <x v="0"/>
    <x v="23"/>
    <x v="41"/>
    <x v="10"/>
    <x v="0"/>
  </r>
  <r>
    <x v="37"/>
    <x v="68"/>
    <x v="11"/>
    <x v="4"/>
    <x v="67"/>
    <x v="3"/>
    <x v="5"/>
    <x v="3"/>
    <x v="0"/>
    <x v="1"/>
    <x v="37"/>
    <x v="12"/>
    <x v="4"/>
    <x v="0"/>
  </r>
  <r>
    <x v="76"/>
    <x v="263"/>
    <x v="16"/>
    <x v="4"/>
    <x v="219"/>
    <x v="0"/>
    <x v="5"/>
    <x v="3"/>
    <x v="0"/>
    <x v="0"/>
    <x v="76"/>
    <x v="21"/>
    <x v="5"/>
    <x v="0"/>
  </r>
  <r>
    <x v="50"/>
    <x v="129"/>
    <x v="8"/>
    <x v="965"/>
    <x v="69"/>
    <x v="0"/>
    <x v="5"/>
    <x v="3"/>
    <x v="0"/>
    <x v="0"/>
    <x v="50"/>
    <x v="1452"/>
    <x v="5"/>
    <x v="0"/>
  </r>
  <r>
    <x v="53"/>
    <x v="71"/>
    <x v="21"/>
    <x v="966"/>
    <x v="70"/>
    <x v="0"/>
    <x v="5"/>
    <x v="3"/>
    <x v="0"/>
    <x v="1"/>
    <x v="53"/>
    <x v="1453"/>
    <x v="5"/>
    <x v="0"/>
  </r>
  <r>
    <x v="30"/>
    <x v="131"/>
    <x v="29"/>
    <x v="964"/>
    <x v="122"/>
    <x v="0"/>
    <x v="5"/>
    <x v="0"/>
    <x v="1"/>
    <x v="0"/>
    <x v="30"/>
    <x v="1454"/>
    <x v="7"/>
    <x v="1"/>
  </r>
  <r>
    <x v="55"/>
    <x v="73"/>
    <x v="28"/>
    <x v="967"/>
    <x v="72"/>
    <x v="0"/>
    <x v="5"/>
    <x v="0"/>
    <x v="1"/>
    <x v="0"/>
    <x v="55"/>
    <x v="1455"/>
    <x v="0"/>
    <x v="1"/>
  </r>
  <r>
    <x v="59"/>
    <x v="265"/>
    <x v="21"/>
    <x v="968"/>
    <x v="221"/>
    <x v="0"/>
    <x v="5"/>
    <x v="0"/>
    <x v="1"/>
    <x v="0"/>
    <x v="59"/>
    <x v="1456"/>
    <x v="11"/>
    <x v="1"/>
  </r>
  <r>
    <x v="0"/>
    <x v="74"/>
    <x v="21"/>
    <x v="969"/>
    <x v="73"/>
    <x v="3"/>
    <x v="5"/>
    <x v="1"/>
    <x v="1"/>
    <x v="1"/>
    <x v="0"/>
    <x v="1457"/>
    <x v="1"/>
    <x v="1"/>
  </r>
  <r>
    <x v="43"/>
    <x v="75"/>
    <x v="24"/>
    <x v="970"/>
    <x v="74"/>
    <x v="0"/>
    <x v="5"/>
    <x v="1"/>
    <x v="1"/>
    <x v="1"/>
    <x v="43"/>
    <x v="1458"/>
    <x v="9"/>
    <x v="1"/>
  </r>
  <r>
    <x v="56"/>
    <x v="76"/>
    <x v="18"/>
    <x v="4"/>
    <x v="75"/>
    <x v="0"/>
    <x v="5"/>
    <x v="2"/>
    <x v="1"/>
    <x v="0"/>
    <x v="56"/>
    <x v="23"/>
    <x v="2"/>
    <x v="1"/>
  </r>
  <r>
    <x v="57"/>
    <x v="77"/>
    <x v="19"/>
    <x v="48"/>
    <x v="76"/>
    <x v="0"/>
    <x v="5"/>
    <x v="2"/>
    <x v="1"/>
    <x v="1"/>
    <x v="57"/>
    <x v="1459"/>
    <x v="3"/>
    <x v="1"/>
  </r>
  <r>
    <x v="71"/>
    <x v="306"/>
    <x v="3"/>
    <x v="4"/>
    <x v="77"/>
    <x v="0"/>
    <x v="5"/>
    <x v="2"/>
    <x v="1"/>
    <x v="1"/>
    <x v="71"/>
    <x v="26"/>
    <x v="10"/>
    <x v="1"/>
  </r>
  <r>
    <x v="77"/>
    <x v="138"/>
    <x v="0"/>
    <x v="4"/>
    <x v="78"/>
    <x v="0"/>
    <x v="5"/>
    <x v="3"/>
    <x v="1"/>
    <x v="1"/>
    <x v="77"/>
    <x v="32"/>
    <x v="4"/>
    <x v="1"/>
  </r>
  <r>
    <x v="14"/>
    <x v="282"/>
    <x v="9"/>
    <x v="971"/>
    <x v="237"/>
    <x v="0"/>
    <x v="5"/>
    <x v="3"/>
    <x v="1"/>
    <x v="1"/>
    <x v="14"/>
    <x v="1460"/>
    <x v="4"/>
    <x v="1"/>
  </r>
  <r>
    <x v="48"/>
    <x v="230"/>
    <x v="9"/>
    <x v="899"/>
    <x v="193"/>
    <x v="5"/>
    <x v="5"/>
    <x v="3"/>
    <x v="1"/>
    <x v="1"/>
    <x v="48"/>
    <x v="1461"/>
    <x v="5"/>
    <x v="1"/>
  </r>
  <r>
    <x v="27"/>
    <x v="82"/>
    <x v="5"/>
    <x v="900"/>
    <x v="81"/>
    <x v="0"/>
    <x v="5"/>
    <x v="3"/>
    <x v="1"/>
    <x v="0"/>
    <x v="27"/>
    <x v="1462"/>
    <x v="5"/>
    <x v="1"/>
  </r>
  <r>
    <x v="23"/>
    <x v="83"/>
    <x v="32"/>
    <x v="4"/>
    <x v="82"/>
    <x v="0"/>
    <x v="5"/>
    <x v="3"/>
    <x v="1"/>
    <x v="0"/>
    <x v="23"/>
    <x v="53"/>
    <x v="6"/>
    <x v="1"/>
  </r>
  <r>
    <x v="60"/>
    <x v="85"/>
    <x v="9"/>
    <x v="4"/>
    <x v="84"/>
    <x v="0"/>
    <x v="5"/>
    <x v="0"/>
    <x v="2"/>
    <x v="1"/>
    <x v="60"/>
    <x v="10"/>
    <x v="7"/>
    <x v="2"/>
  </r>
  <r>
    <x v="23"/>
    <x v="233"/>
    <x v="0"/>
    <x v="972"/>
    <x v="196"/>
    <x v="5"/>
    <x v="5"/>
    <x v="0"/>
    <x v="2"/>
    <x v="0"/>
    <x v="23"/>
    <x v="1463"/>
    <x v="11"/>
    <x v="2"/>
  </r>
  <r>
    <x v="51"/>
    <x v="303"/>
    <x v="5"/>
    <x v="4"/>
    <x v="250"/>
    <x v="0"/>
    <x v="5"/>
    <x v="0"/>
    <x v="2"/>
    <x v="1"/>
    <x v="51"/>
    <x v="15"/>
    <x v="11"/>
    <x v="2"/>
  </r>
  <r>
    <x v="58"/>
    <x v="89"/>
    <x v="26"/>
    <x v="969"/>
    <x v="88"/>
    <x v="4"/>
    <x v="5"/>
    <x v="1"/>
    <x v="2"/>
    <x v="0"/>
    <x v="58"/>
    <x v="1464"/>
    <x v="1"/>
    <x v="2"/>
  </r>
  <r>
    <x v="86"/>
    <x v="222"/>
    <x v="7"/>
    <x v="973"/>
    <x v="186"/>
    <x v="0"/>
    <x v="4"/>
    <x v="0"/>
    <x v="0"/>
    <x v="0"/>
    <x v="86"/>
    <x v="1465"/>
    <x v="0"/>
    <x v="0"/>
  </r>
  <r>
    <x v="19"/>
    <x v="64"/>
    <x v="18"/>
    <x v="974"/>
    <x v="63"/>
    <x v="0"/>
    <x v="4"/>
    <x v="1"/>
    <x v="0"/>
    <x v="0"/>
    <x v="19"/>
    <x v="1466"/>
    <x v="8"/>
    <x v="0"/>
  </r>
  <r>
    <x v="88"/>
    <x v="223"/>
    <x v="18"/>
    <x v="975"/>
    <x v="187"/>
    <x v="0"/>
    <x v="4"/>
    <x v="1"/>
    <x v="0"/>
    <x v="0"/>
    <x v="88"/>
    <x v="1467"/>
    <x v="9"/>
    <x v="0"/>
  </r>
  <r>
    <x v="50"/>
    <x v="66"/>
    <x v="1"/>
    <x v="268"/>
    <x v="65"/>
    <x v="0"/>
    <x v="4"/>
    <x v="2"/>
    <x v="0"/>
    <x v="0"/>
    <x v="50"/>
    <x v="1468"/>
    <x v="3"/>
    <x v="0"/>
  </r>
  <r>
    <x v="16"/>
    <x v="67"/>
    <x v="27"/>
    <x v="268"/>
    <x v="66"/>
    <x v="0"/>
    <x v="4"/>
    <x v="3"/>
    <x v="0"/>
    <x v="1"/>
    <x v="16"/>
    <x v="1469"/>
    <x v="4"/>
    <x v="0"/>
  </r>
  <r>
    <x v="5"/>
    <x v="5"/>
    <x v="25"/>
    <x v="976"/>
    <x v="5"/>
    <x v="0"/>
    <x v="4"/>
    <x v="3"/>
    <x v="0"/>
    <x v="1"/>
    <x v="5"/>
    <x v="1470"/>
    <x v="4"/>
    <x v="0"/>
  </r>
  <r>
    <x v="51"/>
    <x v="69"/>
    <x v="3"/>
    <x v="977"/>
    <x v="68"/>
    <x v="0"/>
    <x v="4"/>
    <x v="3"/>
    <x v="0"/>
    <x v="1"/>
    <x v="51"/>
    <x v="1471"/>
    <x v="5"/>
    <x v="0"/>
  </r>
  <r>
    <x v="66"/>
    <x v="224"/>
    <x v="23"/>
    <x v="978"/>
    <x v="188"/>
    <x v="0"/>
    <x v="4"/>
    <x v="3"/>
    <x v="0"/>
    <x v="0"/>
    <x v="66"/>
    <x v="1472"/>
    <x v="5"/>
    <x v="0"/>
  </r>
  <r>
    <x v="44"/>
    <x v="55"/>
    <x v="13"/>
    <x v="735"/>
    <x v="55"/>
    <x v="0"/>
    <x v="4"/>
    <x v="0"/>
    <x v="1"/>
    <x v="0"/>
    <x v="44"/>
    <x v="1473"/>
    <x v="7"/>
    <x v="1"/>
  </r>
  <r>
    <x v="55"/>
    <x v="73"/>
    <x v="30"/>
    <x v="979"/>
    <x v="72"/>
    <x v="0"/>
    <x v="4"/>
    <x v="0"/>
    <x v="1"/>
    <x v="1"/>
    <x v="55"/>
    <x v="1474"/>
    <x v="0"/>
    <x v="1"/>
  </r>
  <r>
    <x v="57"/>
    <x v="250"/>
    <x v="1"/>
    <x v="9"/>
    <x v="210"/>
    <x v="0"/>
    <x v="4"/>
    <x v="1"/>
    <x v="1"/>
    <x v="0"/>
    <x v="57"/>
    <x v="1475"/>
    <x v="8"/>
    <x v="1"/>
  </r>
  <r>
    <x v="61"/>
    <x v="225"/>
    <x v="19"/>
    <x v="980"/>
    <x v="189"/>
    <x v="0"/>
    <x v="4"/>
    <x v="1"/>
    <x v="1"/>
    <x v="0"/>
    <x v="61"/>
    <x v="1476"/>
    <x v="1"/>
    <x v="1"/>
  </r>
  <r>
    <x v="23"/>
    <x v="226"/>
    <x v="21"/>
    <x v="981"/>
    <x v="190"/>
    <x v="3"/>
    <x v="4"/>
    <x v="1"/>
    <x v="1"/>
    <x v="0"/>
    <x v="23"/>
    <x v="1477"/>
    <x v="9"/>
    <x v="1"/>
  </r>
  <r>
    <x v="14"/>
    <x v="14"/>
    <x v="28"/>
    <x v="9"/>
    <x v="14"/>
    <x v="0"/>
    <x v="4"/>
    <x v="2"/>
    <x v="1"/>
    <x v="0"/>
    <x v="14"/>
    <x v="1478"/>
    <x v="2"/>
    <x v="1"/>
  </r>
  <r>
    <x v="85"/>
    <x v="228"/>
    <x v="22"/>
    <x v="982"/>
    <x v="191"/>
    <x v="0"/>
    <x v="4"/>
    <x v="2"/>
    <x v="1"/>
    <x v="0"/>
    <x v="85"/>
    <x v="1479"/>
    <x v="3"/>
    <x v="1"/>
  </r>
  <r>
    <x v="89"/>
    <x v="229"/>
    <x v="20"/>
    <x v="983"/>
    <x v="192"/>
    <x v="0"/>
    <x v="4"/>
    <x v="2"/>
    <x v="1"/>
    <x v="1"/>
    <x v="89"/>
    <x v="1480"/>
    <x v="10"/>
    <x v="1"/>
  </r>
  <r>
    <x v="47"/>
    <x v="58"/>
    <x v="25"/>
    <x v="984"/>
    <x v="17"/>
    <x v="0"/>
    <x v="4"/>
    <x v="3"/>
    <x v="1"/>
    <x v="0"/>
    <x v="47"/>
    <x v="1481"/>
    <x v="4"/>
    <x v="1"/>
  </r>
  <r>
    <x v="59"/>
    <x v="80"/>
    <x v="27"/>
    <x v="980"/>
    <x v="79"/>
    <x v="0"/>
    <x v="4"/>
    <x v="3"/>
    <x v="1"/>
    <x v="0"/>
    <x v="59"/>
    <x v="1482"/>
    <x v="5"/>
    <x v="1"/>
  </r>
  <r>
    <x v="86"/>
    <x v="278"/>
    <x v="25"/>
    <x v="268"/>
    <x v="233"/>
    <x v="0"/>
    <x v="4"/>
    <x v="3"/>
    <x v="1"/>
    <x v="1"/>
    <x v="86"/>
    <x v="1483"/>
    <x v="5"/>
    <x v="1"/>
  </r>
  <r>
    <x v="35"/>
    <x v="59"/>
    <x v="24"/>
    <x v="985"/>
    <x v="58"/>
    <x v="0"/>
    <x v="4"/>
    <x v="3"/>
    <x v="1"/>
    <x v="0"/>
    <x v="35"/>
    <x v="1484"/>
    <x v="5"/>
    <x v="1"/>
  </r>
  <r>
    <x v="91"/>
    <x v="304"/>
    <x v="8"/>
    <x v="986"/>
    <x v="195"/>
    <x v="0"/>
    <x v="4"/>
    <x v="3"/>
    <x v="1"/>
    <x v="0"/>
    <x v="91"/>
    <x v="1485"/>
    <x v="6"/>
    <x v="1"/>
  </r>
  <r>
    <x v="20"/>
    <x v="21"/>
    <x v="21"/>
    <x v="4"/>
    <x v="21"/>
    <x v="0"/>
    <x v="4"/>
    <x v="3"/>
    <x v="1"/>
    <x v="1"/>
    <x v="20"/>
    <x v="29"/>
    <x v="6"/>
    <x v="1"/>
  </r>
  <r>
    <x v="60"/>
    <x v="85"/>
    <x v="3"/>
    <x v="987"/>
    <x v="84"/>
    <x v="0"/>
    <x v="4"/>
    <x v="0"/>
    <x v="2"/>
    <x v="0"/>
    <x v="60"/>
    <x v="1486"/>
    <x v="7"/>
    <x v="2"/>
  </r>
  <r>
    <x v="23"/>
    <x v="233"/>
    <x v="27"/>
    <x v="948"/>
    <x v="196"/>
    <x v="5"/>
    <x v="4"/>
    <x v="0"/>
    <x v="2"/>
    <x v="1"/>
    <x v="23"/>
    <x v="1487"/>
    <x v="11"/>
    <x v="2"/>
  </r>
  <r>
    <x v="1"/>
    <x v="234"/>
    <x v="5"/>
    <x v="988"/>
    <x v="197"/>
    <x v="0"/>
    <x v="4"/>
    <x v="0"/>
    <x v="2"/>
    <x v="1"/>
    <x v="1"/>
    <x v="1488"/>
    <x v="11"/>
    <x v="2"/>
  </r>
  <r>
    <x v="12"/>
    <x v="253"/>
    <x v="11"/>
    <x v="9"/>
    <x v="213"/>
    <x v="4"/>
    <x v="4"/>
    <x v="1"/>
    <x v="2"/>
    <x v="0"/>
    <x v="12"/>
    <x v="1489"/>
    <x v="8"/>
    <x v="2"/>
  </r>
  <r>
    <x v="70"/>
    <x v="235"/>
    <x v="30"/>
    <x v="980"/>
    <x v="198"/>
    <x v="0"/>
    <x v="4"/>
    <x v="1"/>
    <x v="2"/>
    <x v="0"/>
    <x v="70"/>
    <x v="1490"/>
    <x v="1"/>
    <x v="2"/>
  </r>
  <r>
    <x v="86"/>
    <x v="222"/>
    <x v="7"/>
    <x v="989"/>
    <x v="186"/>
    <x v="0"/>
    <x v="4"/>
    <x v="0"/>
    <x v="0"/>
    <x v="0"/>
    <x v="86"/>
    <x v="1491"/>
    <x v="0"/>
    <x v="0"/>
  </r>
  <r>
    <x v="19"/>
    <x v="64"/>
    <x v="11"/>
    <x v="990"/>
    <x v="63"/>
    <x v="0"/>
    <x v="4"/>
    <x v="1"/>
    <x v="0"/>
    <x v="0"/>
    <x v="19"/>
    <x v="1492"/>
    <x v="8"/>
    <x v="0"/>
  </r>
  <r>
    <x v="88"/>
    <x v="223"/>
    <x v="15"/>
    <x v="448"/>
    <x v="187"/>
    <x v="0"/>
    <x v="4"/>
    <x v="1"/>
    <x v="0"/>
    <x v="0"/>
    <x v="88"/>
    <x v="1493"/>
    <x v="9"/>
    <x v="0"/>
  </r>
  <r>
    <x v="50"/>
    <x v="66"/>
    <x v="9"/>
    <x v="446"/>
    <x v="65"/>
    <x v="0"/>
    <x v="4"/>
    <x v="2"/>
    <x v="0"/>
    <x v="0"/>
    <x v="50"/>
    <x v="1494"/>
    <x v="3"/>
    <x v="0"/>
  </r>
  <r>
    <x v="16"/>
    <x v="67"/>
    <x v="1"/>
    <x v="991"/>
    <x v="66"/>
    <x v="0"/>
    <x v="4"/>
    <x v="3"/>
    <x v="0"/>
    <x v="0"/>
    <x v="16"/>
    <x v="1495"/>
    <x v="4"/>
    <x v="0"/>
  </r>
  <r>
    <x v="37"/>
    <x v="68"/>
    <x v="23"/>
    <x v="448"/>
    <x v="67"/>
    <x v="3"/>
    <x v="4"/>
    <x v="3"/>
    <x v="0"/>
    <x v="0"/>
    <x v="37"/>
    <x v="1496"/>
    <x v="4"/>
    <x v="0"/>
  </r>
  <r>
    <x v="51"/>
    <x v="69"/>
    <x v="3"/>
    <x v="15"/>
    <x v="68"/>
    <x v="0"/>
    <x v="4"/>
    <x v="3"/>
    <x v="0"/>
    <x v="0"/>
    <x v="51"/>
    <x v="1497"/>
    <x v="5"/>
    <x v="0"/>
  </r>
  <r>
    <x v="52"/>
    <x v="70"/>
    <x v="11"/>
    <x v="855"/>
    <x v="69"/>
    <x v="0"/>
    <x v="4"/>
    <x v="3"/>
    <x v="0"/>
    <x v="0"/>
    <x v="52"/>
    <x v="1498"/>
    <x v="5"/>
    <x v="0"/>
  </r>
  <r>
    <x v="53"/>
    <x v="71"/>
    <x v="6"/>
    <x v="448"/>
    <x v="70"/>
    <x v="0"/>
    <x v="4"/>
    <x v="3"/>
    <x v="0"/>
    <x v="0"/>
    <x v="53"/>
    <x v="1499"/>
    <x v="5"/>
    <x v="0"/>
  </r>
  <r>
    <x v="54"/>
    <x v="72"/>
    <x v="7"/>
    <x v="992"/>
    <x v="71"/>
    <x v="0"/>
    <x v="4"/>
    <x v="0"/>
    <x v="1"/>
    <x v="0"/>
    <x v="54"/>
    <x v="1500"/>
    <x v="7"/>
    <x v="1"/>
  </r>
  <r>
    <x v="55"/>
    <x v="73"/>
    <x v="28"/>
    <x v="993"/>
    <x v="72"/>
    <x v="0"/>
    <x v="4"/>
    <x v="0"/>
    <x v="1"/>
    <x v="0"/>
    <x v="55"/>
    <x v="1501"/>
    <x v="0"/>
    <x v="1"/>
  </r>
  <r>
    <x v="33"/>
    <x v="277"/>
    <x v="22"/>
    <x v="994"/>
    <x v="232"/>
    <x v="0"/>
    <x v="4"/>
    <x v="1"/>
    <x v="1"/>
    <x v="0"/>
    <x v="33"/>
    <x v="1502"/>
    <x v="1"/>
    <x v="1"/>
  </r>
  <r>
    <x v="23"/>
    <x v="226"/>
    <x v="15"/>
    <x v="995"/>
    <x v="190"/>
    <x v="3"/>
    <x v="4"/>
    <x v="1"/>
    <x v="1"/>
    <x v="0"/>
    <x v="23"/>
    <x v="1503"/>
    <x v="9"/>
    <x v="1"/>
  </r>
  <r>
    <x v="41"/>
    <x v="227"/>
    <x v="22"/>
    <x v="996"/>
    <x v="75"/>
    <x v="0"/>
    <x v="4"/>
    <x v="2"/>
    <x v="1"/>
    <x v="0"/>
    <x v="41"/>
    <x v="1504"/>
    <x v="2"/>
    <x v="1"/>
  </r>
  <r>
    <x v="57"/>
    <x v="77"/>
    <x v="30"/>
    <x v="994"/>
    <x v="76"/>
    <x v="0"/>
    <x v="4"/>
    <x v="2"/>
    <x v="1"/>
    <x v="0"/>
    <x v="57"/>
    <x v="1505"/>
    <x v="3"/>
    <x v="1"/>
  </r>
  <r>
    <x v="89"/>
    <x v="229"/>
    <x v="15"/>
    <x v="997"/>
    <x v="192"/>
    <x v="0"/>
    <x v="4"/>
    <x v="2"/>
    <x v="1"/>
    <x v="0"/>
    <x v="89"/>
    <x v="1506"/>
    <x v="10"/>
    <x v="1"/>
  </r>
  <r>
    <x v="29"/>
    <x v="79"/>
    <x v="1"/>
    <x v="998"/>
    <x v="78"/>
    <x v="0"/>
    <x v="4"/>
    <x v="3"/>
    <x v="1"/>
    <x v="0"/>
    <x v="29"/>
    <x v="1507"/>
    <x v="4"/>
    <x v="1"/>
  </r>
  <r>
    <x v="59"/>
    <x v="80"/>
    <x v="1"/>
    <x v="999"/>
    <x v="79"/>
    <x v="0"/>
    <x v="4"/>
    <x v="3"/>
    <x v="1"/>
    <x v="0"/>
    <x v="59"/>
    <x v="1508"/>
    <x v="5"/>
    <x v="1"/>
  </r>
  <r>
    <x v="0"/>
    <x v="19"/>
    <x v="27"/>
    <x v="6"/>
    <x v="19"/>
    <x v="0"/>
    <x v="4"/>
    <x v="3"/>
    <x v="1"/>
    <x v="1"/>
    <x v="0"/>
    <x v="1509"/>
    <x v="5"/>
    <x v="1"/>
  </r>
  <r>
    <x v="35"/>
    <x v="59"/>
    <x v="26"/>
    <x v="668"/>
    <x v="58"/>
    <x v="0"/>
    <x v="4"/>
    <x v="3"/>
    <x v="1"/>
    <x v="0"/>
    <x v="35"/>
    <x v="1510"/>
    <x v="5"/>
    <x v="1"/>
  </r>
  <r>
    <x v="91"/>
    <x v="304"/>
    <x v="4"/>
    <x v="989"/>
    <x v="195"/>
    <x v="0"/>
    <x v="4"/>
    <x v="3"/>
    <x v="1"/>
    <x v="0"/>
    <x v="91"/>
    <x v="1511"/>
    <x v="6"/>
    <x v="1"/>
  </r>
  <r>
    <x v="20"/>
    <x v="21"/>
    <x v="10"/>
    <x v="445"/>
    <x v="21"/>
    <x v="0"/>
    <x v="4"/>
    <x v="3"/>
    <x v="1"/>
    <x v="0"/>
    <x v="20"/>
    <x v="1512"/>
    <x v="6"/>
    <x v="1"/>
  </r>
  <r>
    <x v="60"/>
    <x v="85"/>
    <x v="32"/>
    <x v="260"/>
    <x v="84"/>
    <x v="0"/>
    <x v="4"/>
    <x v="0"/>
    <x v="2"/>
    <x v="0"/>
    <x v="60"/>
    <x v="1513"/>
    <x v="7"/>
    <x v="2"/>
  </r>
  <r>
    <x v="23"/>
    <x v="233"/>
    <x v="24"/>
    <x v="1000"/>
    <x v="196"/>
    <x v="5"/>
    <x v="4"/>
    <x v="0"/>
    <x v="2"/>
    <x v="1"/>
    <x v="23"/>
    <x v="1514"/>
    <x v="11"/>
    <x v="2"/>
  </r>
  <r>
    <x v="1"/>
    <x v="234"/>
    <x v="1"/>
    <x v="1001"/>
    <x v="197"/>
    <x v="0"/>
    <x v="4"/>
    <x v="0"/>
    <x v="2"/>
    <x v="0"/>
    <x v="1"/>
    <x v="1515"/>
    <x v="11"/>
    <x v="2"/>
  </r>
  <r>
    <x v="61"/>
    <x v="88"/>
    <x v="14"/>
    <x v="1002"/>
    <x v="87"/>
    <x v="0"/>
    <x v="4"/>
    <x v="1"/>
    <x v="2"/>
    <x v="0"/>
    <x v="61"/>
    <x v="1516"/>
    <x v="8"/>
    <x v="2"/>
  </r>
  <r>
    <x v="87"/>
    <x v="279"/>
    <x v="13"/>
    <x v="994"/>
    <x v="234"/>
    <x v="1"/>
    <x v="4"/>
    <x v="1"/>
    <x v="2"/>
    <x v="0"/>
    <x v="87"/>
    <x v="1517"/>
    <x v="1"/>
    <x v="2"/>
  </r>
  <r>
    <x v="48"/>
    <x v="63"/>
    <x v="32"/>
    <x v="1003"/>
    <x v="62"/>
    <x v="0"/>
    <x v="5"/>
    <x v="0"/>
    <x v="0"/>
    <x v="0"/>
    <x v="48"/>
    <x v="1518"/>
    <x v="0"/>
    <x v="0"/>
  </r>
  <r>
    <x v="26"/>
    <x v="123"/>
    <x v="24"/>
    <x v="1004"/>
    <x v="117"/>
    <x v="0"/>
    <x v="5"/>
    <x v="1"/>
    <x v="0"/>
    <x v="0"/>
    <x v="26"/>
    <x v="1519"/>
    <x v="8"/>
    <x v="0"/>
  </r>
  <r>
    <x v="49"/>
    <x v="65"/>
    <x v="22"/>
    <x v="260"/>
    <x v="64"/>
    <x v="0"/>
    <x v="5"/>
    <x v="1"/>
    <x v="0"/>
    <x v="0"/>
    <x v="49"/>
    <x v="1520"/>
    <x v="9"/>
    <x v="0"/>
  </r>
  <r>
    <x v="39"/>
    <x v="125"/>
    <x v="25"/>
    <x v="1005"/>
    <x v="119"/>
    <x v="0"/>
    <x v="5"/>
    <x v="2"/>
    <x v="0"/>
    <x v="0"/>
    <x v="39"/>
    <x v="1521"/>
    <x v="3"/>
    <x v="0"/>
  </r>
  <r>
    <x v="23"/>
    <x v="126"/>
    <x v="24"/>
    <x v="777"/>
    <x v="120"/>
    <x v="0"/>
    <x v="5"/>
    <x v="2"/>
    <x v="0"/>
    <x v="1"/>
    <x v="23"/>
    <x v="1522"/>
    <x v="10"/>
    <x v="0"/>
  </r>
  <r>
    <x v="37"/>
    <x v="68"/>
    <x v="19"/>
    <x v="1006"/>
    <x v="67"/>
    <x v="3"/>
    <x v="5"/>
    <x v="3"/>
    <x v="0"/>
    <x v="0"/>
    <x v="37"/>
    <x v="1523"/>
    <x v="4"/>
    <x v="0"/>
  </r>
  <r>
    <x v="76"/>
    <x v="263"/>
    <x v="23"/>
    <x v="1007"/>
    <x v="219"/>
    <x v="0"/>
    <x v="5"/>
    <x v="3"/>
    <x v="0"/>
    <x v="0"/>
    <x v="76"/>
    <x v="1524"/>
    <x v="5"/>
    <x v="0"/>
  </r>
  <r>
    <x v="50"/>
    <x v="129"/>
    <x v="11"/>
    <x v="1008"/>
    <x v="69"/>
    <x v="0"/>
    <x v="5"/>
    <x v="3"/>
    <x v="0"/>
    <x v="0"/>
    <x v="50"/>
    <x v="1525"/>
    <x v="5"/>
    <x v="0"/>
  </r>
  <r>
    <x v="53"/>
    <x v="71"/>
    <x v="13"/>
    <x v="1007"/>
    <x v="70"/>
    <x v="0"/>
    <x v="5"/>
    <x v="3"/>
    <x v="0"/>
    <x v="0"/>
    <x v="53"/>
    <x v="1526"/>
    <x v="5"/>
    <x v="0"/>
  </r>
  <r>
    <x v="30"/>
    <x v="131"/>
    <x v="13"/>
    <x v="1009"/>
    <x v="122"/>
    <x v="0"/>
    <x v="5"/>
    <x v="0"/>
    <x v="1"/>
    <x v="0"/>
    <x v="30"/>
    <x v="1527"/>
    <x v="7"/>
    <x v="1"/>
  </r>
  <r>
    <x v="55"/>
    <x v="73"/>
    <x v="5"/>
    <x v="730"/>
    <x v="72"/>
    <x v="0"/>
    <x v="5"/>
    <x v="0"/>
    <x v="1"/>
    <x v="0"/>
    <x v="55"/>
    <x v="1528"/>
    <x v="0"/>
    <x v="1"/>
  </r>
  <r>
    <x v="59"/>
    <x v="265"/>
    <x v="16"/>
    <x v="1010"/>
    <x v="221"/>
    <x v="0"/>
    <x v="5"/>
    <x v="0"/>
    <x v="1"/>
    <x v="0"/>
    <x v="59"/>
    <x v="1529"/>
    <x v="11"/>
    <x v="1"/>
  </r>
  <r>
    <x v="0"/>
    <x v="74"/>
    <x v="10"/>
    <x v="622"/>
    <x v="73"/>
    <x v="3"/>
    <x v="5"/>
    <x v="1"/>
    <x v="1"/>
    <x v="0"/>
    <x v="0"/>
    <x v="888"/>
    <x v="1"/>
    <x v="1"/>
  </r>
  <r>
    <x v="43"/>
    <x v="75"/>
    <x v="6"/>
    <x v="1011"/>
    <x v="74"/>
    <x v="0"/>
    <x v="5"/>
    <x v="1"/>
    <x v="1"/>
    <x v="0"/>
    <x v="43"/>
    <x v="1530"/>
    <x v="9"/>
    <x v="1"/>
  </r>
  <r>
    <x v="56"/>
    <x v="76"/>
    <x v="9"/>
    <x v="258"/>
    <x v="75"/>
    <x v="0"/>
    <x v="5"/>
    <x v="2"/>
    <x v="1"/>
    <x v="0"/>
    <x v="56"/>
    <x v="1531"/>
    <x v="2"/>
    <x v="1"/>
  </r>
  <r>
    <x v="57"/>
    <x v="77"/>
    <x v="29"/>
    <x v="435"/>
    <x v="76"/>
    <x v="0"/>
    <x v="5"/>
    <x v="2"/>
    <x v="1"/>
    <x v="0"/>
    <x v="57"/>
    <x v="1532"/>
    <x v="3"/>
    <x v="1"/>
  </r>
  <r>
    <x v="36"/>
    <x v="137"/>
    <x v="22"/>
    <x v="777"/>
    <x v="127"/>
    <x v="0"/>
    <x v="5"/>
    <x v="2"/>
    <x v="1"/>
    <x v="0"/>
    <x v="36"/>
    <x v="1533"/>
    <x v="10"/>
    <x v="1"/>
  </r>
  <r>
    <x v="77"/>
    <x v="138"/>
    <x v="21"/>
    <x v="1012"/>
    <x v="78"/>
    <x v="0"/>
    <x v="5"/>
    <x v="3"/>
    <x v="1"/>
    <x v="0"/>
    <x v="77"/>
    <x v="1534"/>
    <x v="4"/>
    <x v="1"/>
  </r>
  <r>
    <x v="14"/>
    <x v="282"/>
    <x v="23"/>
    <x v="1013"/>
    <x v="237"/>
    <x v="0"/>
    <x v="5"/>
    <x v="3"/>
    <x v="1"/>
    <x v="0"/>
    <x v="14"/>
    <x v="1535"/>
    <x v="4"/>
    <x v="1"/>
  </r>
  <r>
    <x v="48"/>
    <x v="230"/>
    <x v="9"/>
    <x v="261"/>
    <x v="193"/>
    <x v="5"/>
    <x v="5"/>
    <x v="3"/>
    <x v="1"/>
    <x v="1"/>
    <x v="48"/>
    <x v="1536"/>
    <x v="5"/>
    <x v="1"/>
  </r>
  <r>
    <x v="27"/>
    <x v="82"/>
    <x v="13"/>
    <x v="1014"/>
    <x v="81"/>
    <x v="0"/>
    <x v="5"/>
    <x v="3"/>
    <x v="1"/>
    <x v="1"/>
    <x v="27"/>
    <x v="1537"/>
    <x v="5"/>
    <x v="1"/>
  </r>
  <r>
    <x v="23"/>
    <x v="83"/>
    <x v="14"/>
    <x v="4"/>
    <x v="82"/>
    <x v="0"/>
    <x v="5"/>
    <x v="3"/>
    <x v="1"/>
    <x v="0"/>
    <x v="23"/>
    <x v="41"/>
    <x v="6"/>
    <x v="1"/>
  </r>
  <r>
    <x v="60"/>
    <x v="85"/>
    <x v="6"/>
    <x v="4"/>
    <x v="84"/>
    <x v="0"/>
    <x v="5"/>
    <x v="0"/>
    <x v="2"/>
    <x v="1"/>
    <x v="60"/>
    <x v="24"/>
    <x v="7"/>
    <x v="2"/>
  </r>
  <r>
    <x v="23"/>
    <x v="233"/>
    <x v="30"/>
    <x v="4"/>
    <x v="196"/>
    <x v="5"/>
    <x v="5"/>
    <x v="0"/>
    <x v="2"/>
    <x v="1"/>
    <x v="23"/>
    <x v="49"/>
    <x v="11"/>
    <x v="2"/>
  </r>
  <r>
    <x v="51"/>
    <x v="303"/>
    <x v="1"/>
    <x v="1015"/>
    <x v="250"/>
    <x v="0"/>
    <x v="5"/>
    <x v="0"/>
    <x v="2"/>
    <x v="0"/>
    <x v="51"/>
    <x v="1538"/>
    <x v="11"/>
    <x v="2"/>
  </r>
  <r>
    <x v="58"/>
    <x v="89"/>
    <x v="20"/>
    <x v="622"/>
    <x v="88"/>
    <x v="4"/>
    <x v="5"/>
    <x v="1"/>
    <x v="2"/>
    <x v="1"/>
    <x v="58"/>
    <x v="948"/>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1" firstHeaderRow="1" firstDataRow="1" firstDataCol="1"/>
  <pivotFields count="14">
    <pivotField compact="0" showAll="0">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pivotField>
    <pivotField compact="0" numFmtId="178" showAll="0">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compact="0" numFmtId="178"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compact="0" numFmtId="8" showAll="0">
      <items count="1017">
        <item x="466"/>
        <item x="453"/>
        <item x="539"/>
        <item x="460"/>
        <item x="456"/>
        <item x="459"/>
        <item x="540"/>
        <item x="244"/>
        <item x="533"/>
        <item x="462"/>
        <item x="500"/>
        <item x="572"/>
        <item x="538"/>
        <item x="449"/>
        <item x="546"/>
        <item x="454"/>
        <item x="537"/>
        <item x="499"/>
        <item x="571"/>
        <item x="139"/>
        <item x="765"/>
        <item x="541"/>
        <item x="762"/>
        <item x="452"/>
        <item x="585"/>
        <item x="543"/>
        <item x="458"/>
        <item x="583"/>
        <item x="695"/>
        <item x="698"/>
        <item x="10"/>
        <item x="463"/>
        <item x="704"/>
        <item x="837"/>
        <item x="759"/>
        <item x="576"/>
        <item x="450"/>
        <item x="70"/>
        <item x="758"/>
        <item x="573"/>
        <item x="542"/>
        <item x="93"/>
        <item x="438"/>
        <item x="464"/>
        <item x="164"/>
        <item x="766"/>
        <item x="578"/>
        <item x="832"/>
        <item x="489"/>
        <item x="455"/>
        <item x="700"/>
        <item x="575"/>
        <item x="547"/>
        <item x="457"/>
        <item x="655"/>
        <item x="706"/>
        <item x="163"/>
        <item x="531"/>
        <item x="497"/>
        <item x="451"/>
        <item x="838"/>
        <item x="491"/>
        <item x="461"/>
        <item x="534"/>
        <item x="767"/>
        <item x="835"/>
        <item x="183"/>
        <item x="587"/>
        <item x="581"/>
        <item x="549"/>
        <item x="696"/>
        <item x="496"/>
        <item x="763"/>
        <item x="532"/>
        <item x="582"/>
        <item x="270"/>
        <item x="760"/>
        <item x="830"/>
        <item x="703"/>
        <item x="1001"/>
        <item x="757"/>
        <item x="81"/>
        <item x="536"/>
        <item x="580"/>
        <item x="702"/>
        <item x="545"/>
        <item x="833"/>
        <item x="697"/>
        <item x="488"/>
        <item x="630"/>
        <item x="448"/>
        <item x="544"/>
        <item x="701"/>
        <item x="584"/>
        <item x="586"/>
        <item x="436"/>
        <item x="535"/>
        <item x="117"/>
        <item x="574"/>
        <item x="368"/>
        <item x="141"/>
        <item x="99"/>
        <item x="367"/>
        <item x="776"/>
        <item x="577"/>
        <item x="755"/>
        <item x="708"/>
        <item x="841"/>
        <item x="1004"/>
        <item x="999"/>
        <item x="781"/>
        <item x="699"/>
        <item x="102"/>
        <item x="1005"/>
        <item x="486"/>
        <item x="16"/>
        <item x="579"/>
        <item x="756"/>
        <item x="992"/>
        <item x="369"/>
        <item x="997"/>
        <item x="226"/>
        <item x="371"/>
        <item x="839"/>
        <item x="784"/>
        <item x="761"/>
        <item x="993"/>
        <item x="494"/>
        <item x="258"/>
        <item x="772"/>
        <item x="836"/>
        <item x="782"/>
        <item x="416"/>
        <item x="25"/>
        <item x="269"/>
        <item x="215"/>
        <item x="364"/>
        <item x="422"/>
        <item x="495"/>
        <item x="842"/>
        <item x="769"/>
        <item x="492"/>
        <item x="20"/>
        <item x="990"/>
        <item x="764"/>
        <item x="434"/>
        <item x="493"/>
        <item x="840"/>
        <item x="208"/>
        <item x="106"/>
        <item x="1006"/>
        <item x="182"/>
        <item x="780"/>
        <item x="624"/>
        <item x="156"/>
        <item x="97"/>
        <item x="991"/>
        <item x="848"/>
        <item x="176"/>
        <item x="487"/>
        <item x="159"/>
        <item x="82"/>
        <item x="198"/>
        <item x="1010"/>
        <item x="794"/>
        <item x="316"/>
        <item x="849"/>
        <item x="365"/>
        <item x="231"/>
        <item x="96"/>
        <item x="94"/>
        <item x="831"/>
        <item x="618"/>
        <item x="1007"/>
        <item x="144"/>
        <item x="425"/>
        <item x="716"/>
        <item x="711"/>
        <item x="484"/>
        <item x="317"/>
        <item x="242"/>
        <item x="490"/>
        <item x="446"/>
        <item x="1011"/>
        <item x="153"/>
        <item x="789"/>
        <item x="15"/>
        <item x="101"/>
        <item x="435"/>
        <item x="199"/>
        <item x="107"/>
        <item x="374"/>
        <item x="235"/>
        <item x="834"/>
        <item x="771"/>
        <item x="209"/>
        <item x="855"/>
        <item x="323"/>
        <item x="218"/>
        <item x="33"/>
        <item x="417"/>
        <item x="989"/>
        <item x="626"/>
        <item x="213"/>
        <item x="210"/>
        <item x="792"/>
        <item x="114"/>
        <item x="324"/>
        <item x="179"/>
        <item x="420"/>
        <item x="678"/>
        <item x="212"/>
        <item x="847"/>
        <item x="370"/>
        <item x="104"/>
        <item x="790"/>
        <item x="330"/>
        <item x="178"/>
        <item x="998"/>
        <item x="233"/>
        <item x="418"/>
        <item x="485"/>
        <item x="366"/>
        <item x="145"/>
        <item x="642"/>
        <item x="873"/>
        <item x="166"/>
        <item x="779"/>
        <item x="38"/>
        <item x="103"/>
        <item x="120"/>
        <item x="22"/>
        <item x="325"/>
        <item x="941"/>
        <item x="802"/>
        <item x="98"/>
        <item x="857"/>
        <item x="778"/>
        <item x="39"/>
        <item x="409"/>
        <item x="987"/>
        <item x="1013"/>
        <item x="205"/>
        <item x="770"/>
        <item x="634"/>
        <item x="327"/>
        <item x="566"/>
        <item x="109"/>
        <item x="514"/>
        <item x="1002"/>
        <item x="811"/>
        <item x="116"/>
        <item x="791"/>
        <item x="686"/>
        <item x="1003"/>
        <item x="856"/>
        <item x="405"/>
        <item x="275"/>
        <item x="158"/>
        <item x="629"/>
        <item x="815"/>
        <item x="995"/>
        <item x="326"/>
        <item x="32"/>
        <item x="602"/>
        <item x="850"/>
        <item x="227"/>
        <item x="148"/>
        <item x="363"/>
        <item x="119"/>
        <item x="994"/>
        <item x="108"/>
        <item x="177"/>
        <item x="927"/>
        <item x="985"/>
        <item x="783"/>
        <item x="239"/>
        <item x="196"/>
        <item x="376"/>
        <item x="100"/>
        <item x="373"/>
        <item x="68"/>
        <item x="322"/>
        <item x="933"/>
        <item x="361"/>
        <item x="996"/>
        <item x="237"/>
        <item x="206"/>
        <item x="628"/>
        <item x="804"/>
        <item x="501"/>
        <item x="564"/>
        <item x="111"/>
        <item x="328"/>
        <item x="297"/>
        <item x="818"/>
        <item x="632"/>
        <item x="974"/>
        <item x="150"/>
        <item x="675"/>
        <item x="433"/>
        <item x="1012"/>
        <item x="406"/>
        <item x="175"/>
        <item x="512"/>
        <item x="551"/>
        <item x="796"/>
        <item x="372"/>
        <item x="246"/>
        <item x="871"/>
        <item x="623"/>
        <item x="687"/>
        <item x="777"/>
        <item x="414"/>
        <item x="171"/>
        <item x="391"/>
        <item x="798"/>
        <item x="299"/>
        <item x="676"/>
        <item x="407"/>
        <item x="335"/>
        <item x="889"/>
        <item x="204"/>
        <item x="385"/>
        <item x="785"/>
        <item x="411"/>
        <item x="423"/>
        <item x="728"/>
        <item x="793"/>
        <item x="503"/>
        <item x="552"/>
        <item x="149"/>
        <item x="200"/>
        <item x="180"/>
        <item x="821"/>
        <item x="518"/>
        <item x="377"/>
        <item x="174"/>
        <item x="807"/>
        <item x="689"/>
        <item x="973"/>
        <item x="858"/>
        <item x="273"/>
        <item x="502"/>
        <item x="567"/>
        <item x="473"/>
        <item x="155"/>
        <item x="197"/>
        <item x="419"/>
        <item x="23"/>
        <item x="877"/>
        <item x="805"/>
        <item x="46"/>
        <item x="211"/>
        <item x="980"/>
        <item x="1015"/>
        <item x="725"/>
        <item x="146"/>
        <item x="625"/>
        <item x="476"/>
        <item x="396"/>
        <item x="875"/>
        <item x="801"/>
        <item x="344"/>
        <item x="775"/>
        <item x="152"/>
        <item x="617"/>
        <item x="240"/>
        <item x="635"/>
        <item x="125"/>
        <item x="36"/>
        <item x="480"/>
        <item x="774"/>
        <item x="730"/>
        <item x="808"/>
        <item x="45"/>
        <item x="388"/>
        <item x="160"/>
        <item x="207"/>
        <item x="105"/>
        <item x="978"/>
        <item x="238"/>
        <item x="508"/>
        <item x="647"/>
        <item x="49"/>
        <item x="773"/>
        <item x="1009"/>
        <item x="752"/>
        <item x="823"/>
        <item x="31"/>
        <item x="69"/>
        <item x="201"/>
        <item x="228"/>
        <item x="982"/>
        <item x="1008"/>
        <item x="852"/>
        <item x="795"/>
        <item x="53"/>
        <item x="319"/>
        <item x="408"/>
        <item x="130"/>
        <item x="140"/>
        <item x="74"/>
        <item x="203"/>
        <item x="679"/>
        <item x="217"/>
        <item x="19"/>
        <item x="243"/>
        <item x="260"/>
        <item x="168"/>
        <item x="560"/>
        <item x="510"/>
        <item x="519"/>
        <item x="412"/>
        <item x="878"/>
        <item x="202"/>
        <item x="136"/>
        <item x="479"/>
        <item x="622"/>
        <item x="955"/>
        <item x="853"/>
        <item x="24"/>
        <item x="923"/>
        <item x="509"/>
        <item x="786"/>
        <item x="646"/>
        <item x="819"/>
        <item x="619"/>
        <item x="401"/>
        <item x="682"/>
        <item x="734"/>
        <item x="415"/>
        <item x="513"/>
        <item x="935"/>
        <item x="71"/>
        <item x="881"/>
        <item x="864"/>
        <item x="946"/>
        <item x="298"/>
        <item x="851"/>
        <item x="129"/>
        <item x="468"/>
        <item x="733"/>
        <item x="318"/>
        <item x="949"/>
        <item x="826"/>
        <item x="236"/>
        <item x="797"/>
        <item x="137"/>
        <item x="315"/>
        <item x="143"/>
        <item x="557"/>
        <item x="64"/>
        <item x="312"/>
        <item x="662"/>
        <item x="627"/>
        <item x="234"/>
        <item x="984"/>
        <item x="694"/>
        <item x="866"/>
        <item x="284"/>
        <item x="645"/>
        <item x="320"/>
        <item x="613"/>
        <item x="800"/>
        <item x="854"/>
        <item x="470"/>
        <item x="620"/>
        <item x="167"/>
        <item x="241"/>
        <item x="413"/>
        <item x="944"/>
        <item x="14"/>
        <item x="637"/>
        <item x="34"/>
        <item x="421"/>
        <item x="556"/>
        <item x="186"/>
        <item x="169"/>
        <item x="474"/>
        <item x="410"/>
        <item x="61"/>
        <item x="685"/>
        <item x="147"/>
        <item x="329"/>
        <item x="640"/>
        <item x="621"/>
        <item x="395"/>
        <item x="381"/>
        <item x="554"/>
        <item x="173"/>
        <item x="232"/>
        <item x="478"/>
        <item x="925"/>
        <item x="892"/>
        <item x="349"/>
        <item x="65"/>
        <item x="680"/>
        <item x="903"/>
        <item x="735"/>
        <item x="639"/>
        <item x="565"/>
        <item x="172"/>
        <item x="404"/>
        <item x="465"/>
        <item x="245"/>
        <item x="517"/>
        <item x="870"/>
        <item x="289"/>
        <item x="868"/>
        <item x="597"/>
        <item x="314"/>
        <item x="787"/>
        <item x="195"/>
        <item x="188"/>
        <item x="721"/>
        <item x="829"/>
        <item x="612"/>
        <item x="981"/>
        <item x="357"/>
        <item x="170"/>
        <item x="731"/>
        <item x="230"/>
        <item x="562"/>
        <item x="876"/>
        <item x="846"/>
        <item x="151"/>
        <item x="26"/>
        <item x="862"/>
        <item x="690"/>
        <item x="638"/>
        <item x="447"/>
        <item x="810"/>
        <item x="185"/>
        <item x="900"/>
        <item x="483"/>
        <item x="380"/>
        <item x="402"/>
        <item x="506"/>
        <item x="664"/>
        <item x="814"/>
        <item x="263"/>
        <item x="641"/>
        <item x="44"/>
        <item x="112"/>
        <item x="945"/>
        <item x="726"/>
        <item x="9"/>
        <item x="588"/>
        <item x="553"/>
        <item x="154"/>
        <item x="387"/>
        <item x="321"/>
        <item x="392"/>
        <item x="609"/>
        <item x="813"/>
        <item x="671"/>
        <item x="631"/>
        <item x="692"/>
        <item x="684"/>
        <item x="806"/>
        <item x="310"/>
        <item x="251"/>
        <item x="285"/>
        <item x="693"/>
        <item x="386"/>
        <item x="51"/>
        <item x="521"/>
        <item x="817"/>
        <item x="604"/>
        <item x="636"/>
        <item x="812"/>
        <item x="229"/>
        <item x="351"/>
        <item x="472"/>
        <item x="126"/>
        <item x="255"/>
        <item x="561"/>
        <item x="979"/>
        <item x="121"/>
        <item x="505"/>
        <item x="57"/>
        <item x="394"/>
        <item x="594"/>
        <item x="947"/>
        <item x="929"/>
        <item x="614"/>
        <item x="522"/>
        <item x="788"/>
        <item x="352"/>
        <item x="722"/>
        <item x="874"/>
        <item x="550"/>
        <item x="132"/>
        <item x="194"/>
        <item x="249"/>
        <item x="859"/>
        <item x="400"/>
        <item x="803"/>
        <item x="50"/>
        <item x="688"/>
        <item x="934"/>
        <item x="737"/>
        <item x="75"/>
        <item x="872"/>
        <item x="724"/>
        <item x="563"/>
        <item x="469"/>
        <item x="339"/>
        <item x="21"/>
        <item x="356"/>
        <item x="511"/>
        <item x="986"/>
        <item x="384"/>
        <item x="799"/>
        <item x="393"/>
        <item x="932"/>
        <item x="29"/>
        <item x="190"/>
        <item x="507"/>
        <item x="902"/>
        <item x="977"/>
        <item x="382"/>
        <item x="668"/>
        <item x="11"/>
        <item x="293"/>
        <item x="398"/>
        <item x="59"/>
        <item x="926"/>
        <item x="17"/>
        <item x="189"/>
        <item x="643"/>
        <item x="606"/>
        <item x="683"/>
        <item x="672"/>
        <item x="353"/>
        <item x="865"/>
        <item x="880"/>
        <item x="56"/>
        <item x="718"/>
        <item x="809"/>
        <item x="633"/>
        <item x="882"/>
        <item x="820"/>
        <item x="691"/>
        <item x="390"/>
        <item x="660"/>
        <item x="286"/>
        <item x="216"/>
        <item x="520"/>
        <item x="720"/>
        <item x="135"/>
        <item x="884"/>
        <item x="879"/>
        <item x="928"/>
        <item x="295"/>
        <item x="715"/>
        <item x="37"/>
        <item x="616"/>
        <item x="822"/>
        <item x="250"/>
        <item x="138"/>
        <item x="123"/>
        <item x="304"/>
        <item x="965"/>
        <item x="610"/>
        <item x="27"/>
        <item x="593"/>
        <item x="658"/>
        <item x="893"/>
        <item x="824"/>
        <item x="375"/>
        <item x="751"/>
        <item x="527"/>
        <item x="477"/>
        <item x="961"/>
        <item x="399"/>
        <item x="504"/>
        <item x="296"/>
        <item x="661"/>
        <item x="379"/>
        <item x="863"/>
        <item x="279"/>
        <item x="951"/>
        <item x="555"/>
        <item x="528"/>
        <item x="744"/>
        <item x="939"/>
        <item x="930"/>
        <item x="342"/>
        <item x="516"/>
        <item x="723"/>
        <item x="753"/>
        <item x="288"/>
        <item x="378"/>
        <item x="607"/>
        <item x="1"/>
        <item x="861"/>
        <item x="52"/>
        <item x="970"/>
        <item x="559"/>
        <item x="63"/>
        <item x="252"/>
        <item x="515"/>
        <item x="816"/>
        <item x="890"/>
        <item x="681"/>
        <item x="343"/>
        <item x="936"/>
        <item x="953"/>
        <item x="558"/>
        <item x="825"/>
        <item x="397"/>
        <item x="300"/>
        <item x="122"/>
        <item x="931"/>
        <item x="742"/>
        <item x="968"/>
        <item x="768"/>
        <item x="346"/>
        <item x="259"/>
        <item x="843"/>
        <item x="916"/>
        <item x="193"/>
        <item x="290"/>
        <item x="746"/>
        <item x="976"/>
        <item x="548"/>
        <item x="54"/>
        <item x="670"/>
        <item x="467"/>
        <item x="605"/>
        <item x="219"/>
        <item x="883"/>
        <item x="595"/>
        <item x="3"/>
        <item x="736"/>
        <item x="727"/>
        <item x="350"/>
        <item x="383"/>
        <item x="963"/>
        <item x="247"/>
        <item x="523"/>
        <item x="41"/>
        <item x="60"/>
        <item x="921"/>
        <item x="663"/>
        <item x="131"/>
        <item x="895"/>
        <item x="886"/>
        <item x="600"/>
        <item x="157"/>
        <item x="256"/>
        <item x="306"/>
        <item x="431"/>
        <item x="913"/>
        <item x="333"/>
        <item x="282"/>
        <item x="615"/>
        <item x="719"/>
        <item x="267"/>
        <item x="313"/>
        <item x="599"/>
        <item x="83"/>
        <item x="975"/>
        <item x="389"/>
        <item x="924"/>
        <item x="187"/>
        <item x="28"/>
        <item x="964"/>
        <item x="128"/>
        <item x="717"/>
        <item x="498"/>
        <item x="665"/>
        <item x="338"/>
        <item x="740"/>
        <item x="745"/>
        <item x="332"/>
        <item x="914"/>
        <item x="601"/>
        <item x="268"/>
        <item x="937"/>
        <item x="905"/>
        <item x="359"/>
        <item x="287"/>
        <item x="6"/>
        <item x="959"/>
        <item x="192"/>
        <item x="91"/>
        <item x="303"/>
        <item x="666"/>
        <item x="948"/>
        <item x="336"/>
        <item x="899"/>
        <item x="983"/>
        <item x="713"/>
        <item x="530"/>
        <item x="652"/>
        <item x="261"/>
        <item x="922"/>
        <item x="18"/>
        <item x="334"/>
        <item x="481"/>
        <item x="294"/>
        <item x="360"/>
        <item x="272"/>
        <item x="938"/>
        <item x="85"/>
        <item x="225"/>
        <item x="1000"/>
        <item x="952"/>
        <item x="669"/>
        <item x="526"/>
        <item x="305"/>
        <item x="732"/>
        <item x="89"/>
        <item x="988"/>
        <item x="403"/>
        <item x="896"/>
        <item x="441"/>
        <item x="475"/>
        <item x="589"/>
        <item x="747"/>
        <item x="891"/>
        <item x="253"/>
        <item x="917"/>
        <item x="354"/>
        <item x="430"/>
        <item x="915"/>
        <item x="650"/>
        <item x="437"/>
        <item x="142"/>
        <item x="738"/>
        <item x="223"/>
        <item x="957"/>
        <item x="897"/>
        <item x="76"/>
        <item x="124"/>
        <item x="888"/>
        <item x="439"/>
        <item x="869"/>
        <item x="909"/>
        <item x="278"/>
        <item x="919"/>
        <item x="266"/>
        <item x="331"/>
        <item x="221"/>
        <item x="337"/>
        <item x="307"/>
        <item x="48"/>
        <item x="596"/>
        <item x="248"/>
        <item x="867"/>
        <item x="887"/>
        <item x="355"/>
        <item x="667"/>
        <item x="283"/>
        <item x="827"/>
        <item x="110"/>
        <item x="729"/>
        <item x="654"/>
        <item x="265"/>
        <item x="960"/>
        <item x="428"/>
        <item x="58"/>
        <item x="341"/>
        <item x="969"/>
        <item x="184"/>
        <item x="358"/>
        <item x="908"/>
        <item x="659"/>
        <item x="920"/>
        <item x="127"/>
        <item x="649"/>
        <item x="956"/>
        <item x="592"/>
        <item x="220"/>
        <item x="309"/>
        <item x="429"/>
        <item x="885"/>
        <item x="971"/>
        <item x="471"/>
        <item x="673"/>
        <item x="906"/>
        <item x="88"/>
        <item x="714"/>
        <item x="134"/>
        <item x="280"/>
        <item x="901"/>
        <item x="950"/>
        <item x="962"/>
        <item x="651"/>
        <item x="348"/>
        <item x="674"/>
        <item x="133"/>
        <item x="55"/>
        <item x="8"/>
        <item x="748"/>
        <item x="598"/>
        <item x="345"/>
        <item x="262"/>
        <item x="281"/>
        <item x="95"/>
        <item x="222"/>
        <item x="912"/>
        <item x="73"/>
        <item x="78"/>
        <item x="966"/>
        <item x="274"/>
        <item x="427"/>
        <item x="62"/>
        <item x="529"/>
        <item x="86"/>
        <item x="749"/>
        <item x="712"/>
        <item x="568"/>
        <item x="440"/>
        <item x="904"/>
        <item x="608"/>
        <item x="271"/>
        <item x="301"/>
        <item x="954"/>
        <item x="898"/>
        <item x="482"/>
        <item x="525"/>
        <item x="677"/>
        <item x="254"/>
        <item x="590"/>
        <item x="2"/>
        <item x="214"/>
        <item x="291"/>
        <item x="754"/>
        <item x="844"/>
        <item x="707"/>
        <item x="92"/>
        <item x="445"/>
        <item x="302"/>
        <item x="967"/>
        <item x="47"/>
        <item x="741"/>
        <item x="972"/>
        <item x="90"/>
        <item x="292"/>
        <item x="0"/>
        <item x="276"/>
        <item x="656"/>
        <item x="42"/>
        <item x="910"/>
        <item x="860"/>
        <item x="943"/>
        <item x="958"/>
        <item x="308"/>
        <item x="224"/>
        <item x="443"/>
        <item x="570"/>
        <item x="743"/>
        <item x="524"/>
        <item x="13"/>
        <item x="653"/>
        <item x="311"/>
        <item x="5"/>
        <item x="43"/>
        <item x="611"/>
        <item x="79"/>
        <item x="181"/>
        <item x="432"/>
        <item x="709"/>
        <item x="894"/>
        <item x="739"/>
        <item x="1014"/>
        <item x="67"/>
        <item x="424"/>
        <item x="444"/>
        <item x="264"/>
        <item x="347"/>
        <item x="705"/>
        <item x="340"/>
        <item x="84"/>
        <item x="911"/>
        <item x="277"/>
        <item x="603"/>
        <item x="72"/>
        <item x="828"/>
        <item x="80"/>
        <item x="426"/>
        <item x="257"/>
        <item x="161"/>
        <item x="591"/>
        <item x="845"/>
        <item x="442"/>
        <item x="648"/>
        <item x="7"/>
        <item x="113"/>
        <item x="569"/>
        <item x="191"/>
        <item x="750"/>
        <item x="165"/>
        <item x="30"/>
        <item x="940"/>
        <item x="77"/>
        <item x="35"/>
        <item x="362"/>
        <item x="710"/>
        <item x="162"/>
        <item x="118"/>
        <item x="66"/>
        <item x="115"/>
        <item x="907"/>
        <item x="657"/>
        <item x="87"/>
        <item x="942"/>
        <item x="644"/>
        <item x="918"/>
        <item x="40"/>
        <item x="12"/>
        <item x="4"/>
        <item t="default"/>
      </items>
    </pivotField>
    <pivotField compact="0" numFmtId="179"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compact="0" showAll="0">
      <items count="7">
        <item x="3"/>
        <item x="1"/>
        <item x="2"/>
        <item x="4"/>
        <item x="5"/>
        <item x="0"/>
        <item t="default"/>
      </items>
    </pivotField>
    <pivotField axis="axisRow" compact="0" sortType="descending" showAll="0">
      <items count="8">
        <item x="3"/>
        <item x="2"/>
        <item x="6"/>
        <item x="5"/>
        <item x="4"/>
        <item x="0"/>
        <item x="1"/>
        <item t="default"/>
      </items>
      <autoSortScope>
        <pivotArea fieldPosition="0">
          <references count="1">
            <reference field="4294967294" count="1" selected="0">
              <x v="0"/>
            </reference>
          </references>
        </pivotArea>
      </autoSortScope>
    </pivotField>
    <pivotField compact="0" numFmtId="178" showAll="0">
      <items count="5">
        <item x="0"/>
        <item x="1"/>
        <item x="2"/>
        <item x="3"/>
        <item t="default"/>
      </items>
    </pivotField>
    <pivotField compact="0" multipleItemSelectionAllowed="1" showAll="0">
      <items count="4">
        <item x="0"/>
        <item x="1"/>
        <item x="2"/>
        <item t="default"/>
      </items>
    </pivotField>
    <pivotField compact="0" showAll="0">
      <items count="4">
        <item x="2"/>
        <item x="1"/>
        <item x="0"/>
        <item t="default"/>
      </items>
    </pivotField>
    <pivotField compact="0" showAll="0">
      <items count="93">
        <item h="1" x="51"/>
        <item h="1" x="36"/>
        <item h="1" x="42"/>
        <item h="1" x="46"/>
        <item x="87"/>
        <item x="10"/>
        <item x="28"/>
        <item x="38"/>
        <item x="9"/>
        <item x="91"/>
        <item x="77"/>
        <item x="17"/>
        <item x="89"/>
        <item x="72"/>
        <item x="80"/>
        <item x="76"/>
        <item x="33"/>
        <item x="31"/>
        <item x="29"/>
        <item x="27"/>
        <item x="75"/>
        <item h="1" x="55"/>
        <item h="1" x="41"/>
        <item h="1" x="4"/>
        <item h="1" x="25"/>
        <item h="1" x="66"/>
        <item h="1" x="6"/>
        <item h="1" x="48"/>
        <item h="1" x="18"/>
        <item h="1" x="64"/>
        <item h="1" x="52"/>
        <item h="1" x="26"/>
        <item h="1" x="53"/>
        <item h="1" x="23"/>
        <item h="1" x="21"/>
        <item h="1" x="13"/>
        <item h="1" x="88"/>
        <item h="1" x="58"/>
        <item h="1" x="59"/>
        <item h="1" x="65"/>
        <item h="1" x="78"/>
        <item h="1" x="7"/>
        <item h="1" x="81"/>
        <item h="1" x="62"/>
        <item h="1" x="14"/>
        <item h="1" x="0"/>
        <item h="1" x="70"/>
        <item h="1" x="2"/>
        <item h="1" x="67"/>
        <item h="1" x="15"/>
        <item h="1" x="54"/>
        <item h="1" x="79"/>
        <item h="1" x="63"/>
        <item h="1" x="83"/>
        <item h="1" x="47"/>
        <item h="1" x="50"/>
        <item h="1" x="39"/>
        <item h="1" x="8"/>
        <item h="1" x="45"/>
        <item h="1" x="74"/>
        <item h="1" x="85"/>
        <item h="1" x="40"/>
        <item h="1" x="71"/>
        <item h="1" x="44"/>
        <item h="1" x="60"/>
        <item h="1" x="56"/>
        <item h="1" x="43"/>
        <item h="1" x="1"/>
        <item h="1" x="86"/>
        <item h="1" x="57"/>
        <item h="1" x="90"/>
        <item h="1" x="19"/>
        <item h="1" x="30"/>
        <item h="1" x="37"/>
        <item h="1" x="82"/>
        <item h="1" x="84"/>
        <item h="1" x="20"/>
        <item h="1" x="49"/>
        <item h="1" x="73"/>
        <item h="1" x="34"/>
        <item h="1" x="5"/>
        <item h="1" x="12"/>
        <item h="1" x="61"/>
        <item h="1" x="35"/>
        <item h="1" x="68"/>
        <item h="1" x="16"/>
        <item h="1" x="3"/>
        <item h="1" x="22"/>
        <item h="1" x="69"/>
        <item h="1" x="11"/>
        <item h="1" x="24"/>
        <item h="1" x="32"/>
        <item t="default"/>
      </items>
    </pivotField>
    <pivotField dataField="1" compact="0" numFmtId="180" showAll="0">
      <items count="1540">
        <item h="1" x="1144"/>
        <item h="1" x="491"/>
        <item h="1" x="1014"/>
        <item h="1" x="665"/>
        <item h="1" x="245"/>
        <item h="1" x="841"/>
        <item h="1" x="1109"/>
        <item h="1" x="1015"/>
        <item h="1" x="662"/>
        <item h="1" x="667"/>
        <item h="1" x="670"/>
        <item h="1" x="654"/>
        <item h="1" x="820"/>
        <item h="1" x="764"/>
        <item h="1" x="240"/>
        <item h="1" x="19"/>
        <item h="1" x="660"/>
        <item h="1" x="826"/>
        <item h="1" x="778"/>
        <item h="1" x="1221"/>
        <item h="1" x="718"/>
        <item h="1" x="671"/>
        <item h="1" x="626"/>
        <item h="1" x="773"/>
        <item h="1" x="719"/>
        <item h="1" x="768"/>
        <item h="1" x="715"/>
        <item h="1" x="1493"/>
        <item h="1" x="330"/>
        <item h="1" x="766"/>
        <item h="1" x="829"/>
        <item h="1" x="1001"/>
        <item h="1" x="771"/>
        <item h="1" x="707"/>
        <item h="1" x="825"/>
        <item h="1" x="1143"/>
        <item h="1" x="818"/>
        <item h="1" x="271"/>
        <item h="1" x="1506"/>
        <item h="1" x="1008"/>
        <item h="1" x="1000"/>
        <item h="1" x="1254"/>
        <item h="1" x="213"/>
        <item h="1" x="664"/>
        <item h="1" x="658"/>
        <item h="1" x="634"/>
        <item h="1" x="305"/>
        <item h="1" x="1110"/>
        <item h="1" x="316"/>
        <item h="1" x="701"/>
        <item h="1" x="85"/>
        <item h="1" x="657"/>
        <item h="1" x="706"/>
        <item h="1" x="997"/>
        <item h="1" x="1112"/>
        <item h="1" x="776"/>
        <item h="1" x="1248"/>
        <item h="1" x="1102"/>
        <item h="1" x="1107"/>
        <item h="1" x="1155"/>
        <item h="1" x="881"/>
        <item h="1" x="452"/>
        <item h="1" x="647"/>
        <item h="1" x="821"/>
        <item h="1" x="786"/>
        <item h="1" x="774"/>
        <item h="1" x="584"/>
        <item h="1" x="1355"/>
        <item h="1" x="1009"/>
        <item h="1" x="1324"/>
        <item h="1" x="1123"/>
        <item h="1" x="605"/>
        <item h="1" x="172"/>
        <item h="1" x="666"/>
        <item h="1" x="1114"/>
        <item h="1" x="1100"/>
        <item h="1" x="704"/>
        <item h="1" x="1223"/>
        <item h="1" x="524"/>
        <item h="1" x="1516"/>
        <item h="1" x="630"/>
        <item h="1" x="1295"/>
        <item h="1" x="705"/>
        <item x="837"/>
        <item h="1" x="310"/>
        <item h="1" x="374"/>
        <item h="1" x="769"/>
        <item x="668"/>
        <item h="1" x="937"/>
        <item h="1" x="709"/>
        <item x="999"/>
        <item h="1" x="167"/>
        <item h="1" x="133"/>
        <item h="1" x="779"/>
        <item h="1" x="311"/>
        <item h="1" x="1097"/>
        <item h="1" x="982"/>
        <item h="1" x="1004"/>
        <item h="1" x="661"/>
        <item h="1" x="246"/>
        <item h="1" x="1529"/>
        <item h="1" x="1166"/>
        <item h="1" x="656"/>
        <item h="1" x="1503"/>
        <item x="68"/>
        <item h="1" x="55"/>
        <item h="1" x="892"/>
        <item x="832"/>
        <item h="1" x="1119"/>
        <item h="1" x="819"/>
        <item h="1" x="511"/>
        <item h="1" x="767"/>
        <item h="1" x="1499"/>
        <item h="1" x="673"/>
        <item h="1" x="1321"/>
        <item h="1" x="583"/>
        <item x="895"/>
        <item h="1" x="350"/>
        <item x="782"/>
        <item h="1" x="619"/>
        <item h="1" x="663"/>
        <item h="1" x="1180"/>
        <item h="1" x="836"/>
        <item h="1" x="239"/>
        <item h="1" x="353"/>
        <item h="1" x="175"/>
        <item h="1" x="1101"/>
        <item x="339"/>
        <item x="1131"/>
        <item x="1220"/>
        <item x="772"/>
        <item h="1" x="566"/>
        <item x="928"/>
        <item h="1" x="518"/>
        <item h="1" x="528"/>
        <item h="1" x="1231"/>
        <item h="1" x="194"/>
        <item h="1" x="894"/>
        <item h="1" x="314"/>
        <item h="1" x="568"/>
        <item h="1" x="476"/>
        <item h="1" x="578"/>
        <item h="1" x="823"/>
        <item x="301"/>
        <item h="1" x="519"/>
        <item h="1" x="179"/>
        <item h="1" x="617"/>
        <item h="1" x="1002"/>
        <item h="1" x="576"/>
        <item h="1" x="319"/>
        <item h="1" x="594"/>
        <item h="1" x="178"/>
        <item h="1" x="1195"/>
        <item h="1" x="225"/>
        <item h="1" x="1099"/>
        <item h="1" x="540"/>
        <item h="1" x="1140"/>
        <item h="1" x="43"/>
        <item h="1" x="1181"/>
        <item h="1" x="234"/>
        <item h="1" x="770"/>
        <item h="1" x="783"/>
        <item h="1" x="731"/>
        <item h="1" x="198"/>
        <item h="1" x="1007"/>
        <item h="1" x="92"/>
        <item h="1" x="170"/>
        <item h="1" x="520"/>
        <item h="1" x="739"/>
        <item h="1" x="1492"/>
        <item h="1" x="762"/>
        <item h="1" x="993"/>
        <item h="1" x="627"/>
        <item h="1" x="1219"/>
        <item h="1" x="798"/>
        <item h="1" x="456"/>
        <item h="1" x="596"/>
        <item h="1" x="450"/>
        <item h="1" x="896"/>
        <item h="1" x="186"/>
        <item h="1" x="1279"/>
        <item h="1" x="1515"/>
        <item h="1" x="1302"/>
        <item h="1" x="831"/>
        <item h="1" x="650"/>
        <item h="1" x="1006"/>
        <item h="1" x="835"/>
        <item h="1" x="1098"/>
        <item h="1" x="1128"/>
        <item h="1" x="839"/>
        <item h="1" x="343"/>
        <item h="1" x="653"/>
        <item h="1" x="1266"/>
        <item h="1" x="1151"/>
        <item h="1" x="1019"/>
        <item h="1" x="1501"/>
        <item h="1" x="1518"/>
        <item h="1" x="1203"/>
        <item h="1" x="165"/>
        <item h="1" x="226"/>
        <item h="1" x="334"/>
        <item h="1" x="810"/>
        <item h="1" x="833"/>
        <item h="1" x="659"/>
        <item h="1" x="998"/>
        <item h="1" x="329"/>
        <item h="1" x="781"/>
        <item h="1" x="1226"/>
        <item h="1" x="182"/>
        <item h="1" x="912"/>
        <item h="1" x="18"/>
        <item h="1" x="620"/>
        <item h="1" x="465"/>
        <item h="1" x="591"/>
        <item h="1" x="906"/>
        <item h="1" x="1498"/>
        <item h="1" x="635"/>
        <item h="1" x="215"/>
        <item h="1" x="77"/>
        <item h="1" x="792"/>
        <item h="1" x="1530"/>
        <item h="1" x="678"/>
        <item h="1" x="827"/>
        <item h="1" x="393"/>
        <item h="1" x="258"/>
        <item h="1" x="809"/>
        <item h="1" x="289"/>
        <item h="1" x="1208"/>
        <item h="1" x="100"/>
        <item h="1" x="1508"/>
        <item h="1" x="1282"/>
        <item h="1" x="1296"/>
        <item h="1" x="765"/>
        <item h="1" x="293"/>
        <item h="1" x="276"/>
        <item h="1" x="1044"/>
        <item h="1" x="221"/>
        <item h="1" x="802"/>
        <item h="1" x="219"/>
        <item h="1" x="335"/>
        <item h="1" x="168"/>
        <item h="1" x="261"/>
        <item h="1" x="531"/>
        <item h="1" x="166"/>
        <item h="1" x="337"/>
        <item h="1" x="561"/>
        <item h="1" x="888"/>
        <item h="1" x="961"/>
        <item h="1" x="780"/>
        <item h="1" x="1115"/>
        <item h="1" x="947"/>
        <item h="1" x="151"/>
        <item h="1" x="1104"/>
        <item h="1" x="115"/>
        <item h="1" x="1111"/>
        <item h="1" x="794"/>
        <item h="1" x="419"/>
        <item h="1" x="996"/>
        <item h="1" x="1003"/>
        <item h="1" x="395"/>
        <item h="1" x="1139"/>
        <item h="1" x="408"/>
        <item h="1" x="828"/>
        <item h="1" x="878"/>
        <item h="1" x="1466"/>
        <item h="1" x="865"/>
        <item h="1" x="1060"/>
        <item h="1" x="748"/>
        <item h="1" x="1103"/>
        <item h="1" x="1113"/>
        <item h="1" x="306"/>
        <item h="1" x="367"/>
        <item h="1" x="822"/>
        <item h="1" x="536"/>
        <item h="1" x="169"/>
        <item h="1" x="625"/>
        <item h="1" x="604"/>
        <item h="1" x="348"/>
        <item h="1" x="1121"/>
        <item h="1" x="703"/>
        <item h="1" x="1051"/>
        <item h="1" x="1217"/>
        <item h="1" x="526"/>
        <item h="1" x="286"/>
        <item h="1" x="228"/>
        <item h="1" x="551"/>
        <item h="1" x="838"/>
        <item h="1" x="1168"/>
        <item h="1" x="921"/>
        <item h="1" x="824"/>
        <item h="1" x="482"/>
        <item h="1" x="628"/>
        <item h="1" x="777"/>
        <item h="1" x="1165"/>
        <item h="1" x="1210"/>
        <item h="1" x="899"/>
        <item h="1" x="388"/>
        <item h="1" x="176"/>
        <item h="1" x="847"/>
        <item h="1" x="815"/>
        <item h="1" x="296"/>
        <item h="1" x="217"/>
        <item h="1" x="799"/>
        <item h="1" x="185"/>
        <item h="1" x="1233"/>
        <item h="1" x="1129"/>
        <item h="1" x="1265"/>
        <item h="1" x="1513"/>
        <item h="1" x="195"/>
        <item h="1" x="110"/>
        <item h="1" x="95"/>
        <item h="1" x="537"/>
        <item h="1" x="1169"/>
        <item h="1" x="905"/>
        <item h="1" x="585"/>
        <item h="1" x="1192"/>
        <item h="1" x="457"/>
        <item h="1" x="749"/>
        <item h="1" x="510"/>
        <item h="1" x="224"/>
        <item h="1" x="726"/>
        <item h="1" x="790"/>
        <item h="1" x="555"/>
        <item h="1" x="834"/>
        <item h="1" x="1314"/>
        <item h="1" x="995"/>
        <item h="1" x="1029"/>
        <item h="1" x="466"/>
        <item h="1" x="1033"/>
        <item h="1" x="392"/>
        <item h="1" x="1485"/>
        <item h="1" x="459"/>
        <item h="1" x="356"/>
        <item h="1" x="1045"/>
        <item h="1" x="1120"/>
        <item h="1" x="256"/>
        <item h="1" x="1411"/>
        <item h="1" x="514"/>
        <item h="1" x="1496"/>
        <item h="1" x="427"/>
        <item h="1" x="791"/>
        <item h="1" x="1495"/>
        <item h="1" x="920"/>
        <item h="1" x="553"/>
        <item h="1" x="260"/>
        <item h="1" x="554"/>
        <item h="1" x="532"/>
        <item h="1" x="1149"/>
        <item h="1" x="569"/>
        <item h="1" x="1043"/>
        <item h="1" x="496"/>
        <item h="1" x="105"/>
        <item h="1" x="318"/>
        <item h="1" x="552"/>
        <item h="1" x="994"/>
        <item h="1" x="711"/>
        <item h="1" x="1532"/>
        <item h="1" x="269"/>
        <item h="1" x="1106"/>
        <item h="1" x="300"/>
        <item h="1" x="1531"/>
        <item h="1" x="956"/>
        <item h="1" x="1005"/>
        <item h="1" x="1170"/>
        <item h="1" x="268"/>
        <item h="1" x="1141"/>
        <item h="1" x="655"/>
        <item h="1" x="1132"/>
        <item h="1" x="411"/>
        <item h="1" x="1247"/>
        <item h="1" x="830"/>
        <item h="1" x="884"/>
        <item h="1" x="1134"/>
        <item h="1" x="697"/>
        <item h="1" x="1146"/>
        <item h="1" x="1230"/>
        <item h="1" x="560"/>
        <item h="1" x="907"/>
        <item h="1" x="1039"/>
        <item h="1" x="1012"/>
        <item h="1" x="615"/>
        <item h="1" x="1229"/>
        <item h="1" x="1521"/>
        <item h="1" x="577"/>
        <item h="1" x="1137"/>
        <item h="1" x="229"/>
        <item h="1" x="700"/>
        <item h="1" x="1105"/>
        <item h="1" x="259"/>
        <item h="1" x="586"/>
        <item h="1" x="714"/>
        <item h="1" x="62"/>
        <item h="1" x="918"/>
        <item h="1" x="1108"/>
        <item h="1" x="1424"/>
        <item h="1" x="447"/>
        <item h="1" x="162"/>
        <item h="1" x="916"/>
        <item h="1" x="159"/>
        <item h="1" x="214"/>
        <item h="1" x="1419"/>
        <item h="1" x="1452"/>
        <item h="1" x="117"/>
        <item h="1" x="1339"/>
        <item h="1" x="1133"/>
        <item h="1" x="952"/>
        <item h="1" x="967"/>
        <item h="1" x="633"/>
        <item h="1" x="93"/>
        <item h="1" x="1224"/>
        <item h="1" x="710"/>
        <item h="1" x="1234"/>
        <item h="1" x="442"/>
        <item h="1" x="775"/>
        <item h="1" x="307"/>
        <item h="1" x="302"/>
        <item h="1" x="407"/>
        <item h="1" x="1425"/>
        <item h="1" x="1251"/>
        <item h="1" x="1205"/>
        <item h="1" x="391"/>
        <item h="1" x="885"/>
        <item h="1" x="725"/>
        <item h="1" x="851"/>
        <item h="1" x="785"/>
        <item h="1" x="505"/>
        <item h="1" x="1199"/>
        <item h="1" x="171"/>
        <item h="1" x="1239"/>
        <item h="1" x="263"/>
        <item h="1" x="1246"/>
        <item h="1" x="91"/>
        <item h="1" x="383"/>
        <item h="1" x="332"/>
        <item h="1" x="672"/>
        <item h="1" x="1525"/>
        <item h="1" x="1153"/>
        <item h="1" x="1042"/>
        <item h="1" x="84"/>
        <item h="1" x="1022"/>
        <item h="1" x="341"/>
        <item h="1" x="51"/>
        <item h="1" x="897"/>
        <item h="1" x="1507"/>
        <item h="1" x="1294"/>
        <item h="1" x="278"/>
        <item h="1" x="1118"/>
        <item h="1" x="721"/>
        <item h="1" x="621"/>
        <item h="1" x="1426"/>
        <item h="1" x="206"/>
        <item h="1" x="497"/>
        <item h="1" x="231"/>
        <item h="1" x="523"/>
        <item h="1" x="1502"/>
        <item h="1" x="959"/>
        <item h="1" x="720"/>
        <item h="1" x="1523"/>
        <item h="1" x="682"/>
        <item h="1" x="683"/>
        <item h="1" x="944"/>
        <item h="1" x="971"/>
        <item h="1" x="292"/>
        <item h="1" x="401"/>
        <item h="1" x="587"/>
        <item h="1" x="1086"/>
        <item h="1" x="813"/>
        <item h="1" x="257"/>
        <item h="1" x="1290"/>
        <item h="1" x="1228"/>
        <item h="1" x="1312"/>
        <item h="1" x="472"/>
        <item h="1" x="588"/>
        <item h="1" x="1405"/>
        <item h="1" x="309"/>
        <item h="1" x="806"/>
        <item h="1" x="1187"/>
        <item h="1" x="1227"/>
        <item h="1" x="347"/>
        <item h="1" x="1494"/>
        <item h="1" x="440"/>
        <item h="1" x="1504"/>
        <item h="1" x="358"/>
        <item h="1" x="220"/>
        <item h="1" x="468"/>
        <item h="1" x="349"/>
        <item h="1" x="1351"/>
        <item h="1" x="1091"/>
        <item h="1" x="803"/>
        <item h="1" x="70"/>
        <item h="1" x="340"/>
        <item h="1" x="936"/>
        <item h="1" x="859"/>
        <item h="1" x="1343"/>
        <item h="1" x="883"/>
        <item h="1" x="1225"/>
        <item h="1" x="59"/>
        <item h="1" x="909"/>
        <item h="1" x="949"/>
        <item h="1" x="1431"/>
        <item h="1" x="479"/>
        <item h="1" x="545"/>
        <item h="1" x="377"/>
        <item h="1" x="1369"/>
        <item h="1" x="902"/>
        <item h="1" x="1185"/>
        <item h="1" x="534"/>
        <item h="1" x="1289"/>
        <item h="1" x="498"/>
        <item h="1" x="1093"/>
        <item h="1" x="680"/>
        <item h="1" x="1241"/>
        <item h="1" x="1533"/>
        <item h="1" x="1262"/>
        <item h="1" x="201"/>
        <item h="1" x="1361"/>
        <item h="1" x="1130"/>
        <item h="1" x="1308"/>
        <item h="1" x="913"/>
        <item h="1" x="515"/>
        <item h="1" x="96"/>
        <item h="1" x="1441"/>
        <item h="1" x="1016"/>
        <item h="1" x="581"/>
        <item h="1" x="1298"/>
        <item h="1" x="298"/>
        <item h="1" x="573"/>
        <item h="1" x="1204"/>
        <item h="1" x="866"/>
        <item h="1" x="592"/>
        <item h="1" x="1304"/>
        <item h="1" x="122"/>
        <item h="1" x="130"/>
        <item h="1" x="1030"/>
        <item h="1" x="56"/>
        <item h="1" x="1084"/>
        <item h="1" x="1275"/>
        <item h="1" x="969"/>
        <item h="1" x="1256"/>
        <item h="1" x="973"/>
        <item h="1" x="522"/>
        <item h="1" x="1020"/>
        <item h="1" x="950"/>
        <item h="1" x="389"/>
        <item h="1" x="1240"/>
        <item h="1" x="978"/>
        <item h="1" x="299"/>
        <item h="1" x="373"/>
        <item h="1" x="579"/>
        <item h="1" x="862"/>
        <item h="1" x="911"/>
        <item h="1" x="1157"/>
        <item h="1" x="939"/>
        <item h="1" x="1062"/>
        <item h="1" x="1318"/>
        <item h="1" x="303"/>
        <item h="1" x="41"/>
        <item h="1" x="1397"/>
        <item h="1" x="1059"/>
        <item h="1" x="853"/>
        <item h="1" x="1058"/>
        <item h="1" x="648"/>
        <item h="1" x="1524"/>
        <item h="1" x="549"/>
        <item h="1" x="957"/>
        <item h="1" x="331"/>
        <item h="1" x="397"/>
        <item h="1" x="542"/>
        <item h="1" x="1412"/>
        <item h="1" x="976"/>
        <item h="1" x="345"/>
        <item h="1" x="988"/>
        <item h="1" x="603"/>
        <item h="1" x="464"/>
        <item h="1" x="910"/>
        <item h="1" x="1390"/>
        <item h="1" x="371"/>
        <item h="1" x="379"/>
        <item h="1" x="1235"/>
        <item h="1" x="1064"/>
        <item h="1" x="632"/>
        <item h="1" x="317"/>
        <item h="1" x="1489"/>
        <item h="1" x="129"/>
        <item h="1" x="1326"/>
        <item h="1" x="1371"/>
        <item h="1" x="90"/>
        <item h="1" x="1232"/>
        <item h="1" x="1263"/>
        <item h="1" x="1422"/>
        <item h="1" x="1147"/>
        <item h="1" x="290"/>
        <item h="1" x="155"/>
        <item h="1" x="1257"/>
        <item h="1" x="886"/>
        <item h="1" x="503"/>
        <item h="1" x="370"/>
        <item h="1" x="1510"/>
        <item h="1" x="723"/>
        <item h="1" x="1479"/>
        <item h="1" x="1066"/>
        <item h="1" x="1057"/>
        <item h="1" x="283"/>
        <item h="1" x="733"/>
        <item h="1" x="1127"/>
        <item h="1" x="876"/>
        <item h="1" x="558"/>
        <item h="1" x="1520"/>
        <item h="1" x="857"/>
        <item h="1" x="273"/>
        <item h="1" x="1534"/>
        <item h="1" x="525"/>
        <item h="1" x="134"/>
        <item h="1" x="547"/>
        <item h="1" x="1337"/>
        <item h="1" x="265"/>
        <item h="1" x="696"/>
        <item h="1" x="1250"/>
        <item h="1" x="297"/>
        <item h="1" x="814"/>
        <item h="1" x="840"/>
        <item h="1" x="1190"/>
        <item h="1" x="535"/>
        <item h="1" x="690"/>
        <item h="1" x="1160"/>
        <item h="1" x="27"/>
        <item h="1" x="209"/>
        <item h="1" x="1325"/>
        <item h="1" x="1301"/>
        <item h="1" x="1526"/>
        <item h="1" x="1428"/>
        <item h="1" x="158"/>
        <item h="1" x="871"/>
        <item h="1" x="1538"/>
        <item h="1" x="575"/>
        <item h="1" x="1176"/>
        <item h="1" x="405"/>
        <item h="1" x="1287"/>
        <item h="1" x="934"/>
        <item h="1" x="161"/>
        <item h="1" x="1056"/>
        <item h="1" x="118"/>
        <item h="1" x="267"/>
        <item h="1" x="548"/>
        <item h="1" x="712"/>
        <item h="1" x="192"/>
        <item h="1" x="264"/>
        <item h="1" x="1175"/>
        <item h="1" x="1011"/>
        <item h="1" x="1500"/>
        <item h="1" x="1159"/>
        <item h="1" x="255"/>
        <item h="1" x="870"/>
        <item h="1" x="597"/>
        <item h="1" x="745"/>
        <item h="1" x="398"/>
        <item h="1" x="1360"/>
        <item h="1" x="406"/>
        <item h="1" x="237"/>
        <item h="1" x="294"/>
        <item h="1" x="898"/>
        <item h="1" x="804"/>
        <item h="1" x="929"/>
        <item h="1" x="1211"/>
        <item h="1" x="8"/>
        <item h="1" x="727"/>
        <item h="1" x="974"/>
        <item h="1" x="424"/>
        <item h="1" x="1347"/>
        <item h="1" x="460"/>
        <item h="1" x="1173"/>
        <item h="1" x="713"/>
        <item h="1" x="1082"/>
        <item h="1" x="760"/>
        <item h="1" x="461"/>
        <item h="1" x="808"/>
        <item h="1" x="144"/>
        <item h="1" x="1519"/>
        <item h="1" x="513"/>
        <item h="1" x="1392"/>
        <item h="1" x="679"/>
        <item h="1" x="1512"/>
        <item h="1" x="1178"/>
        <item h="1" x="262"/>
        <item h="1" x="738"/>
        <item h="1" x="521"/>
        <item h="1" x="38"/>
        <item h="1" x="1216"/>
        <item h="1" x="313"/>
        <item h="1" x="1439"/>
        <item h="1" x="250"/>
        <item h="1" x="890"/>
        <item h="1" x="1125"/>
        <item h="1" x="351"/>
        <item h="1" x="1032"/>
        <item h="1" x="1467"/>
        <item h="1" x="308"/>
        <item h="1" x="642"/>
        <item h="1" x="533"/>
        <item h="1" x="631"/>
        <item h="1" x="355"/>
        <item h="1" x="1273"/>
        <item h="1" x="801"/>
        <item h="1" x="455"/>
        <item h="1" x="716"/>
        <item h="1" x="45"/>
        <item h="1" x="282"/>
        <item h="1" x="1535"/>
        <item h="1" x="1334"/>
        <item h="1" x="926"/>
        <item h="1" x="386"/>
        <item h="1" x="637"/>
        <item h="1" x="1201"/>
        <item h="1" x="284"/>
        <item h="1" x="494"/>
        <item h="1" x="623"/>
        <item h="1" x="1258"/>
        <item h="1" x="320"/>
        <item h="1" x="380"/>
        <item h="1" x="426"/>
        <item h="1" x="861"/>
        <item h="1" x="1478"/>
        <item h="1" x="1021"/>
        <item h="1" x="610"/>
        <item h="1" x="101"/>
        <item h="1" x="1378"/>
        <item h="1" x="698"/>
        <item h="1" x="230"/>
        <item h="1" x="692"/>
        <item h="1" x="387"/>
        <item h="1" x="1142"/>
        <item h="1" x="218"/>
        <item h="1" x="737"/>
        <item h="1" x="243"/>
        <item h="1" x="412"/>
        <item h="1" x="448"/>
        <item h="1" x="444"/>
        <item h="1" x="1061"/>
        <item h="1" x="574"/>
        <item h="1" x="600"/>
        <item h="1" x="233"/>
        <item h="1" x="613"/>
        <item h="1" x="744"/>
        <item h="1" x="1528"/>
        <item h="1" x="72"/>
        <item h="1" x="1193"/>
        <item h="1" x="864"/>
        <item h="1" x="1267"/>
        <item h="1" x="236"/>
        <item h="1" x="983"/>
        <item h="1" x="590"/>
        <item h="1" x="1183"/>
        <item h="1" x="1335"/>
        <item h="1" x="61"/>
        <item h="1" x="94"/>
        <item h="1" x="11"/>
        <item h="1" x="1497"/>
        <item h="1" x="160"/>
        <item h="1" x="958"/>
        <item h="1" x="1194"/>
        <item h="1" x="157"/>
        <item h="1" x="687"/>
        <item h="1" x="717"/>
        <item h="1" x="375"/>
        <item h="1" x="1398"/>
        <item h="1" x="593"/>
        <item h="1" x="517"/>
        <item h="1" x="1161"/>
        <item h="1" x="1375"/>
        <item h="1" x="1136"/>
        <item h="1" x="1116"/>
        <item h="1" x="1402"/>
        <item h="1" x="436"/>
        <item h="1" x="222"/>
        <item h="1" x="747"/>
        <item h="1" x="1135"/>
        <item h="1" x="1162"/>
        <item h="1" x="868"/>
        <item h="1" x="874"/>
        <item h="1" x="985"/>
        <item h="1" x="1264"/>
        <item h="1" x="1122"/>
        <item h="1" x="599"/>
        <item h="1" x="1306"/>
        <item h="1" x="483"/>
        <item h="1" x="933"/>
        <item h="1" x="873"/>
        <item h="1" x="506"/>
        <item h="1" x="811"/>
        <item h="1" x="708"/>
        <item h="1" x="789"/>
        <item h="1" x="891"/>
        <item h="1" x="1150"/>
        <item h="1" x="1394"/>
        <item h="1" x="304"/>
        <item h="1" x="156"/>
        <item h="1" x="541"/>
        <item h="1" x="1476"/>
        <item h="1" x="173"/>
        <item h="1" x="1083"/>
        <item h="1" x="645"/>
        <item h="1" x="572"/>
        <item h="1" x="1018"/>
        <item h="1" x="1382"/>
        <item h="1" x="1346"/>
        <item h="1" x="227"/>
        <item h="1" x="1446"/>
        <item h="1" x="571"/>
        <item h="1" x="688"/>
        <item h="1" x="624"/>
        <item h="1" x="21"/>
        <item h="1" x="1081"/>
        <item h="1" x="1408"/>
        <item h="1" x="1189"/>
        <item h="1" x="955"/>
        <item h="1" x="735"/>
        <item h="1" x="145"/>
        <item h="1" x="702"/>
        <item h="1" x="1517"/>
        <item h="1" x="1177"/>
        <item h="1" x="563"/>
        <item h="1" x="1138"/>
        <item h="1" x="174"/>
        <item h="1" x="1383"/>
        <item h="1" x="903"/>
        <item h="1" x="602"/>
        <item h="1" x="1186"/>
        <item h="1" x="946"/>
        <item h="1" x="927"/>
        <item h="1" x="1464"/>
        <item h="1" x="1260"/>
        <item h="1" x="788"/>
        <item h="1" x="434"/>
        <item h="1" x="1152"/>
        <item h="1" x="1253"/>
        <item h="1" x="1377"/>
        <item h="1" x="849"/>
        <item h="1" x="163"/>
        <item h="1" x="724"/>
        <item h="1" x="202"/>
        <item h="1" x="74"/>
        <item h="1" x="1475"/>
        <item h="1" x="137"/>
        <item h="1" x="1261"/>
        <item h="1" x="1075"/>
        <item h="1" x="699"/>
        <item h="1" x="1090"/>
        <item h="1" x="1505"/>
        <item h="1" x="1034"/>
        <item h="1" x="1218"/>
        <item h="1" x="638"/>
        <item h="1" x="484"/>
        <item h="1" x="512"/>
        <item h="1" x="1285"/>
        <item h="1" x="413"/>
        <item h="1" x="1357"/>
        <item h="1" x="1477"/>
        <item h="1" x="454"/>
        <item h="1" x="1437"/>
        <item h="1" x="516"/>
        <item h="1" x="223"/>
        <item h="1" x="1222"/>
        <item h="1" x="938"/>
        <item h="1" x="960"/>
        <item h="1" x="80"/>
        <item h="1" x="6"/>
        <item h="1" x="1372"/>
        <item h="1" x="480"/>
        <item h="1" x="53"/>
        <item h="1" x="437"/>
        <item h="1" x="1486"/>
        <item h="1" x="152"/>
        <item h="1" x="71"/>
        <item h="1" x="945"/>
        <item h="1" x="153"/>
        <item h="1" x="390"/>
        <item h="1" x="729"/>
        <item h="1" x="123"/>
        <item h="1" x="1491"/>
        <item h="1" x="111"/>
        <item h="1" x="622"/>
        <item h="1" x="1340"/>
        <item h="1" x="740"/>
        <item h="1" x="1252"/>
        <item h="1" x="433"/>
        <item h="1" x="266"/>
        <item h="1" x="1305"/>
        <item h="1" x="1299"/>
        <item h="1" x="1154"/>
        <item h="1" x="1472"/>
        <item h="1" x="275"/>
        <item h="1" x="908"/>
        <item h="1" x="1450"/>
        <item h="1" x="529"/>
        <item h="1" x="1300"/>
        <item h="1" x="399"/>
        <item h="1" x="539"/>
        <item h="1" x="67"/>
        <item h="1" x="606"/>
        <item h="1" x="636"/>
        <item h="1" x="1387"/>
        <item h="1" x="1341"/>
        <item h="1" x="1511"/>
        <item h="1" x="565"/>
        <item h="1" x="254"/>
        <item h="1" x="372"/>
        <item h="1" x="1071"/>
        <item h="1" x="1462"/>
        <item h="1" x="98"/>
        <item h="1" x="1362"/>
        <item h="1" x="924"/>
        <item h="1" x="463"/>
        <item h="1" x="451"/>
        <item h="1" x="23"/>
        <item h="1" x="1309"/>
        <item h="1" x="800"/>
        <item h="1" x="856"/>
        <item h="1" x="797"/>
        <item h="1" x="324"/>
        <item h="1" x="1385"/>
        <item h="1" x="499"/>
        <item h="1" x="139"/>
        <item h="1" x="287"/>
        <item h="1" x="629"/>
        <item h="1" x="1048"/>
        <item h="1" x="1124"/>
        <item h="1" x="759"/>
        <item h="1" x="1291"/>
        <item h="1" x="57"/>
        <item h="1" x="1163"/>
        <item h="1" x="458"/>
        <item h="1" x="1184"/>
        <item h="1" x="344"/>
        <item h="1" x="743"/>
        <item h="1" x="612"/>
        <item h="1" x="684"/>
        <item h="1" x="530"/>
        <item h="1" x="203"/>
        <item h="1" x="1310"/>
        <item h="1" x="1196"/>
        <item h="1" x="1374"/>
        <item h="1" x="252"/>
        <item h="1" x="750"/>
        <item h="1" x="1404"/>
        <item h="1" x="338"/>
        <item h="1" x="1481"/>
        <item h="1" x="1243"/>
        <item h="1" x="1320"/>
        <item h="1" x="421"/>
        <item h="1" x="641"/>
        <item h="1" x="279"/>
        <item h="1" x="1276"/>
        <item h="1" x="1443"/>
        <item h="1" x="1074"/>
        <item h="1" x="618"/>
        <item h="1" x="601"/>
        <item h="1" x="1490"/>
        <item h="1" x="291"/>
        <item h="1" x="986"/>
        <item h="1" x="807"/>
        <item h="1" x="1418"/>
        <item h="1" x="102"/>
        <item h="1" x="1527"/>
        <item h="1" x="469"/>
        <item h="1" x="69"/>
        <item h="1" x="1407"/>
        <item h="1" x="1172"/>
        <item h="1" x="562"/>
        <item h="1" x="1212"/>
        <item h="1" x="527"/>
        <item h="1" x="116"/>
        <item h="1" x="490"/>
        <item h="1" x="368"/>
        <item h="1" x="36"/>
        <item h="1" x="1356"/>
        <item h="1" x="249"/>
        <item h="1" x="1188"/>
        <item h="1" x="78"/>
        <item h="1" x="1330"/>
        <item h="1" x="1245"/>
        <item h="1" x="977"/>
        <item h="1" x="550"/>
        <item h="1" x="354"/>
        <item h="1" x="1237"/>
        <item h="1" x="1399"/>
        <item h="1" x="416"/>
        <item h="1" x="1342"/>
        <item h="1" x="689"/>
        <item h="1" x="1482"/>
        <item h="1" x="1331"/>
        <item h="1" x="1080"/>
        <item h="1" x="643"/>
        <item h="1" x="901"/>
        <item h="1" x="793"/>
        <item h="1" x="42"/>
        <item h="1" x="181"/>
        <item h="1" x="384"/>
        <item h="1" x="1041"/>
        <item h="1" x="431"/>
        <item h="1" x="812"/>
        <item h="1" x="1"/>
        <item h="1" x="1445"/>
        <item h="1" x="428"/>
        <item h="1" x="109"/>
        <item h="1" x="1292"/>
        <item h="1" x="598"/>
        <item h="1" x="107"/>
        <item h="1" x="1182"/>
        <item h="1" x="914"/>
        <item h="1" x="376"/>
        <item h="1" x="35"/>
        <item h="1" x="919"/>
        <item h="1" x="1319"/>
        <item h="1" x="321"/>
        <item h="1" x="248"/>
        <item h="1" x="1036"/>
        <item h="1" x="991"/>
        <item h="1" x="1191"/>
        <item h="1" x="12"/>
        <item h="1" x="1156"/>
        <item h="1" x="686"/>
        <item h="1" x="543"/>
        <item h="1" x="295"/>
        <item h="1" x="728"/>
        <item h="1" x="65"/>
        <item h="1" x="1454"/>
        <item h="1" x="462"/>
        <item h="1" x="1269"/>
        <item h="1" x="846"/>
        <item h="1" x="805"/>
        <item h="1" x="758"/>
        <item h="1" x="1315"/>
        <item h="1" x="1332"/>
        <item h="1" x="487"/>
        <item h="1" x="1297"/>
        <item h="1" x="120"/>
        <item h="1" x="415"/>
        <item h="1" x="1038"/>
        <item h="1" x="251"/>
        <item h="1" x="280"/>
        <item h="1" x="975"/>
        <item h="1" x="104"/>
        <item h="1" x="989"/>
        <item h="1" x="432"/>
        <item h="1" x="675"/>
        <item h="1" x="1171"/>
        <item h="1" x="60"/>
        <item h="1" x="467"/>
        <item h="1" x="1255"/>
        <item h="1" x="364"/>
        <item h="1" x="99"/>
        <item h="1" x="1317"/>
        <item h="1" x="1463"/>
        <item h="1" x="342"/>
        <item h="1" x="0"/>
        <item h="1" x="1094"/>
        <item h="1" x="889"/>
        <item h="1" x="1393"/>
        <item h="1" x="1442"/>
        <item h="1" x="1456"/>
        <item h="1" x="923"/>
        <item h="1" x="1484"/>
        <item h="1" x="904"/>
        <item h="1" x="742"/>
        <item h="1" x="1288"/>
        <item h="1" x="24"/>
        <item h="1" x="207"/>
        <item h="1" x="1158"/>
        <item h="1" x="285"/>
        <item h="1" x="595"/>
        <item h="1" x="270"/>
        <item h="1" x="446"/>
        <item h="1" x="1381"/>
        <item h="1" x="1047"/>
        <item h="1" x="1063"/>
        <item h="1" x="1468"/>
        <item h="1" x="611"/>
        <item h="1" x="382"/>
        <item h="1" x="589"/>
        <item h="1" x="1344"/>
        <item h="1" x="1348"/>
        <item h="1" x="63"/>
        <item h="1" x="966"/>
        <item h="1" x="893"/>
        <item h="1" x="1420"/>
        <item h="1" x="980"/>
        <item h="1" x="1465"/>
        <item h="1" x="1473"/>
        <item h="1" x="346"/>
        <item h="1" x="1455"/>
        <item h="1" x="1421"/>
        <item h="1" x="691"/>
        <item h="1" x="732"/>
        <item h="1" x="1403"/>
        <item h="1" x="327"/>
        <item h="1" x="784"/>
        <item h="1" x="1164"/>
        <item h="1" x="50"/>
        <item h="1" x="394"/>
        <item h="1" x="616"/>
        <item h="1" x="1365"/>
        <item h="1" x="900"/>
        <item h="1" x="418"/>
        <item h="1" x="32"/>
        <item h="1" x="979"/>
        <item h="1" x="1522"/>
        <item h="1" x="990"/>
        <item h="1" x="438"/>
        <item h="1" x="114"/>
        <item h="1" x="1430"/>
        <item h="1" x="1384"/>
        <item h="1" x="475"/>
        <item h="1" x="915"/>
        <item h="1" x="1327"/>
        <item h="1" x="1322"/>
        <item h="1" x="315"/>
        <item h="1" x="435"/>
        <item h="1" x="925"/>
        <item h="1" x="1202"/>
        <item h="1" x="199"/>
        <item h="1" x="87"/>
        <item h="1" x="422"/>
        <item h="1" x="1179"/>
        <item h="1" x="235"/>
        <item h="1" x="54"/>
        <item h="1" x="164"/>
        <item h="1" x="1197"/>
        <item h="1" x="964"/>
        <item h="1" x="312"/>
        <item h="1" x="112"/>
        <item h="1" x="843"/>
        <item h="1" x="244"/>
        <item h="1" x="559"/>
        <item h="1" x="1359"/>
        <item h="1" x="544"/>
        <item h="1" x="272"/>
        <item h="1" x="1283"/>
        <item h="1" x="948"/>
        <item h="1" x="481"/>
        <item h="1" x="247"/>
        <item h="1" x="1386"/>
        <item h="1" x="1272"/>
        <item h="1" x="734"/>
        <item h="1" x="410"/>
        <item h="1" x="1087"/>
        <item h="1" x="47"/>
        <item h="1" x="1368"/>
        <item h="1" x="1328"/>
        <item h="1" x="86"/>
        <item h="1" x="1366"/>
        <item h="1" x="867"/>
        <item h="1" x="190"/>
        <item h="1" x="453"/>
        <item h="1" x="1259"/>
        <item h="1" x="429"/>
        <item h="1" x="189"/>
        <item h="1" x="1417"/>
        <item h="1" x="1148"/>
        <item h="1" x="385"/>
        <item h="1" x="1488"/>
        <item h="1" x="1050"/>
        <item h="1" x="685"/>
        <item h="1" x="674"/>
        <item h="1" x="449"/>
        <item h="1" x="177"/>
        <item h="1" x="854"/>
        <item h="1" x="1457"/>
        <item h="1" x="281"/>
        <item h="1" x="1198"/>
        <item h="1" x="1433"/>
        <item h="1" x="1423"/>
        <item h="1" x="962"/>
        <item h="1" x="1126"/>
        <item h="1" x="1010"/>
        <item h="1" x="1052"/>
        <item h="1" x="1174"/>
        <item h="1" x="942"/>
        <item h="1" x="504"/>
        <item h="1" x="253"/>
        <item h="1" x="1249"/>
        <item h="1" x="1474"/>
        <item h="1" x="103"/>
        <item h="1" x="869"/>
        <item h="1" x="1410"/>
        <item h="1" x="288"/>
        <item h="1" x="842"/>
        <item h="1" x="1395"/>
        <item h="1" x="730"/>
        <item h="1" x="30"/>
        <item h="1" x="232"/>
        <item h="1" x="570"/>
        <item h="1" x="1461"/>
        <item h="1" x="20"/>
        <item h="1" x="1536"/>
        <item h="1" x="1024"/>
        <item h="1" x="1277"/>
        <item h="1" x="1238"/>
        <item h="1" x="1376"/>
        <item h="1" x="1145"/>
        <item h="1" x="121"/>
        <item h="1" x="1388"/>
        <item h="1" x="1470"/>
        <item h="1" x="1065"/>
        <item h="1" x="917"/>
        <item h="1" x="1293"/>
        <item h="1" x="968"/>
        <item h="1" x="88"/>
        <item h="1" x="1451"/>
        <item h="1" x="1040"/>
        <item h="1" x="1363"/>
        <item h="1" x="146"/>
        <item h="1" x="381"/>
        <item h="1" x="795"/>
        <item h="1" x="1268"/>
        <item h="1" x="187"/>
        <item h="1" x="582"/>
        <item h="1" x="848"/>
        <item h="1" x="1453"/>
        <item h="1" x="1414"/>
        <item h="1" x="212"/>
        <item h="1" x="1413"/>
        <item h="1" x="608"/>
        <item h="1" x="73"/>
        <item h="1" x="1447"/>
        <item h="1" x="984"/>
        <item h="1" x="1236"/>
        <item h="1" x="439"/>
        <item h="1" x="142"/>
        <item h="1" x="83"/>
        <item h="1" x="538"/>
        <item h="1" x="1345"/>
        <item h="1" x="1270"/>
        <item h="1" x="1117"/>
        <item h="1" x="323"/>
        <item h="1" x="48"/>
        <item h="1" x="1409"/>
        <item h="1" x="877"/>
        <item h="1" x="644"/>
        <item h="1" x="756"/>
        <item h="1" x="1067"/>
        <item h="1" x="1352"/>
        <item h="1" x="852"/>
        <item h="1" x="1214"/>
        <item h="1" x="369"/>
        <item h="1" x="325"/>
        <item h="1" x="1244"/>
        <item h="1" x="1483"/>
        <item h="1" x="363"/>
        <item h="1" x="963"/>
        <item h="1" x="981"/>
        <item h="1" x="336"/>
        <item h="1" x="489"/>
        <item h="1" x="746"/>
        <item h="1" x="1316"/>
        <item h="1" x="362"/>
        <item h="1" x="193"/>
        <item h="1" x="108"/>
        <item h="1" x="1364"/>
        <item h="1" x="567"/>
        <item h="1" x="140"/>
        <item h="1" x="238"/>
        <item h="1" x="1460"/>
        <item h="1" x="761"/>
        <item h="1" x="493"/>
        <item h="1" x="113"/>
        <item h="1" x="882"/>
        <item h="1" x="216"/>
        <item h="1" x="333"/>
        <item h="1" x="1049"/>
        <item h="1" x="488"/>
        <item h="1" x="972"/>
        <item h="1" x="274"/>
        <item h="1" x="1459"/>
        <item h="1" x="13"/>
        <item h="1" x="200"/>
        <item h="1" x="425"/>
        <item h="1" x="741"/>
        <item h="1" x="1167"/>
        <item h="1" x="414"/>
        <item h="1" x="66"/>
        <item h="1" x="357"/>
        <item h="1" x="1380"/>
        <item h="1" x="1471"/>
        <item h="1" x="546"/>
        <item h="1" x="607"/>
        <item h="1" x="1444"/>
        <item h="1" x="378"/>
        <item h="1" x="360"/>
        <item h="1" x="1440"/>
        <item h="1" x="352"/>
        <item h="1" x="1026"/>
        <item h="1" x="736"/>
        <item h="1" x="1280"/>
        <item h="1" x="1031"/>
        <item h="1" x="1286"/>
        <item h="1" x="880"/>
        <item h="1" x="5"/>
        <item h="1" x="361"/>
        <item h="1" x="89"/>
        <item h="1" x="564"/>
        <item h="1" x="1338"/>
        <item h="1" x="887"/>
        <item h="1" x="502"/>
        <item h="1" x="693"/>
        <item h="1" x="29"/>
        <item h="1" x="640"/>
        <item h="1" x="409"/>
        <item h="1" x="858"/>
        <item h="1" x="1053"/>
        <item h="1" x="1429"/>
        <item h="1" x="1070"/>
        <item h="1" x="507"/>
        <item h="1" x="1307"/>
        <item h="1" x="1025"/>
        <item h="1" x="796"/>
        <item h="1" x="147"/>
        <item h="1" x="1303"/>
        <item h="1" x="417"/>
        <item h="1" x="1206"/>
        <item h="1" x="1284"/>
        <item h="1" x="1085"/>
        <item h="1" x="509"/>
        <item h="1" x="1035"/>
        <item h="1" x="127"/>
        <item h="1" x="676"/>
        <item h="1" x="328"/>
        <item h="1" x="1389"/>
        <item h="1" x="875"/>
        <item h="1" x="1055"/>
        <item h="1" x="64"/>
        <item h="1" x="1077"/>
        <item h="1" x="208"/>
        <item h="1" x="15"/>
        <item h="1" x="1213"/>
        <item h="1" x="485"/>
        <item h="1" x="1069"/>
        <item h="1" x="1427"/>
        <item h="1" x="1396"/>
        <item h="1" x="1329"/>
        <item h="1" x="922"/>
        <item h="1" x="1207"/>
        <item h="1" x="204"/>
        <item h="1" x="1027"/>
        <item h="1" x="500"/>
        <item h="1" x="1400"/>
        <item h="1" x="97"/>
        <item h="1" x="681"/>
        <item h="1" x="1092"/>
        <item h="1" x="651"/>
        <item h="1" x="787"/>
        <item h="1" x="37"/>
        <item h="1" x="879"/>
        <item h="1" x="1046"/>
        <item h="1" x="403"/>
        <item h="1" x="1089"/>
        <item h="1" x="1073"/>
        <item h="1" x="669"/>
        <item h="1" x="79"/>
        <item h="1" x="10"/>
        <item h="1" x="951"/>
        <item h="1" x="149"/>
        <item h="1" x="1415"/>
        <item h="1" x="1391"/>
        <item h="1" x="1406"/>
        <item h="1" x="1336"/>
        <item h="1" x="940"/>
        <item h="1" x="1095"/>
        <item h="1" x="443"/>
        <item h="1" x="3"/>
        <item h="1" x="556"/>
        <item h="1" x="1449"/>
        <item h="1" x="1037"/>
        <item h="1" x="40"/>
        <item h="1" x="242"/>
        <item h="1" x="1469"/>
        <item h="1" x="1017"/>
        <item h="1" x="486"/>
        <item h="1" x="205"/>
        <item h="1" x="1509"/>
        <item h="1" x="25"/>
        <item h="1" x="1487"/>
        <item h="1" x="191"/>
        <item h="1" x="404"/>
        <item h="1" x="135"/>
        <item h="1" x="1434"/>
        <item h="1" x="1349"/>
        <item h="1" x="1373"/>
        <item h="1" x="992"/>
        <item h="1" x="148"/>
        <item h="1" x="277"/>
        <item h="1" x="1023"/>
        <item h="1" x="751"/>
        <item h="1" x="197"/>
        <item h="1" x="81"/>
        <item h="1" x="359"/>
        <item h="1" x="639"/>
        <item h="1" x="470"/>
        <item h="1" x="423"/>
        <item h="1" x="1311"/>
        <item h="1" x="1278"/>
        <item h="1" x="1274"/>
        <item h="1" x="76"/>
        <item h="1" x="580"/>
        <item h="1" x="184"/>
        <item h="1" x="210"/>
        <item h="1" x="844"/>
        <item h="1" x="2"/>
        <item h="1" x="965"/>
        <item h="1" x="34"/>
        <item h="1" x="943"/>
        <item h="1" x="44"/>
        <item h="1" x="1079"/>
        <item h="1" x="677"/>
        <item h="1" x="420"/>
        <item h="1" x="855"/>
        <item h="1" x="850"/>
        <item h="1" x="1068"/>
        <item h="1" x="757"/>
        <item h="1" x="1354"/>
        <item h="1" x="1379"/>
        <item h="1" x="501"/>
        <item h="1" x="400"/>
        <item h="1" x="430"/>
        <item h="1" x="495"/>
        <item h="1" x="1078"/>
        <item h="1" x="753"/>
        <item h="1" x="941"/>
        <item h="1" x="954"/>
        <item h="1" x="106"/>
        <item h="1" x="1313"/>
        <item h="1" x="31"/>
        <item h="1" x="365"/>
        <item h="1" x="1358"/>
        <item h="1" x="931"/>
        <item h="1" x="1401"/>
        <item h="1" x="1436"/>
        <item h="1" x="125"/>
        <item h="1" x="863"/>
        <item h="1" x="1480"/>
        <item h="1" x="1458"/>
        <item h="1" x="474"/>
        <item h="1" x="1537"/>
        <item h="1" x="1013"/>
        <item h="1" x="196"/>
        <item h="1" x="1200"/>
        <item h="1" x="970"/>
        <item h="1" x="9"/>
        <item h="1" x="646"/>
        <item h="1" x="609"/>
        <item h="1" x="1323"/>
        <item h="1" x="124"/>
        <item h="1" x="1076"/>
        <item h="1" x="1350"/>
        <item h="1" x="754"/>
        <item h="1" x="1448"/>
        <item h="1" x="441"/>
        <item h="1" x="131"/>
        <item h="1" x="652"/>
        <item h="1" x="473"/>
        <item h="1" x="1096"/>
        <item h="1" x="14"/>
        <item h="1" x="1353"/>
        <item h="1" x="138"/>
        <item h="1" x="17"/>
        <item h="1" x="1281"/>
        <item h="1" x="860"/>
        <item h="1" x="1054"/>
        <item h="1" x="82"/>
        <item h="1" x="1271"/>
        <item h="1" x="1215"/>
        <item h="1" x="935"/>
        <item h="1" x="872"/>
        <item h="1" x="953"/>
        <item h="1" x="322"/>
        <item h="1" x="471"/>
        <item h="1" x="49"/>
        <item h="1" x="508"/>
        <item h="1" x="649"/>
        <item h="1" x="1088"/>
        <item h="1" x="1514"/>
        <item h="1" x="16"/>
        <item h="1" x="987"/>
        <item h="1" x="930"/>
        <item h="1" x="150"/>
        <item h="1" x="180"/>
        <item h="1" x="143"/>
        <item h="1" x="694"/>
        <item h="1" x="39"/>
        <item h="1" x="326"/>
        <item h="1" x="1435"/>
        <item h="1" x="932"/>
        <item h="1" x="557"/>
        <item h="1" x="755"/>
        <item h="1" x="128"/>
        <item h="1" x="26"/>
        <item h="1" x="132"/>
        <item h="1" x="211"/>
        <item h="1" x="752"/>
        <item h="1" x="1242"/>
        <item h="1" x="402"/>
        <item h="1" x="46"/>
        <item h="1" x="1416"/>
        <item h="1" x="1438"/>
        <item h="1" x="366"/>
        <item h="1" x="1028"/>
        <item h="1" x="28"/>
        <item h="1" x="136"/>
        <item h="1" x="1333"/>
        <item h="1" x="1072"/>
        <item h="1" x="7"/>
        <item h="1" x="845"/>
        <item h="1" x="1209"/>
        <item h="1" x="1367"/>
        <item h="1" x="614"/>
        <item h="1" x="154"/>
        <item h="1" x="4"/>
        <item h="1" x="33"/>
        <item h="1" x="478"/>
        <item h="1" x="695"/>
        <item h="1" x="817"/>
        <item h="1" x="119"/>
        <item h="1" x="241"/>
        <item h="1" x="75"/>
        <item h="1" x="52"/>
        <item h="1" x="477"/>
        <item h="1" x="816"/>
        <item h="1" x="183"/>
        <item h="1" x="396"/>
        <item h="1" x="141"/>
        <item h="1" x="492"/>
        <item h="1" x="58"/>
        <item h="1" x="445"/>
        <item h="1" x="22"/>
        <item h="1" x="722"/>
        <item h="1" x="1432"/>
        <item h="1" x="763"/>
        <item h="1" x="1370"/>
        <item h="1" x="188"/>
        <item h="1" x="126"/>
        <item t="default"/>
      </items>
    </pivotField>
    <pivotField compact="0" showAll="0">
      <items count="13">
        <item x="7"/>
        <item x="0"/>
        <item x="11"/>
        <item x="8"/>
        <item x="1"/>
        <item x="9"/>
        <item x="2"/>
        <item h="1" x="3"/>
        <item x="10"/>
        <item x="4"/>
        <item x="5"/>
        <item x="6"/>
        <item t="default"/>
      </items>
    </pivotField>
    <pivotField compact="0" showAll="0">
      <items count="4">
        <item x="0"/>
        <item x="1"/>
        <item x="2"/>
        <item t="default"/>
      </items>
    </pivotField>
  </pivotFields>
  <rowFields count="1">
    <field x="6"/>
  </rowFields>
  <rowItems count="8">
    <i>
      <x/>
    </i>
    <i>
      <x v="6"/>
    </i>
    <i>
      <x v="1"/>
    </i>
    <i>
      <x v="5"/>
    </i>
    <i>
      <x v="4"/>
    </i>
    <i>
      <x v="3"/>
    </i>
    <i>
      <x v="2"/>
    </i>
    <i t="grand">
      <x/>
    </i>
  </rowItems>
  <colItems count="1">
    <i/>
  </colItems>
  <dataFields count="1">
    <dataField name="Sum of REVENUE" fld="11" baseField="0" baseItem="0"/>
  </dataFields>
  <formats count="1">
    <format dxfId="0">
      <pivotArea collapsedLevelsAreSubtotals="1" fieldPosition="0"/>
    </format>
  </formats>
  <pivotTableStyleInfo name="PivotStylePreset3_Accent1"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B14" firstHeaderRow="1" firstDataRow="1" firstDataCol="1"/>
  <pivotFields count="14">
    <pivotField compact="0" showAll="0">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pivotField>
    <pivotField compact="0" numFmtId="178" showAll="0">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compact="0" numFmtId="178"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compact="0" numFmtId="8" showAll="0">
      <items count="1017">
        <item x="466"/>
        <item x="453"/>
        <item x="539"/>
        <item x="460"/>
        <item x="456"/>
        <item x="459"/>
        <item x="540"/>
        <item x="244"/>
        <item x="533"/>
        <item x="462"/>
        <item x="500"/>
        <item x="572"/>
        <item x="538"/>
        <item x="449"/>
        <item x="546"/>
        <item x="454"/>
        <item x="537"/>
        <item x="499"/>
        <item x="571"/>
        <item x="139"/>
        <item x="765"/>
        <item x="541"/>
        <item x="762"/>
        <item x="452"/>
        <item x="585"/>
        <item x="543"/>
        <item x="458"/>
        <item x="583"/>
        <item x="695"/>
        <item x="698"/>
        <item x="10"/>
        <item x="463"/>
        <item x="704"/>
        <item x="837"/>
        <item x="759"/>
        <item x="576"/>
        <item x="450"/>
        <item x="70"/>
        <item x="758"/>
        <item x="573"/>
        <item x="542"/>
        <item x="93"/>
        <item x="438"/>
        <item x="464"/>
        <item x="164"/>
        <item x="766"/>
        <item x="578"/>
        <item x="832"/>
        <item x="489"/>
        <item x="455"/>
        <item x="700"/>
        <item x="575"/>
        <item x="547"/>
        <item x="457"/>
        <item x="655"/>
        <item x="706"/>
        <item x="163"/>
        <item x="531"/>
        <item x="497"/>
        <item x="451"/>
        <item x="838"/>
        <item x="491"/>
        <item x="461"/>
        <item x="534"/>
        <item x="767"/>
        <item x="835"/>
        <item x="183"/>
        <item x="587"/>
        <item x="581"/>
        <item x="549"/>
        <item x="696"/>
        <item x="496"/>
        <item x="763"/>
        <item x="532"/>
        <item x="582"/>
        <item x="270"/>
        <item x="760"/>
        <item x="830"/>
        <item x="703"/>
        <item x="1001"/>
        <item x="757"/>
        <item x="81"/>
        <item x="536"/>
        <item x="580"/>
        <item x="702"/>
        <item x="545"/>
        <item x="833"/>
        <item x="697"/>
        <item x="488"/>
        <item x="630"/>
        <item x="448"/>
        <item x="544"/>
        <item x="701"/>
        <item x="584"/>
        <item x="586"/>
        <item x="436"/>
        <item x="535"/>
        <item x="117"/>
        <item x="574"/>
        <item x="368"/>
        <item x="141"/>
        <item x="99"/>
        <item x="367"/>
        <item x="776"/>
        <item x="577"/>
        <item x="755"/>
        <item x="708"/>
        <item x="841"/>
        <item x="1004"/>
        <item x="999"/>
        <item x="781"/>
        <item x="699"/>
        <item x="102"/>
        <item x="1005"/>
        <item x="486"/>
        <item x="16"/>
        <item x="579"/>
        <item x="756"/>
        <item x="992"/>
        <item x="369"/>
        <item x="997"/>
        <item x="226"/>
        <item x="371"/>
        <item x="839"/>
        <item x="784"/>
        <item x="761"/>
        <item x="993"/>
        <item x="494"/>
        <item x="258"/>
        <item x="772"/>
        <item x="836"/>
        <item x="782"/>
        <item x="416"/>
        <item x="25"/>
        <item x="269"/>
        <item x="215"/>
        <item x="364"/>
        <item x="422"/>
        <item x="495"/>
        <item x="842"/>
        <item x="769"/>
        <item x="492"/>
        <item x="20"/>
        <item x="990"/>
        <item x="764"/>
        <item x="434"/>
        <item x="493"/>
        <item x="840"/>
        <item x="208"/>
        <item x="106"/>
        <item x="1006"/>
        <item x="182"/>
        <item x="780"/>
        <item x="624"/>
        <item x="156"/>
        <item x="97"/>
        <item x="991"/>
        <item x="848"/>
        <item x="176"/>
        <item x="487"/>
        <item x="159"/>
        <item x="82"/>
        <item x="198"/>
        <item x="1010"/>
        <item x="794"/>
        <item x="316"/>
        <item x="849"/>
        <item x="365"/>
        <item x="231"/>
        <item x="96"/>
        <item x="94"/>
        <item x="831"/>
        <item x="618"/>
        <item x="1007"/>
        <item x="144"/>
        <item x="425"/>
        <item x="716"/>
        <item x="711"/>
        <item x="484"/>
        <item x="317"/>
        <item x="242"/>
        <item x="490"/>
        <item x="446"/>
        <item x="1011"/>
        <item x="153"/>
        <item x="789"/>
        <item x="15"/>
        <item x="101"/>
        <item x="435"/>
        <item x="199"/>
        <item x="107"/>
        <item x="374"/>
        <item x="235"/>
        <item x="834"/>
        <item x="771"/>
        <item x="209"/>
        <item x="855"/>
        <item x="323"/>
        <item x="218"/>
        <item x="33"/>
        <item x="417"/>
        <item x="989"/>
        <item x="626"/>
        <item x="213"/>
        <item x="210"/>
        <item x="792"/>
        <item x="114"/>
        <item x="324"/>
        <item x="179"/>
        <item x="420"/>
        <item x="678"/>
        <item x="212"/>
        <item x="847"/>
        <item x="370"/>
        <item x="104"/>
        <item x="790"/>
        <item x="330"/>
        <item x="178"/>
        <item x="998"/>
        <item x="233"/>
        <item x="418"/>
        <item x="485"/>
        <item x="366"/>
        <item x="145"/>
        <item x="642"/>
        <item x="873"/>
        <item x="166"/>
        <item x="779"/>
        <item x="38"/>
        <item x="103"/>
        <item x="120"/>
        <item x="22"/>
        <item x="325"/>
        <item x="941"/>
        <item x="802"/>
        <item x="98"/>
        <item x="857"/>
        <item x="778"/>
        <item x="39"/>
        <item x="409"/>
        <item x="987"/>
        <item x="1013"/>
        <item x="205"/>
        <item x="770"/>
        <item x="634"/>
        <item x="327"/>
        <item x="566"/>
        <item x="109"/>
        <item x="514"/>
        <item x="1002"/>
        <item x="811"/>
        <item x="116"/>
        <item x="791"/>
        <item x="686"/>
        <item x="1003"/>
        <item x="856"/>
        <item x="405"/>
        <item x="275"/>
        <item x="158"/>
        <item x="629"/>
        <item x="815"/>
        <item x="995"/>
        <item x="326"/>
        <item x="32"/>
        <item x="602"/>
        <item x="850"/>
        <item x="227"/>
        <item x="148"/>
        <item x="363"/>
        <item x="119"/>
        <item x="994"/>
        <item x="108"/>
        <item x="177"/>
        <item x="927"/>
        <item x="985"/>
        <item x="783"/>
        <item x="239"/>
        <item x="196"/>
        <item x="376"/>
        <item x="100"/>
        <item x="373"/>
        <item x="68"/>
        <item x="322"/>
        <item x="933"/>
        <item x="361"/>
        <item x="996"/>
        <item x="237"/>
        <item x="206"/>
        <item x="628"/>
        <item x="804"/>
        <item x="501"/>
        <item x="564"/>
        <item x="111"/>
        <item x="328"/>
        <item x="297"/>
        <item x="818"/>
        <item x="632"/>
        <item x="974"/>
        <item x="150"/>
        <item x="675"/>
        <item x="433"/>
        <item x="1012"/>
        <item x="406"/>
        <item x="175"/>
        <item x="512"/>
        <item x="551"/>
        <item x="796"/>
        <item x="372"/>
        <item x="246"/>
        <item x="871"/>
        <item x="623"/>
        <item x="687"/>
        <item x="777"/>
        <item x="414"/>
        <item x="171"/>
        <item x="391"/>
        <item x="798"/>
        <item x="299"/>
        <item x="676"/>
        <item x="407"/>
        <item x="335"/>
        <item x="889"/>
        <item x="204"/>
        <item x="385"/>
        <item x="785"/>
        <item x="411"/>
        <item x="423"/>
        <item x="728"/>
        <item x="793"/>
        <item x="503"/>
        <item x="552"/>
        <item x="149"/>
        <item x="200"/>
        <item x="180"/>
        <item x="821"/>
        <item x="518"/>
        <item x="377"/>
        <item x="174"/>
        <item x="807"/>
        <item x="689"/>
        <item x="973"/>
        <item x="858"/>
        <item x="273"/>
        <item x="502"/>
        <item x="567"/>
        <item x="473"/>
        <item x="155"/>
        <item x="197"/>
        <item x="419"/>
        <item x="23"/>
        <item x="877"/>
        <item x="805"/>
        <item x="46"/>
        <item x="211"/>
        <item x="980"/>
        <item x="1015"/>
        <item x="725"/>
        <item x="146"/>
        <item x="625"/>
        <item x="476"/>
        <item x="396"/>
        <item x="875"/>
        <item x="801"/>
        <item x="344"/>
        <item x="775"/>
        <item x="152"/>
        <item x="617"/>
        <item x="240"/>
        <item x="635"/>
        <item x="125"/>
        <item x="36"/>
        <item x="480"/>
        <item x="774"/>
        <item x="730"/>
        <item x="808"/>
        <item x="45"/>
        <item x="388"/>
        <item x="160"/>
        <item x="207"/>
        <item x="105"/>
        <item x="978"/>
        <item x="238"/>
        <item x="508"/>
        <item x="647"/>
        <item x="49"/>
        <item x="773"/>
        <item x="1009"/>
        <item x="752"/>
        <item x="823"/>
        <item x="31"/>
        <item x="69"/>
        <item x="201"/>
        <item x="228"/>
        <item x="982"/>
        <item x="1008"/>
        <item x="852"/>
        <item x="795"/>
        <item x="53"/>
        <item x="319"/>
        <item x="408"/>
        <item x="130"/>
        <item x="140"/>
        <item x="74"/>
        <item x="203"/>
        <item x="679"/>
        <item x="217"/>
        <item x="19"/>
        <item x="243"/>
        <item x="260"/>
        <item x="168"/>
        <item x="560"/>
        <item x="510"/>
        <item x="519"/>
        <item x="412"/>
        <item x="878"/>
        <item x="202"/>
        <item x="136"/>
        <item x="479"/>
        <item x="622"/>
        <item x="955"/>
        <item x="853"/>
        <item x="24"/>
        <item x="923"/>
        <item x="509"/>
        <item x="786"/>
        <item x="646"/>
        <item x="819"/>
        <item x="619"/>
        <item x="401"/>
        <item x="682"/>
        <item x="734"/>
        <item x="415"/>
        <item x="513"/>
        <item x="935"/>
        <item x="71"/>
        <item x="881"/>
        <item x="864"/>
        <item x="946"/>
        <item x="298"/>
        <item x="851"/>
        <item x="129"/>
        <item x="468"/>
        <item x="733"/>
        <item x="318"/>
        <item x="949"/>
        <item x="826"/>
        <item x="236"/>
        <item x="797"/>
        <item x="137"/>
        <item x="315"/>
        <item x="143"/>
        <item x="557"/>
        <item x="64"/>
        <item x="312"/>
        <item x="662"/>
        <item x="627"/>
        <item x="234"/>
        <item x="984"/>
        <item x="694"/>
        <item x="866"/>
        <item x="284"/>
        <item x="645"/>
        <item x="320"/>
        <item x="613"/>
        <item x="800"/>
        <item x="854"/>
        <item x="470"/>
        <item x="620"/>
        <item x="167"/>
        <item x="241"/>
        <item x="413"/>
        <item x="944"/>
        <item x="14"/>
        <item x="637"/>
        <item x="34"/>
        <item x="421"/>
        <item x="556"/>
        <item x="186"/>
        <item x="169"/>
        <item x="474"/>
        <item x="410"/>
        <item x="61"/>
        <item x="685"/>
        <item x="147"/>
        <item x="329"/>
        <item x="640"/>
        <item x="621"/>
        <item x="395"/>
        <item x="381"/>
        <item x="554"/>
        <item x="173"/>
        <item x="232"/>
        <item x="478"/>
        <item x="925"/>
        <item x="892"/>
        <item x="349"/>
        <item x="65"/>
        <item x="680"/>
        <item x="903"/>
        <item x="735"/>
        <item x="639"/>
        <item x="565"/>
        <item x="172"/>
        <item x="404"/>
        <item x="465"/>
        <item x="245"/>
        <item x="517"/>
        <item x="870"/>
        <item x="289"/>
        <item x="868"/>
        <item x="597"/>
        <item x="314"/>
        <item x="787"/>
        <item x="195"/>
        <item x="188"/>
        <item x="721"/>
        <item x="829"/>
        <item x="612"/>
        <item x="981"/>
        <item x="357"/>
        <item x="170"/>
        <item x="731"/>
        <item x="230"/>
        <item x="562"/>
        <item x="876"/>
        <item x="846"/>
        <item x="151"/>
        <item x="26"/>
        <item x="862"/>
        <item x="690"/>
        <item x="638"/>
        <item x="447"/>
        <item x="810"/>
        <item x="185"/>
        <item x="900"/>
        <item x="483"/>
        <item x="380"/>
        <item x="402"/>
        <item x="506"/>
        <item x="664"/>
        <item x="814"/>
        <item x="263"/>
        <item x="641"/>
        <item x="44"/>
        <item x="112"/>
        <item x="945"/>
        <item x="726"/>
        <item x="9"/>
        <item x="588"/>
        <item x="553"/>
        <item x="154"/>
        <item x="387"/>
        <item x="321"/>
        <item x="392"/>
        <item x="609"/>
        <item x="813"/>
        <item x="671"/>
        <item x="631"/>
        <item x="692"/>
        <item x="684"/>
        <item x="806"/>
        <item x="310"/>
        <item x="251"/>
        <item x="285"/>
        <item x="693"/>
        <item x="386"/>
        <item x="51"/>
        <item x="521"/>
        <item x="817"/>
        <item x="604"/>
        <item x="636"/>
        <item x="812"/>
        <item x="229"/>
        <item x="351"/>
        <item x="472"/>
        <item x="126"/>
        <item x="255"/>
        <item x="561"/>
        <item x="979"/>
        <item x="121"/>
        <item x="505"/>
        <item x="57"/>
        <item x="394"/>
        <item x="594"/>
        <item x="947"/>
        <item x="929"/>
        <item x="614"/>
        <item x="522"/>
        <item x="788"/>
        <item x="352"/>
        <item x="722"/>
        <item x="874"/>
        <item x="550"/>
        <item x="132"/>
        <item x="194"/>
        <item x="249"/>
        <item x="859"/>
        <item x="400"/>
        <item x="803"/>
        <item x="50"/>
        <item x="688"/>
        <item x="934"/>
        <item x="737"/>
        <item x="75"/>
        <item x="872"/>
        <item x="724"/>
        <item x="563"/>
        <item x="469"/>
        <item x="339"/>
        <item x="21"/>
        <item x="356"/>
        <item x="511"/>
        <item x="986"/>
        <item x="384"/>
        <item x="799"/>
        <item x="393"/>
        <item x="932"/>
        <item x="29"/>
        <item x="190"/>
        <item x="507"/>
        <item x="902"/>
        <item x="977"/>
        <item x="382"/>
        <item x="668"/>
        <item x="11"/>
        <item x="293"/>
        <item x="398"/>
        <item x="59"/>
        <item x="926"/>
        <item x="17"/>
        <item x="189"/>
        <item x="643"/>
        <item x="606"/>
        <item x="683"/>
        <item x="672"/>
        <item x="353"/>
        <item x="865"/>
        <item x="880"/>
        <item x="56"/>
        <item x="718"/>
        <item x="809"/>
        <item x="633"/>
        <item x="882"/>
        <item x="820"/>
        <item x="691"/>
        <item x="390"/>
        <item x="660"/>
        <item x="286"/>
        <item x="216"/>
        <item x="520"/>
        <item x="720"/>
        <item x="135"/>
        <item x="884"/>
        <item x="879"/>
        <item x="928"/>
        <item x="295"/>
        <item x="715"/>
        <item x="37"/>
        <item x="616"/>
        <item x="822"/>
        <item x="250"/>
        <item x="138"/>
        <item x="123"/>
        <item x="304"/>
        <item x="965"/>
        <item x="610"/>
        <item x="27"/>
        <item x="593"/>
        <item x="658"/>
        <item x="893"/>
        <item x="824"/>
        <item x="375"/>
        <item x="751"/>
        <item x="527"/>
        <item x="477"/>
        <item x="961"/>
        <item x="399"/>
        <item x="504"/>
        <item x="296"/>
        <item x="661"/>
        <item x="379"/>
        <item x="863"/>
        <item x="279"/>
        <item x="951"/>
        <item x="555"/>
        <item x="528"/>
        <item x="744"/>
        <item x="939"/>
        <item x="930"/>
        <item x="342"/>
        <item x="516"/>
        <item x="723"/>
        <item x="753"/>
        <item x="288"/>
        <item x="378"/>
        <item x="607"/>
        <item x="1"/>
        <item x="861"/>
        <item x="52"/>
        <item x="970"/>
        <item x="559"/>
        <item x="63"/>
        <item x="252"/>
        <item x="515"/>
        <item x="816"/>
        <item x="890"/>
        <item x="681"/>
        <item x="343"/>
        <item x="936"/>
        <item x="953"/>
        <item x="558"/>
        <item x="825"/>
        <item x="397"/>
        <item x="300"/>
        <item x="122"/>
        <item x="931"/>
        <item x="742"/>
        <item x="968"/>
        <item x="768"/>
        <item x="346"/>
        <item x="259"/>
        <item x="843"/>
        <item x="916"/>
        <item x="193"/>
        <item x="290"/>
        <item x="746"/>
        <item x="976"/>
        <item x="548"/>
        <item x="54"/>
        <item x="670"/>
        <item x="467"/>
        <item x="605"/>
        <item x="219"/>
        <item x="883"/>
        <item x="595"/>
        <item x="3"/>
        <item x="736"/>
        <item x="727"/>
        <item x="350"/>
        <item x="383"/>
        <item x="963"/>
        <item x="247"/>
        <item x="523"/>
        <item x="41"/>
        <item x="60"/>
        <item x="921"/>
        <item x="663"/>
        <item x="131"/>
        <item x="895"/>
        <item x="886"/>
        <item x="600"/>
        <item x="157"/>
        <item x="256"/>
        <item x="306"/>
        <item x="431"/>
        <item x="913"/>
        <item x="333"/>
        <item x="282"/>
        <item x="615"/>
        <item x="719"/>
        <item x="267"/>
        <item x="313"/>
        <item x="599"/>
        <item x="83"/>
        <item x="975"/>
        <item x="389"/>
        <item x="924"/>
        <item x="187"/>
        <item x="28"/>
        <item x="964"/>
        <item x="128"/>
        <item x="717"/>
        <item x="498"/>
        <item x="665"/>
        <item x="338"/>
        <item x="740"/>
        <item x="745"/>
        <item x="332"/>
        <item x="914"/>
        <item x="601"/>
        <item x="268"/>
        <item x="937"/>
        <item x="905"/>
        <item x="359"/>
        <item x="287"/>
        <item x="6"/>
        <item x="959"/>
        <item x="192"/>
        <item x="91"/>
        <item x="303"/>
        <item x="666"/>
        <item x="948"/>
        <item x="336"/>
        <item x="899"/>
        <item x="983"/>
        <item x="713"/>
        <item x="530"/>
        <item x="652"/>
        <item x="261"/>
        <item x="922"/>
        <item x="18"/>
        <item x="334"/>
        <item x="481"/>
        <item x="294"/>
        <item x="360"/>
        <item x="272"/>
        <item x="938"/>
        <item x="85"/>
        <item x="225"/>
        <item x="1000"/>
        <item x="952"/>
        <item x="669"/>
        <item x="526"/>
        <item x="305"/>
        <item x="732"/>
        <item x="89"/>
        <item x="988"/>
        <item x="403"/>
        <item x="896"/>
        <item x="441"/>
        <item x="475"/>
        <item x="589"/>
        <item x="747"/>
        <item x="891"/>
        <item x="253"/>
        <item x="917"/>
        <item x="354"/>
        <item x="430"/>
        <item x="915"/>
        <item x="650"/>
        <item x="437"/>
        <item x="142"/>
        <item x="738"/>
        <item x="223"/>
        <item x="957"/>
        <item x="897"/>
        <item x="76"/>
        <item x="124"/>
        <item x="888"/>
        <item x="439"/>
        <item x="869"/>
        <item x="909"/>
        <item x="278"/>
        <item x="919"/>
        <item x="266"/>
        <item x="331"/>
        <item x="221"/>
        <item x="337"/>
        <item x="307"/>
        <item x="48"/>
        <item x="596"/>
        <item x="248"/>
        <item x="867"/>
        <item x="887"/>
        <item x="355"/>
        <item x="667"/>
        <item x="283"/>
        <item x="827"/>
        <item x="110"/>
        <item x="729"/>
        <item x="654"/>
        <item x="265"/>
        <item x="960"/>
        <item x="428"/>
        <item x="58"/>
        <item x="341"/>
        <item x="969"/>
        <item x="184"/>
        <item x="358"/>
        <item x="908"/>
        <item x="659"/>
        <item x="920"/>
        <item x="127"/>
        <item x="649"/>
        <item x="956"/>
        <item x="592"/>
        <item x="220"/>
        <item x="309"/>
        <item x="429"/>
        <item x="885"/>
        <item x="971"/>
        <item x="471"/>
        <item x="673"/>
        <item x="906"/>
        <item x="88"/>
        <item x="714"/>
        <item x="134"/>
        <item x="280"/>
        <item x="901"/>
        <item x="950"/>
        <item x="962"/>
        <item x="651"/>
        <item x="348"/>
        <item x="674"/>
        <item x="133"/>
        <item x="55"/>
        <item x="8"/>
        <item x="748"/>
        <item x="598"/>
        <item x="345"/>
        <item x="262"/>
        <item x="281"/>
        <item x="95"/>
        <item x="222"/>
        <item x="912"/>
        <item x="73"/>
        <item x="78"/>
        <item x="966"/>
        <item x="274"/>
        <item x="427"/>
        <item x="62"/>
        <item x="529"/>
        <item x="86"/>
        <item x="749"/>
        <item x="712"/>
        <item x="568"/>
        <item x="440"/>
        <item x="904"/>
        <item x="608"/>
        <item x="271"/>
        <item x="301"/>
        <item x="954"/>
        <item x="898"/>
        <item x="482"/>
        <item x="525"/>
        <item x="677"/>
        <item x="254"/>
        <item x="590"/>
        <item x="2"/>
        <item x="214"/>
        <item x="291"/>
        <item x="754"/>
        <item x="844"/>
        <item x="707"/>
        <item x="92"/>
        <item x="445"/>
        <item x="302"/>
        <item x="967"/>
        <item x="47"/>
        <item x="741"/>
        <item x="972"/>
        <item x="90"/>
        <item x="292"/>
        <item x="0"/>
        <item x="276"/>
        <item x="656"/>
        <item x="42"/>
        <item x="910"/>
        <item x="860"/>
        <item x="943"/>
        <item x="958"/>
        <item x="308"/>
        <item x="224"/>
        <item x="443"/>
        <item x="570"/>
        <item x="743"/>
        <item x="524"/>
        <item x="13"/>
        <item x="653"/>
        <item x="311"/>
        <item x="5"/>
        <item x="43"/>
        <item x="611"/>
        <item x="79"/>
        <item x="181"/>
        <item x="432"/>
        <item x="709"/>
        <item x="894"/>
        <item x="739"/>
        <item x="1014"/>
        <item x="67"/>
        <item x="424"/>
        <item x="444"/>
        <item x="264"/>
        <item x="347"/>
        <item x="705"/>
        <item x="340"/>
        <item x="84"/>
        <item x="911"/>
        <item x="277"/>
        <item x="603"/>
        <item x="72"/>
        <item x="828"/>
        <item x="80"/>
        <item x="426"/>
        <item x="257"/>
        <item x="161"/>
        <item x="591"/>
        <item x="845"/>
        <item x="442"/>
        <item x="648"/>
        <item x="7"/>
        <item x="113"/>
        <item x="569"/>
        <item x="191"/>
        <item x="750"/>
        <item x="165"/>
        <item x="30"/>
        <item x="940"/>
        <item x="77"/>
        <item x="35"/>
        <item x="362"/>
        <item x="710"/>
        <item x="162"/>
        <item x="118"/>
        <item x="66"/>
        <item x="115"/>
        <item x="907"/>
        <item x="657"/>
        <item x="87"/>
        <item x="942"/>
        <item x="644"/>
        <item x="918"/>
        <item x="40"/>
        <item x="12"/>
        <item x="4"/>
        <item t="default"/>
      </items>
    </pivotField>
    <pivotField compact="0" numFmtId="179"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compact="0" showAll="0">
      <items count="7">
        <item x="3"/>
        <item x="1"/>
        <item x="2"/>
        <item x="4"/>
        <item x="5"/>
        <item x="0"/>
        <item t="default"/>
      </items>
    </pivotField>
    <pivotField compact="0" showAll="0">
      <items count="8">
        <item x="1"/>
        <item x="0"/>
        <item x="4"/>
        <item x="5"/>
        <item x="6"/>
        <item x="2"/>
        <item x="3"/>
        <item t="default"/>
      </items>
    </pivotField>
    <pivotField compact="0" numFmtId="178" showAll="0">
      <items count="5">
        <item x="0"/>
        <item x="1"/>
        <item x="2"/>
        <item x="3"/>
        <item t="default"/>
      </items>
    </pivotField>
    <pivotField compact="0" showAll="0">
      <items count="4">
        <item x="0"/>
        <item x="1"/>
        <item x="2"/>
        <item t="default"/>
      </items>
    </pivotField>
    <pivotField compact="0" showAll="0">
      <items count="4">
        <item x="2"/>
        <item x="1"/>
        <item x="0"/>
        <item t="default"/>
      </items>
    </pivotField>
    <pivotField axis="axisRow" measureFilter="1" compact="0" sortType="descending" showAll="0">
      <items count="93">
        <item h="1" x="51"/>
        <item h="1" x="36"/>
        <item h="1" x="42"/>
        <item h="1" x="46"/>
        <item x="87"/>
        <item x="10"/>
        <item x="28"/>
        <item x="38"/>
        <item x="9"/>
        <item x="91"/>
        <item x="77"/>
        <item x="17"/>
        <item x="89"/>
        <item x="72"/>
        <item x="80"/>
        <item x="76"/>
        <item x="33"/>
        <item x="31"/>
        <item x="29"/>
        <item x="27"/>
        <item x="75"/>
        <item h="1" x="55"/>
        <item h="1" x="41"/>
        <item h="1" x="4"/>
        <item h="1" x="25"/>
        <item h="1" x="66"/>
        <item h="1" x="6"/>
        <item h="1" x="48"/>
        <item h="1" x="18"/>
        <item h="1" x="64"/>
        <item h="1" x="52"/>
        <item h="1" x="26"/>
        <item h="1" x="53"/>
        <item h="1" x="23"/>
        <item h="1" x="21"/>
        <item h="1" x="13"/>
        <item h="1" x="88"/>
        <item h="1" x="58"/>
        <item h="1" x="59"/>
        <item h="1" x="65"/>
        <item h="1" x="78"/>
        <item h="1" x="7"/>
        <item h="1" x="81"/>
        <item h="1" x="62"/>
        <item h="1" x="14"/>
        <item h="1" x="0"/>
        <item h="1" x="70"/>
        <item h="1" x="2"/>
        <item h="1" x="67"/>
        <item h="1" x="15"/>
        <item h="1" x="54"/>
        <item h="1" x="79"/>
        <item h="1" x="63"/>
        <item h="1" x="83"/>
        <item h="1" x="47"/>
        <item h="1" x="50"/>
        <item h="1" x="39"/>
        <item h="1" x="8"/>
        <item h="1" x="45"/>
        <item h="1" x="74"/>
        <item h="1" x="85"/>
        <item h="1" x="40"/>
        <item h="1" x="71"/>
        <item h="1" x="44"/>
        <item h="1" x="60"/>
        <item h="1" x="56"/>
        <item h="1" x="43"/>
        <item h="1" x="1"/>
        <item h="1" x="86"/>
        <item h="1" x="57"/>
        <item h="1" x="90"/>
        <item h="1" x="19"/>
        <item h="1" x="30"/>
        <item h="1" x="37"/>
        <item h="1" x="82"/>
        <item h="1" x="84"/>
        <item h="1" x="20"/>
        <item h="1" x="49"/>
        <item h="1" x="73"/>
        <item h="1" x="34"/>
        <item h="1" x="5"/>
        <item h="1" x="12"/>
        <item h="1" x="61"/>
        <item h="1" x="35"/>
        <item h="1" x="68"/>
        <item h="1" x="16"/>
        <item h="1" x="3"/>
        <item h="1" x="22"/>
        <item h="1" x="69"/>
        <item h="1" x="11"/>
        <item h="1" x="24"/>
        <item h="1" x="32"/>
        <item t="default"/>
      </items>
      <autoSortScope>
        <pivotArea fieldPosition="0">
          <references count="1">
            <reference field="4294967294" count="1" selected="0">
              <x v="0"/>
            </reference>
          </references>
        </pivotArea>
      </autoSortScope>
    </pivotField>
    <pivotField dataField="1" compact="0" numFmtId="180" showAll="0">
      <items count="1540">
        <item h="1" x="1144"/>
        <item h="1" x="491"/>
        <item h="1" x="1014"/>
        <item h="1" x="665"/>
        <item h="1" x="245"/>
        <item h="1" x="841"/>
        <item h="1" x="1109"/>
        <item h="1" x="1015"/>
        <item h="1" x="662"/>
        <item h="1" x="667"/>
        <item h="1" x="670"/>
        <item h="1" x="654"/>
        <item h="1" x="820"/>
        <item h="1" x="764"/>
        <item h="1" x="240"/>
        <item h="1" x="19"/>
        <item h="1" x="660"/>
        <item h="1" x="826"/>
        <item h="1" x="778"/>
        <item h="1" x="1221"/>
        <item h="1" x="718"/>
        <item h="1" x="671"/>
        <item h="1" x="626"/>
        <item h="1" x="773"/>
        <item h="1" x="719"/>
        <item h="1" x="768"/>
        <item h="1" x="715"/>
        <item h="1" x="1493"/>
        <item h="1" x="330"/>
        <item h="1" x="766"/>
        <item h="1" x="829"/>
        <item h="1" x="1001"/>
        <item h="1" x="771"/>
        <item h="1" x="707"/>
        <item h="1" x="825"/>
        <item h="1" x="1143"/>
        <item h="1" x="818"/>
        <item h="1" x="271"/>
        <item h="1" x="1506"/>
        <item h="1" x="1008"/>
        <item h="1" x="1000"/>
        <item h="1" x="1254"/>
        <item h="1" x="213"/>
        <item h="1" x="664"/>
        <item h="1" x="658"/>
        <item h="1" x="634"/>
        <item h="1" x="305"/>
        <item h="1" x="1110"/>
        <item h="1" x="316"/>
        <item h="1" x="701"/>
        <item h="1" x="85"/>
        <item h="1" x="657"/>
        <item h="1" x="706"/>
        <item h="1" x="997"/>
        <item h="1" x="1112"/>
        <item h="1" x="776"/>
        <item h="1" x="1248"/>
        <item h="1" x="1102"/>
        <item h="1" x="1107"/>
        <item h="1" x="1155"/>
        <item h="1" x="881"/>
        <item h="1" x="452"/>
        <item h="1" x="647"/>
        <item h="1" x="821"/>
        <item h="1" x="786"/>
        <item h="1" x="774"/>
        <item h="1" x="584"/>
        <item h="1" x="1355"/>
        <item h="1" x="1009"/>
        <item h="1" x="1324"/>
        <item h="1" x="1123"/>
        <item h="1" x="605"/>
        <item h="1" x="172"/>
        <item h="1" x="666"/>
        <item h="1" x="1114"/>
        <item h="1" x="1100"/>
        <item h="1" x="704"/>
        <item h="1" x="1223"/>
        <item h="1" x="524"/>
        <item h="1" x="1516"/>
        <item h="1" x="630"/>
        <item h="1" x="1295"/>
        <item h="1" x="705"/>
        <item x="837"/>
        <item h="1" x="310"/>
        <item h="1" x="374"/>
        <item h="1" x="769"/>
        <item x="668"/>
        <item h="1" x="937"/>
        <item h="1" x="709"/>
        <item x="999"/>
        <item h="1" x="167"/>
        <item h="1" x="133"/>
        <item h="1" x="779"/>
        <item h="1" x="311"/>
        <item h="1" x="1097"/>
        <item h="1" x="982"/>
        <item h="1" x="1004"/>
        <item h="1" x="661"/>
        <item h="1" x="246"/>
        <item h="1" x="1529"/>
        <item h="1" x="1166"/>
        <item h="1" x="656"/>
        <item h="1" x="1503"/>
        <item x="68"/>
        <item h="1" x="55"/>
        <item h="1" x="892"/>
        <item x="832"/>
        <item h="1" x="1119"/>
        <item h="1" x="819"/>
        <item h="1" x="511"/>
        <item h="1" x="767"/>
        <item h="1" x="1499"/>
        <item h="1" x="673"/>
        <item h="1" x="1321"/>
        <item h="1" x="583"/>
        <item x="895"/>
        <item h="1" x="350"/>
        <item x="782"/>
        <item h="1" x="619"/>
        <item h="1" x="663"/>
        <item h="1" x="1180"/>
        <item h="1" x="836"/>
        <item h="1" x="239"/>
        <item h="1" x="353"/>
        <item h="1" x="175"/>
        <item h="1" x="1101"/>
        <item x="339"/>
        <item x="1131"/>
        <item x="1220"/>
        <item x="772"/>
        <item h="1" x="566"/>
        <item x="928"/>
        <item h="1" x="518"/>
        <item h="1" x="528"/>
        <item h="1" x="1231"/>
        <item h="1" x="194"/>
        <item h="1" x="894"/>
        <item h="1" x="314"/>
        <item h="1" x="568"/>
        <item h="1" x="476"/>
        <item h="1" x="578"/>
        <item h="1" x="823"/>
        <item x="301"/>
        <item h="1" x="519"/>
        <item h="1" x="179"/>
        <item h="1" x="617"/>
        <item h="1" x="1002"/>
        <item h="1" x="576"/>
        <item h="1" x="319"/>
        <item h="1" x="594"/>
        <item h="1" x="178"/>
        <item h="1" x="1195"/>
        <item h="1" x="225"/>
        <item h="1" x="1099"/>
        <item h="1" x="540"/>
        <item h="1" x="1140"/>
        <item h="1" x="43"/>
        <item h="1" x="1181"/>
        <item h="1" x="234"/>
        <item h="1" x="770"/>
        <item h="1" x="783"/>
        <item h="1" x="731"/>
        <item h="1" x="198"/>
        <item h="1" x="1007"/>
        <item h="1" x="92"/>
        <item h="1" x="170"/>
        <item h="1" x="520"/>
        <item h="1" x="739"/>
        <item h="1" x="1492"/>
        <item h="1" x="762"/>
        <item h="1" x="993"/>
        <item h="1" x="627"/>
        <item h="1" x="1219"/>
        <item h="1" x="798"/>
        <item h="1" x="456"/>
        <item h="1" x="596"/>
        <item h="1" x="450"/>
        <item h="1" x="896"/>
        <item h="1" x="186"/>
        <item h="1" x="1279"/>
        <item h="1" x="1515"/>
        <item h="1" x="1302"/>
        <item h="1" x="831"/>
        <item h="1" x="650"/>
        <item h="1" x="1006"/>
        <item h="1" x="835"/>
        <item h="1" x="1098"/>
        <item h="1" x="1128"/>
        <item h="1" x="839"/>
        <item h="1" x="343"/>
        <item h="1" x="653"/>
        <item h="1" x="1266"/>
        <item h="1" x="1151"/>
        <item h="1" x="1019"/>
        <item h="1" x="1501"/>
        <item h="1" x="1518"/>
        <item h="1" x="1203"/>
        <item h="1" x="165"/>
        <item h="1" x="226"/>
        <item h="1" x="334"/>
        <item h="1" x="810"/>
        <item h="1" x="833"/>
        <item h="1" x="659"/>
        <item h="1" x="998"/>
        <item h="1" x="329"/>
        <item h="1" x="781"/>
        <item h="1" x="1226"/>
        <item h="1" x="182"/>
        <item h="1" x="912"/>
        <item h="1" x="18"/>
        <item h="1" x="620"/>
        <item h="1" x="465"/>
        <item h="1" x="591"/>
        <item h="1" x="906"/>
        <item h="1" x="1498"/>
        <item h="1" x="635"/>
        <item h="1" x="215"/>
        <item h="1" x="77"/>
        <item h="1" x="792"/>
        <item h="1" x="1530"/>
        <item h="1" x="678"/>
        <item h="1" x="827"/>
        <item h="1" x="393"/>
        <item h="1" x="258"/>
        <item h="1" x="809"/>
        <item h="1" x="289"/>
        <item h="1" x="1208"/>
        <item h="1" x="100"/>
        <item h="1" x="1508"/>
        <item h="1" x="1282"/>
        <item h="1" x="1296"/>
        <item h="1" x="765"/>
        <item h="1" x="293"/>
        <item h="1" x="276"/>
        <item h="1" x="1044"/>
        <item h="1" x="221"/>
        <item h="1" x="802"/>
        <item h="1" x="219"/>
        <item h="1" x="335"/>
        <item h="1" x="168"/>
        <item h="1" x="261"/>
        <item h="1" x="531"/>
        <item h="1" x="166"/>
        <item h="1" x="337"/>
        <item h="1" x="561"/>
        <item h="1" x="888"/>
        <item h="1" x="961"/>
        <item h="1" x="780"/>
        <item h="1" x="1115"/>
        <item h="1" x="947"/>
        <item h="1" x="151"/>
        <item h="1" x="1104"/>
        <item h="1" x="115"/>
        <item h="1" x="1111"/>
        <item h="1" x="794"/>
        <item h="1" x="419"/>
        <item h="1" x="996"/>
        <item h="1" x="1003"/>
        <item h="1" x="395"/>
        <item h="1" x="1139"/>
        <item h="1" x="408"/>
        <item h="1" x="828"/>
        <item h="1" x="878"/>
        <item h="1" x="1466"/>
        <item h="1" x="865"/>
        <item h="1" x="1060"/>
        <item h="1" x="748"/>
        <item h="1" x="1103"/>
        <item h="1" x="1113"/>
        <item h="1" x="306"/>
        <item h="1" x="367"/>
        <item h="1" x="822"/>
        <item h="1" x="536"/>
        <item h="1" x="169"/>
        <item h="1" x="625"/>
        <item h="1" x="604"/>
        <item h="1" x="348"/>
        <item h="1" x="1121"/>
        <item h="1" x="703"/>
        <item h="1" x="1051"/>
        <item h="1" x="1217"/>
        <item h="1" x="526"/>
        <item h="1" x="286"/>
        <item h="1" x="228"/>
        <item h="1" x="551"/>
        <item h="1" x="838"/>
        <item h="1" x="1168"/>
        <item h="1" x="921"/>
        <item h="1" x="824"/>
        <item h="1" x="482"/>
        <item h="1" x="628"/>
        <item h="1" x="777"/>
        <item h="1" x="1165"/>
        <item h="1" x="1210"/>
        <item h="1" x="899"/>
        <item h="1" x="388"/>
        <item h="1" x="176"/>
        <item h="1" x="847"/>
        <item h="1" x="815"/>
        <item h="1" x="296"/>
        <item h="1" x="217"/>
        <item h="1" x="799"/>
        <item h="1" x="185"/>
        <item h="1" x="1233"/>
        <item h="1" x="1129"/>
        <item h="1" x="1265"/>
        <item h="1" x="1513"/>
        <item h="1" x="195"/>
        <item h="1" x="110"/>
        <item h="1" x="95"/>
        <item h="1" x="537"/>
        <item h="1" x="1169"/>
        <item h="1" x="905"/>
        <item h="1" x="585"/>
        <item h="1" x="1192"/>
        <item h="1" x="457"/>
        <item h="1" x="749"/>
        <item h="1" x="510"/>
        <item h="1" x="224"/>
        <item h="1" x="726"/>
        <item h="1" x="790"/>
        <item h="1" x="555"/>
        <item h="1" x="834"/>
        <item h="1" x="1314"/>
        <item h="1" x="995"/>
        <item h="1" x="1029"/>
        <item h="1" x="466"/>
        <item h="1" x="1033"/>
        <item h="1" x="392"/>
        <item h="1" x="1485"/>
        <item h="1" x="459"/>
        <item h="1" x="356"/>
        <item h="1" x="1045"/>
        <item h="1" x="1120"/>
        <item h="1" x="256"/>
        <item h="1" x="1411"/>
        <item h="1" x="514"/>
        <item h="1" x="1496"/>
        <item h="1" x="427"/>
        <item h="1" x="791"/>
        <item h="1" x="1495"/>
        <item h="1" x="920"/>
        <item h="1" x="553"/>
        <item h="1" x="260"/>
        <item h="1" x="554"/>
        <item h="1" x="532"/>
        <item h="1" x="1149"/>
        <item h="1" x="569"/>
        <item h="1" x="1043"/>
        <item h="1" x="496"/>
        <item h="1" x="105"/>
        <item h="1" x="318"/>
        <item h="1" x="552"/>
        <item h="1" x="994"/>
        <item h="1" x="711"/>
        <item h="1" x="1532"/>
        <item h="1" x="269"/>
        <item h="1" x="1106"/>
        <item h="1" x="300"/>
        <item h="1" x="1531"/>
        <item h="1" x="956"/>
        <item h="1" x="1005"/>
        <item h="1" x="1170"/>
        <item h="1" x="268"/>
        <item h="1" x="1141"/>
        <item h="1" x="655"/>
        <item h="1" x="1132"/>
        <item h="1" x="411"/>
        <item h="1" x="1247"/>
        <item h="1" x="830"/>
        <item h="1" x="884"/>
        <item h="1" x="1134"/>
        <item h="1" x="697"/>
        <item h="1" x="1146"/>
        <item h="1" x="1230"/>
        <item h="1" x="560"/>
        <item h="1" x="907"/>
        <item h="1" x="1039"/>
        <item h="1" x="1012"/>
        <item h="1" x="615"/>
        <item h="1" x="1229"/>
        <item h="1" x="1521"/>
        <item h="1" x="577"/>
        <item h="1" x="1137"/>
        <item h="1" x="229"/>
        <item h="1" x="700"/>
        <item h="1" x="1105"/>
        <item h="1" x="259"/>
        <item h="1" x="586"/>
        <item h="1" x="714"/>
        <item h="1" x="62"/>
        <item h="1" x="918"/>
        <item h="1" x="1108"/>
        <item h="1" x="1424"/>
        <item h="1" x="447"/>
        <item h="1" x="162"/>
        <item h="1" x="916"/>
        <item h="1" x="159"/>
        <item h="1" x="214"/>
        <item h="1" x="1419"/>
        <item h="1" x="1452"/>
        <item h="1" x="117"/>
        <item h="1" x="1339"/>
        <item h="1" x="1133"/>
        <item h="1" x="952"/>
        <item h="1" x="967"/>
        <item h="1" x="633"/>
        <item h="1" x="93"/>
        <item h="1" x="1224"/>
        <item h="1" x="710"/>
        <item h="1" x="1234"/>
        <item h="1" x="442"/>
        <item h="1" x="775"/>
        <item h="1" x="307"/>
        <item h="1" x="302"/>
        <item h="1" x="407"/>
        <item h="1" x="1425"/>
        <item h="1" x="1251"/>
        <item h="1" x="1205"/>
        <item h="1" x="391"/>
        <item h="1" x="885"/>
        <item h="1" x="725"/>
        <item h="1" x="851"/>
        <item h="1" x="785"/>
        <item h="1" x="505"/>
        <item h="1" x="1199"/>
        <item h="1" x="171"/>
        <item h="1" x="1239"/>
        <item h="1" x="263"/>
        <item h="1" x="1246"/>
        <item h="1" x="91"/>
        <item h="1" x="383"/>
        <item h="1" x="332"/>
        <item h="1" x="672"/>
        <item h="1" x="1525"/>
        <item h="1" x="1153"/>
        <item h="1" x="1042"/>
        <item h="1" x="84"/>
        <item h="1" x="1022"/>
        <item h="1" x="341"/>
        <item h="1" x="51"/>
        <item h="1" x="897"/>
        <item h="1" x="1507"/>
        <item h="1" x="1294"/>
        <item h="1" x="278"/>
        <item h="1" x="1118"/>
        <item h="1" x="721"/>
        <item h="1" x="621"/>
        <item h="1" x="1426"/>
        <item h="1" x="206"/>
        <item h="1" x="497"/>
        <item h="1" x="231"/>
        <item h="1" x="523"/>
        <item h="1" x="1502"/>
        <item h="1" x="959"/>
        <item h="1" x="720"/>
        <item h="1" x="1523"/>
        <item h="1" x="682"/>
        <item h="1" x="683"/>
        <item h="1" x="944"/>
        <item h="1" x="971"/>
        <item h="1" x="292"/>
        <item h="1" x="401"/>
        <item h="1" x="587"/>
        <item h="1" x="1086"/>
        <item h="1" x="813"/>
        <item h="1" x="257"/>
        <item h="1" x="1290"/>
        <item h="1" x="1228"/>
        <item h="1" x="1312"/>
        <item h="1" x="472"/>
        <item h="1" x="588"/>
        <item h="1" x="1405"/>
        <item h="1" x="309"/>
        <item h="1" x="806"/>
        <item h="1" x="1187"/>
        <item h="1" x="1227"/>
        <item h="1" x="347"/>
        <item h="1" x="1494"/>
        <item h="1" x="440"/>
        <item h="1" x="1504"/>
        <item h="1" x="358"/>
        <item h="1" x="220"/>
        <item h="1" x="468"/>
        <item h="1" x="349"/>
        <item h="1" x="1351"/>
        <item h="1" x="1091"/>
        <item h="1" x="803"/>
        <item h="1" x="70"/>
        <item h="1" x="340"/>
        <item h="1" x="936"/>
        <item h="1" x="859"/>
        <item h="1" x="1343"/>
        <item h="1" x="883"/>
        <item h="1" x="1225"/>
        <item h="1" x="59"/>
        <item h="1" x="909"/>
        <item h="1" x="949"/>
        <item h="1" x="1431"/>
        <item h="1" x="479"/>
        <item h="1" x="545"/>
        <item h="1" x="377"/>
        <item h="1" x="1369"/>
        <item h="1" x="902"/>
        <item h="1" x="1185"/>
        <item h="1" x="534"/>
        <item h="1" x="1289"/>
        <item h="1" x="498"/>
        <item h="1" x="1093"/>
        <item h="1" x="680"/>
        <item h="1" x="1241"/>
        <item h="1" x="1533"/>
        <item h="1" x="1262"/>
        <item h="1" x="201"/>
        <item h="1" x="1361"/>
        <item h="1" x="1130"/>
        <item h="1" x="1308"/>
        <item h="1" x="913"/>
        <item h="1" x="515"/>
        <item h="1" x="96"/>
        <item h="1" x="1441"/>
        <item h="1" x="1016"/>
        <item h="1" x="581"/>
        <item h="1" x="1298"/>
        <item h="1" x="298"/>
        <item h="1" x="573"/>
        <item h="1" x="1204"/>
        <item h="1" x="866"/>
        <item h="1" x="592"/>
        <item h="1" x="1304"/>
        <item h="1" x="122"/>
        <item h="1" x="130"/>
        <item h="1" x="1030"/>
        <item h="1" x="56"/>
        <item h="1" x="1084"/>
        <item h="1" x="1275"/>
        <item h="1" x="969"/>
        <item h="1" x="1256"/>
        <item h="1" x="973"/>
        <item h="1" x="522"/>
        <item h="1" x="1020"/>
        <item h="1" x="950"/>
        <item h="1" x="389"/>
        <item h="1" x="1240"/>
        <item h="1" x="978"/>
        <item h="1" x="299"/>
        <item h="1" x="373"/>
        <item h="1" x="579"/>
        <item h="1" x="862"/>
        <item h="1" x="911"/>
        <item h="1" x="1157"/>
        <item h="1" x="939"/>
        <item h="1" x="1062"/>
        <item h="1" x="1318"/>
        <item h="1" x="303"/>
        <item h="1" x="41"/>
        <item h="1" x="1397"/>
        <item h="1" x="1059"/>
        <item h="1" x="853"/>
        <item h="1" x="1058"/>
        <item h="1" x="648"/>
        <item h="1" x="1524"/>
        <item h="1" x="549"/>
        <item h="1" x="957"/>
        <item h="1" x="331"/>
        <item h="1" x="397"/>
        <item h="1" x="542"/>
        <item h="1" x="1412"/>
        <item h="1" x="976"/>
        <item h="1" x="345"/>
        <item h="1" x="988"/>
        <item h="1" x="603"/>
        <item h="1" x="464"/>
        <item h="1" x="910"/>
        <item h="1" x="1390"/>
        <item h="1" x="371"/>
        <item h="1" x="379"/>
        <item h="1" x="1235"/>
        <item h="1" x="1064"/>
        <item h="1" x="632"/>
        <item h="1" x="317"/>
        <item h="1" x="1489"/>
        <item h="1" x="129"/>
        <item h="1" x="1326"/>
        <item h="1" x="1371"/>
        <item h="1" x="90"/>
        <item h="1" x="1232"/>
        <item h="1" x="1263"/>
        <item h="1" x="1422"/>
        <item h="1" x="1147"/>
        <item h="1" x="290"/>
        <item h="1" x="155"/>
        <item h="1" x="1257"/>
        <item h="1" x="886"/>
        <item h="1" x="503"/>
        <item h="1" x="370"/>
        <item h="1" x="1510"/>
        <item h="1" x="723"/>
        <item h="1" x="1479"/>
        <item h="1" x="1066"/>
        <item h="1" x="1057"/>
        <item h="1" x="283"/>
        <item h="1" x="733"/>
        <item h="1" x="1127"/>
        <item h="1" x="876"/>
        <item h="1" x="558"/>
        <item h="1" x="1520"/>
        <item h="1" x="857"/>
        <item h="1" x="273"/>
        <item h="1" x="1534"/>
        <item h="1" x="525"/>
        <item h="1" x="134"/>
        <item h="1" x="547"/>
        <item h="1" x="1337"/>
        <item h="1" x="265"/>
        <item h="1" x="696"/>
        <item h="1" x="1250"/>
        <item h="1" x="297"/>
        <item h="1" x="814"/>
        <item h="1" x="840"/>
        <item h="1" x="1190"/>
        <item h="1" x="535"/>
        <item h="1" x="690"/>
        <item h="1" x="1160"/>
        <item h="1" x="27"/>
        <item h="1" x="209"/>
        <item h="1" x="1325"/>
        <item h="1" x="1301"/>
        <item h="1" x="1526"/>
        <item h="1" x="1428"/>
        <item h="1" x="158"/>
        <item h="1" x="871"/>
        <item h="1" x="1538"/>
        <item h="1" x="575"/>
        <item h="1" x="1176"/>
        <item h="1" x="405"/>
        <item h="1" x="1287"/>
        <item h="1" x="934"/>
        <item h="1" x="161"/>
        <item h="1" x="1056"/>
        <item h="1" x="118"/>
        <item h="1" x="267"/>
        <item h="1" x="548"/>
        <item h="1" x="712"/>
        <item h="1" x="192"/>
        <item h="1" x="264"/>
        <item h="1" x="1175"/>
        <item h="1" x="1011"/>
        <item h="1" x="1500"/>
        <item h="1" x="1159"/>
        <item h="1" x="255"/>
        <item h="1" x="870"/>
        <item h="1" x="597"/>
        <item h="1" x="745"/>
        <item h="1" x="398"/>
        <item h="1" x="1360"/>
        <item h="1" x="406"/>
        <item h="1" x="237"/>
        <item h="1" x="294"/>
        <item h="1" x="898"/>
        <item h="1" x="804"/>
        <item h="1" x="929"/>
        <item h="1" x="1211"/>
        <item h="1" x="8"/>
        <item h="1" x="727"/>
        <item h="1" x="974"/>
        <item h="1" x="424"/>
        <item h="1" x="1347"/>
        <item h="1" x="460"/>
        <item h="1" x="1173"/>
        <item h="1" x="713"/>
        <item h="1" x="1082"/>
        <item h="1" x="760"/>
        <item h="1" x="461"/>
        <item h="1" x="808"/>
        <item h="1" x="144"/>
        <item h="1" x="1519"/>
        <item h="1" x="513"/>
        <item h="1" x="1392"/>
        <item h="1" x="679"/>
        <item h="1" x="1512"/>
        <item h="1" x="1178"/>
        <item h="1" x="262"/>
        <item h="1" x="738"/>
        <item h="1" x="521"/>
        <item h="1" x="38"/>
        <item h="1" x="1216"/>
        <item h="1" x="313"/>
        <item h="1" x="1439"/>
        <item h="1" x="250"/>
        <item h="1" x="890"/>
        <item h="1" x="1125"/>
        <item h="1" x="351"/>
        <item h="1" x="1032"/>
        <item h="1" x="1467"/>
        <item h="1" x="308"/>
        <item h="1" x="642"/>
        <item h="1" x="533"/>
        <item h="1" x="631"/>
        <item h="1" x="355"/>
        <item h="1" x="1273"/>
        <item h="1" x="801"/>
        <item h="1" x="455"/>
        <item h="1" x="716"/>
        <item h="1" x="45"/>
        <item h="1" x="282"/>
        <item h="1" x="1535"/>
        <item h="1" x="1334"/>
        <item h="1" x="926"/>
        <item h="1" x="386"/>
        <item h="1" x="637"/>
        <item h="1" x="1201"/>
        <item h="1" x="284"/>
        <item h="1" x="494"/>
        <item h="1" x="623"/>
        <item h="1" x="1258"/>
        <item h="1" x="320"/>
        <item h="1" x="380"/>
        <item h="1" x="426"/>
        <item h="1" x="861"/>
        <item h="1" x="1478"/>
        <item h="1" x="1021"/>
        <item h="1" x="610"/>
        <item h="1" x="101"/>
        <item h="1" x="1378"/>
        <item h="1" x="698"/>
        <item h="1" x="230"/>
        <item h="1" x="692"/>
        <item h="1" x="387"/>
        <item h="1" x="1142"/>
        <item h="1" x="218"/>
        <item h="1" x="737"/>
        <item h="1" x="243"/>
        <item h="1" x="412"/>
        <item h="1" x="448"/>
        <item h="1" x="444"/>
        <item h="1" x="1061"/>
        <item h="1" x="574"/>
        <item h="1" x="600"/>
        <item h="1" x="233"/>
        <item h="1" x="613"/>
        <item h="1" x="744"/>
        <item h="1" x="1528"/>
        <item h="1" x="72"/>
        <item h="1" x="1193"/>
        <item h="1" x="864"/>
        <item h="1" x="1267"/>
        <item h="1" x="236"/>
        <item h="1" x="983"/>
        <item h="1" x="590"/>
        <item h="1" x="1183"/>
        <item h="1" x="1335"/>
        <item h="1" x="61"/>
        <item h="1" x="94"/>
        <item h="1" x="11"/>
        <item h="1" x="1497"/>
        <item h="1" x="160"/>
        <item h="1" x="958"/>
        <item h="1" x="1194"/>
        <item h="1" x="157"/>
        <item h="1" x="687"/>
        <item h="1" x="717"/>
        <item h="1" x="375"/>
        <item h="1" x="1398"/>
        <item h="1" x="593"/>
        <item h="1" x="517"/>
        <item h="1" x="1161"/>
        <item h="1" x="1375"/>
        <item h="1" x="1136"/>
        <item h="1" x="1116"/>
        <item h="1" x="1402"/>
        <item h="1" x="436"/>
        <item h="1" x="222"/>
        <item h="1" x="747"/>
        <item h="1" x="1135"/>
        <item h="1" x="1162"/>
        <item h="1" x="868"/>
        <item h="1" x="874"/>
        <item h="1" x="985"/>
        <item h="1" x="1264"/>
        <item h="1" x="1122"/>
        <item h="1" x="599"/>
        <item h="1" x="1306"/>
        <item h="1" x="483"/>
        <item h="1" x="933"/>
        <item h="1" x="873"/>
        <item h="1" x="506"/>
        <item h="1" x="811"/>
        <item h="1" x="708"/>
        <item h="1" x="789"/>
        <item h="1" x="891"/>
        <item h="1" x="1150"/>
        <item h="1" x="1394"/>
        <item h="1" x="304"/>
        <item h="1" x="156"/>
        <item h="1" x="541"/>
        <item h="1" x="1476"/>
        <item h="1" x="173"/>
        <item h="1" x="1083"/>
        <item h="1" x="645"/>
        <item h="1" x="572"/>
        <item h="1" x="1018"/>
        <item h="1" x="1382"/>
        <item h="1" x="1346"/>
        <item h="1" x="227"/>
        <item h="1" x="1446"/>
        <item h="1" x="571"/>
        <item h="1" x="688"/>
        <item h="1" x="624"/>
        <item h="1" x="21"/>
        <item h="1" x="1081"/>
        <item h="1" x="1408"/>
        <item h="1" x="1189"/>
        <item h="1" x="955"/>
        <item h="1" x="735"/>
        <item h="1" x="145"/>
        <item h="1" x="702"/>
        <item h="1" x="1517"/>
        <item h="1" x="1177"/>
        <item h="1" x="563"/>
        <item h="1" x="1138"/>
        <item h="1" x="174"/>
        <item h="1" x="1383"/>
        <item h="1" x="903"/>
        <item h="1" x="602"/>
        <item h="1" x="1186"/>
        <item h="1" x="946"/>
        <item h="1" x="927"/>
        <item h="1" x="1464"/>
        <item h="1" x="1260"/>
        <item h="1" x="788"/>
        <item h="1" x="434"/>
        <item h="1" x="1152"/>
        <item h="1" x="1253"/>
        <item h="1" x="1377"/>
        <item h="1" x="849"/>
        <item h="1" x="163"/>
        <item h="1" x="724"/>
        <item h="1" x="202"/>
        <item h="1" x="74"/>
        <item h="1" x="1475"/>
        <item h="1" x="137"/>
        <item h="1" x="1261"/>
        <item h="1" x="1075"/>
        <item h="1" x="699"/>
        <item h="1" x="1090"/>
        <item h="1" x="1505"/>
        <item h="1" x="1034"/>
        <item h="1" x="1218"/>
        <item h="1" x="638"/>
        <item h="1" x="484"/>
        <item h="1" x="512"/>
        <item h="1" x="1285"/>
        <item h="1" x="413"/>
        <item h="1" x="1357"/>
        <item h="1" x="1477"/>
        <item h="1" x="454"/>
        <item h="1" x="1437"/>
        <item h="1" x="516"/>
        <item h="1" x="223"/>
        <item h="1" x="1222"/>
        <item h="1" x="938"/>
        <item h="1" x="960"/>
        <item h="1" x="80"/>
        <item h="1" x="6"/>
        <item h="1" x="1372"/>
        <item h="1" x="480"/>
        <item h="1" x="53"/>
        <item h="1" x="437"/>
        <item h="1" x="1486"/>
        <item h="1" x="152"/>
        <item h="1" x="71"/>
        <item h="1" x="945"/>
        <item h="1" x="153"/>
        <item h="1" x="390"/>
        <item h="1" x="729"/>
        <item h="1" x="123"/>
        <item h="1" x="1491"/>
        <item h="1" x="111"/>
        <item h="1" x="622"/>
        <item h="1" x="1340"/>
        <item h="1" x="740"/>
        <item h="1" x="1252"/>
        <item h="1" x="433"/>
        <item h="1" x="266"/>
        <item h="1" x="1305"/>
        <item h="1" x="1299"/>
        <item h="1" x="1154"/>
        <item h="1" x="1472"/>
        <item h="1" x="275"/>
        <item h="1" x="908"/>
        <item h="1" x="1450"/>
        <item h="1" x="529"/>
        <item h="1" x="1300"/>
        <item h="1" x="399"/>
        <item h="1" x="539"/>
        <item h="1" x="67"/>
        <item h="1" x="606"/>
        <item h="1" x="636"/>
        <item h="1" x="1387"/>
        <item h="1" x="1341"/>
        <item h="1" x="1511"/>
        <item h="1" x="565"/>
        <item h="1" x="254"/>
        <item h="1" x="372"/>
        <item h="1" x="1071"/>
        <item h="1" x="1462"/>
        <item h="1" x="98"/>
        <item h="1" x="1362"/>
        <item h="1" x="924"/>
        <item h="1" x="463"/>
        <item h="1" x="451"/>
        <item h="1" x="23"/>
        <item h="1" x="1309"/>
        <item h="1" x="800"/>
        <item h="1" x="856"/>
        <item h="1" x="797"/>
        <item h="1" x="324"/>
        <item h="1" x="1385"/>
        <item h="1" x="499"/>
        <item h="1" x="139"/>
        <item h="1" x="287"/>
        <item h="1" x="629"/>
        <item h="1" x="1048"/>
        <item h="1" x="1124"/>
        <item h="1" x="759"/>
        <item h="1" x="1291"/>
        <item h="1" x="57"/>
        <item h="1" x="1163"/>
        <item h="1" x="458"/>
        <item h="1" x="1184"/>
        <item h="1" x="344"/>
        <item h="1" x="743"/>
        <item h="1" x="612"/>
        <item h="1" x="684"/>
        <item h="1" x="530"/>
        <item h="1" x="203"/>
        <item h="1" x="1310"/>
        <item h="1" x="1196"/>
        <item h="1" x="1374"/>
        <item h="1" x="252"/>
        <item h="1" x="750"/>
        <item h="1" x="1404"/>
        <item h="1" x="338"/>
        <item h="1" x="1481"/>
        <item h="1" x="1243"/>
        <item h="1" x="1320"/>
        <item h="1" x="421"/>
        <item h="1" x="641"/>
        <item h="1" x="279"/>
        <item h="1" x="1276"/>
        <item h="1" x="1443"/>
        <item h="1" x="1074"/>
        <item h="1" x="618"/>
        <item h="1" x="601"/>
        <item h="1" x="1490"/>
        <item h="1" x="291"/>
        <item h="1" x="986"/>
        <item h="1" x="807"/>
        <item h="1" x="1418"/>
        <item h="1" x="102"/>
        <item h="1" x="1527"/>
        <item h="1" x="469"/>
        <item h="1" x="69"/>
        <item h="1" x="1407"/>
        <item h="1" x="1172"/>
        <item h="1" x="562"/>
        <item h="1" x="1212"/>
        <item h="1" x="527"/>
        <item h="1" x="116"/>
        <item h="1" x="490"/>
        <item h="1" x="368"/>
        <item h="1" x="36"/>
        <item h="1" x="1356"/>
        <item h="1" x="249"/>
        <item h="1" x="1188"/>
        <item h="1" x="78"/>
        <item h="1" x="1330"/>
        <item h="1" x="1245"/>
        <item h="1" x="977"/>
        <item h="1" x="550"/>
        <item h="1" x="354"/>
        <item h="1" x="1237"/>
        <item h="1" x="1399"/>
        <item h="1" x="416"/>
        <item h="1" x="1342"/>
        <item h="1" x="689"/>
        <item h="1" x="1482"/>
        <item h="1" x="1331"/>
        <item h="1" x="1080"/>
        <item h="1" x="643"/>
        <item h="1" x="901"/>
        <item h="1" x="793"/>
        <item h="1" x="42"/>
        <item h="1" x="181"/>
        <item h="1" x="384"/>
        <item h="1" x="1041"/>
        <item h="1" x="431"/>
        <item h="1" x="812"/>
        <item h="1" x="1"/>
        <item h="1" x="1445"/>
        <item h="1" x="428"/>
        <item h="1" x="109"/>
        <item h="1" x="1292"/>
        <item h="1" x="598"/>
        <item h="1" x="107"/>
        <item h="1" x="1182"/>
        <item h="1" x="914"/>
        <item h="1" x="376"/>
        <item h="1" x="35"/>
        <item h="1" x="919"/>
        <item h="1" x="1319"/>
        <item h="1" x="321"/>
        <item h="1" x="248"/>
        <item h="1" x="1036"/>
        <item h="1" x="991"/>
        <item h="1" x="1191"/>
        <item h="1" x="12"/>
        <item h="1" x="1156"/>
        <item h="1" x="686"/>
        <item h="1" x="543"/>
        <item h="1" x="295"/>
        <item h="1" x="728"/>
        <item h="1" x="65"/>
        <item h="1" x="1454"/>
        <item h="1" x="462"/>
        <item h="1" x="1269"/>
        <item h="1" x="846"/>
        <item h="1" x="805"/>
        <item h="1" x="758"/>
        <item h="1" x="1315"/>
        <item h="1" x="1332"/>
        <item h="1" x="487"/>
        <item h="1" x="1297"/>
        <item h="1" x="120"/>
        <item h="1" x="415"/>
        <item h="1" x="1038"/>
        <item h="1" x="251"/>
        <item h="1" x="280"/>
        <item h="1" x="975"/>
        <item h="1" x="104"/>
        <item h="1" x="989"/>
        <item h="1" x="432"/>
        <item h="1" x="675"/>
        <item h="1" x="1171"/>
        <item h="1" x="60"/>
        <item h="1" x="467"/>
        <item h="1" x="1255"/>
        <item h="1" x="364"/>
        <item h="1" x="99"/>
        <item h="1" x="1317"/>
        <item h="1" x="1463"/>
        <item h="1" x="342"/>
        <item h="1" x="0"/>
        <item h="1" x="1094"/>
        <item h="1" x="889"/>
        <item h="1" x="1393"/>
        <item h="1" x="1442"/>
        <item h="1" x="1456"/>
        <item h="1" x="923"/>
        <item h="1" x="1484"/>
        <item h="1" x="904"/>
        <item h="1" x="742"/>
        <item h="1" x="1288"/>
        <item h="1" x="24"/>
        <item h="1" x="207"/>
        <item h="1" x="1158"/>
        <item h="1" x="285"/>
        <item h="1" x="595"/>
        <item h="1" x="270"/>
        <item h="1" x="446"/>
        <item h="1" x="1381"/>
        <item h="1" x="1047"/>
        <item h="1" x="1063"/>
        <item h="1" x="1468"/>
        <item h="1" x="611"/>
        <item h="1" x="382"/>
        <item h="1" x="589"/>
        <item h="1" x="1344"/>
        <item h="1" x="1348"/>
        <item h="1" x="63"/>
        <item h="1" x="966"/>
        <item h="1" x="893"/>
        <item h="1" x="1420"/>
        <item h="1" x="980"/>
        <item h="1" x="1465"/>
        <item h="1" x="1473"/>
        <item h="1" x="346"/>
        <item h="1" x="1455"/>
        <item h="1" x="1421"/>
        <item h="1" x="691"/>
        <item h="1" x="732"/>
        <item h="1" x="1403"/>
        <item h="1" x="327"/>
        <item h="1" x="784"/>
        <item h="1" x="1164"/>
        <item h="1" x="50"/>
        <item h="1" x="394"/>
        <item h="1" x="616"/>
        <item h="1" x="1365"/>
        <item h="1" x="900"/>
        <item h="1" x="418"/>
        <item h="1" x="32"/>
        <item h="1" x="979"/>
        <item h="1" x="1522"/>
        <item h="1" x="990"/>
        <item h="1" x="438"/>
        <item h="1" x="114"/>
        <item h="1" x="1430"/>
        <item h="1" x="1384"/>
        <item h="1" x="475"/>
        <item h="1" x="915"/>
        <item h="1" x="1327"/>
        <item h="1" x="1322"/>
        <item h="1" x="315"/>
        <item h="1" x="435"/>
        <item h="1" x="925"/>
        <item h="1" x="1202"/>
        <item h="1" x="199"/>
        <item h="1" x="87"/>
        <item h="1" x="422"/>
        <item h="1" x="1179"/>
        <item h="1" x="235"/>
        <item h="1" x="54"/>
        <item h="1" x="164"/>
        <item h="1" x="1197"/>
        <item h="1" x="964"/>
        <item h="1" x="312"/>
        <item h="1" x="112"/>
        <item h="1" x="843"/>
        <item h="1" x="244"/>
        <item h="1" x="559"/>
        <item h="1" x="1359"/>
        <item h="1" x="544"/>
        <item h="1" x="272"/>
        <item h="1" x="1283"/>
        <item h="1" x="948"/>
        <item h="1" x="481"/>
        <item h="1" x="247"/>
        <item h="1" x="1386"/>
        <item h="1" x="1272"/>
        <item h="1" x="734"/>
        <item h="1" x="410"/>
        <item h="1" x="1087"/>
        <item h="1" x="47"/>
        <item h="1" x="1368"/>
        <item h="1" x="1328"/>
        <item h="1" x="86"/>
        <item h="1" x="1366"/>
        <item h="1" x="867"/>
        <item h="1" x="190"/>
        <item h="1" x="453"/>
        <item h="1" x="1259"/>
        <item h="1" x="429"/>
        <item h="1" x="189"/>
        <item h="1" x="1417"/>
        <item h="1" x="1148"/>
        <item h="1" x="385"/>
        <item h="1" x="1488"/>
        <item h="1" x="1050"/>
        <item h="1" x="685"/>
        <item h="1" x="674"/>
        <item h="1" x="449"/>
        <item h="1" x="177"/>
        <item h="1" x="854"/>
        <item h="1" x="1457"/>
        <item h="1" x="281"/>
        <item h="1" x="1198"/>
        <item h="1" x="1433"/>
        <item h="1" x="1423"/>
        <item h="1" x="962"/>
        <item h="1" x="1126"/>
        <item h="1" x="1010"/>
        <item h="1" x="1052"/>
        <item h="1" x="1174"/>
        <item h="1" x="942"/>
        <item h="1" x="504"/>
        <item h="1" x="253"/>
        <item h="1" x="1249"/>
        <item h="1" x="1474"/>
        <item h="1" x="103"/>
        <item h="1" x="869"/>
        <item h="1" x="1410"/>
        <item h="1" x="288"/>
        <item h="1" x="842"/>
        <item h="1" x="1395"/>
        <item h="1" x="730"/>
        <item h="1" x="30"/>
        <item h="1" x="232"/>
        <item h="1" x="570"/>
        <item h="1" x="1461"/>
        <item h="1" x="20"/>
        <item h="1" x="1536"/>
        <item h="1" x="1024"/>
        <item h="1" x="1277"/>
        <item h="1" x="1238"/>
        <item h="1" x="1376"/>
        <item h="1" x="1145"/>
        <item h="1" x="121"/>
        <item h="1" x="1388"/>
        <item h="1" x="1470"/>
        <item h="1" x="1065"/>
        <item h="1" x="917"/>
        <item h="1" x="1293"/>
        <item h="1" x="968"/>
        <item h="1" x="88"/>
        <item h="1" x="1451"/>
        <item h="1" x="1040"/>
        <item h="1" x="1363"/>
        <item h="1" x="146"/>
        <item h="1" x="381"/>
        <item h="1" x="795"/>
        <item h="1" x="1268"/>
        <item h="1" x="187"/>
        <item h="1" x="582"/>
        <item h="1" x="848"/>
        <item h="1" x="1453"/>
        <item h="1" x="1414"/>
        <item h="1" x="212"/>
        <item h="1" x="1413"/>
        <item h="1" x="608"/>
        <item h="1" x="73"/>
        <item h="1" x="1447"/>
        <item h="1" x="984"/>
        <item h="1" x="1236"/>
        <item h="1" x="439"/>
        <item h="1" x="142"/>
        <item h="1" x="83"/>
        <item h="1" x="538"/>
        <item h="1" x="1345"/>
        <item h="1" x="1270"/>
        <item h="1" x="1117"/>
        <item h="1" x="323"/>
        <item h="1" x="48"/>
        <item h="1" x="1409"/>
        <item h="1" x="877"/>
        <item h="1" x="644"/>
        <item h="1" x="756"/>
        <item h="1" x="1067"/>
        <item h="1" x="1352"/>
        <item h="1" x="852"/>
        <item h="1" x="1214"/>
        <item h="1" x="369"/>
        <item h="1" x="325"/>
        <item h="1" x="1244"/>
        <item h="1" x="1483"/>
        <item h="1" x="363"/>
        <item h="1" x="963"/>
        <item h="1" x="981"/>
        <item h="1" x="336"/>
        <item h="1" x="489"/>
        <item h="1" x="746"/>
        <item h="1" x="1316"/>
        <item h="1" x="362"/>
        <item h="1" x="193"/>
        <item h="1" x="108"/>
        <item h="1" x="1364"/>
        <item h="1" x="567"/>
        <item h="1" x="140"/>
        <item h="1" x="238"/>
        <item h="1" x="1460"/>
        <item h="1" x="761"/>
        <item h="1" x="493"/>
        <item h="1" x="113"/>
        <item h="1" x="882"/>
        <item h="1" x="216"/>
        <item h="1" x="333"/>
        <item h="1" x="1049"/>
        <item h="1" x="488"/>
        <item h="1" x="972"/>
        <item h="1" x="274"/>
        <item h="1" x="1459"/>
        <item h="1" x="13"/>
        <item h="1" x="200"/>
        <item h="1" x="425"/>
        <item h="1" x="741"/>
        <item h="1" x="1167"/>
        <item h="1" x="414"/>
        <item h="1" x="66"/>
        <item h="1" x="357"/>
        <item h="1" x="1380"/>
        <item h="1" x="1471"/>
        <item h="1" x="546"/>
        <item h="1" x="607"/>
        <item h="1" x="1444"/>
        <item h="1" x="378"/>
        <item h="1" x="360"/>
        <item h="1" x="1440"/>
        <item h="1" x="352"/>
        <item h="1" x="1026"/>
        <item h="1" x="736"/>
        <item h="1" x="1280"/>
        <item h="1" x="1031"/>
        <item h="1" x="1286"/>
        <item h="1" x="880"/>
        <item h="1" x="5"/>
        <item h="1" x="361"/>
        <item h="1" x="89"/>
        <item h="1" x="564"/>
        <item h="1" x="1338"/>
        <item h="1" x="887"/>
        <item h="1" x="502"/>
        <item h="1" x="693"/>
        <item h="1" x="29"/>
        <item h="1" x="640"/>
        <item h="1" x="409"/>
        <item h="1" x="858"/>
        <item h="1" x="1053"/>
        <item h="1" x="1429"/>
        <item h="1" x="1070"/>
        <item h="1" x="507"/>
        <item h="1" x="1307"/>
        <item h="1" x="1025"/>
        <item h="1" x="796"/>
        <item h="1" x="147"/>
        <item h="1" x="1303"/>
        <item h="1" x="417"/>
        <item h="1" x="1206"/>
        <item h="1" x="1284"/>
        <item h="1" x="1085"/>
        <item h="1" x="509"/>
        <item h="1" x="1035"/>
        <item h="1" x="127"/>
        <item h="1" x="676"/>
        <item h="1" x="328"/>
        <item h="1" x="1389"/>
        <item h="1" x="875"/>
        <item h="1" x="1055"/>
        <item h="1" x="64"/>
        <item h="1" x="1077"/>
        <item h="1" x="208"/>
        <item h="1" x="15"/>
        <item h="1" x="1213"/>
        <item h="1" x="485"/>
        <item h="1" x="1069"/>
        <item h="1" x="1427"/>
        <item h="1" x="1396"/>
        <item h="1" x="1329"/>
        <item h="1" x="922"/>
        <item h="1" x="1207"/>
        <item h="1" x="204"/>
        <item h="1" x="1027"/>
        <item h="1" x="500"/>
        <item h="1" x="1400"/>
        <item h="1" x="97"/>
        <item h="1" x="681"/>
        <item h="1" x="1092"/>
        <item h="1" x="651"/>
        <item h="1" x="787"/>
        <item h="1" x="37"/>
        <item h="1" x="879"/>
        <item h="1" x="1046"/>
        <item h="1" x="403"/>
        <item h="1" x="1089"/>
        <item h="1" x="1073"/>
        <item h="1" x="669"/>
        <item h="1" x="79"/>
        <item h="1" x="10"/>
        <item h="1" x="951"/>
        <item h="1" x="149"/>
        <item h="1" x="1415"/>
        <item h="1" x="1391"/>
        <item h="1" x="1406"/>
        <item h="1" x="1336"/>
        <item h="1" x="940"/>
        <item h="1" x="1095"/>
        <item h="1" x="443"/>
        <item h="1" x="3"/>
        <item h="1" x="556"/>
        <item h="1" x="1449"/>
        <item h="1" x="1037"/>
        <item h="1" x="40"/>
        <item h="1" x="242"/>
        <item h="1" x="1469"/>
        <item h="1" x="1017"/>
        <item h="1" x="486"/>
        <item h="1" x="205"/>
        <item h="1" x="1509"/>
        <item h="1" x="25"/>
        <item h="1" x="1487"/>
        <item h="1" x="191"/>
        <item h="1" x="404"/>
        <item h="1" x="135"/>
        <item h="1" x="1434"/>
        <item h="1" x="1349"/>
        <item h="1" x="1373"/>
        <item h="1" x="992"/>
        <item h="1" x="148"/>
        <item h="1" x="277"/>
        <item h="1" x="1023"/>
        <item h="1" x="751"/>
        <item h="1" x="197"/>
        <item h="1" x="81"/>
        <item h="1" x="359"/>
        <item h="1" x="639"/>
        <item h="1" x="470"/>
        <item h="1" x="423"/>
        <item h="1" x="1311"/>
        <item h="1" x="1278"/>
        <item h="1" x="1274"/>
        <item h="1" x="76"/>
        <item h="1" x="580"/>
        <item h="1" x="184"/>
        <item h="1" x="210"/>
        <item h="1" x="844"/>
        <item h="1" x="2"/>
        <item h="1" x="965"/>
        <item h="1" x="34"/>
        <item h="1" x="943"/>
        <item h="1" x="44"/>
        <item h="1" x="1079"/>
        <item h="1" x="677"/>
        <item h="1" x="420"/>
        <item h="1" x="855"/>
        <item h="1" x="850"/>
        <item h="1" x="1068"/>
        <item h="1" x="757"/>
        <item h="1" x="1354"/>
        <item h="1" x="1379"/>
        <item h="1" x="501"/>
        <item h="1" x="400"/>
        <item h="1" x="430"/>
        <item h="1" x="495"/>
        <item h="1" x="1078"/>
        <item h="1" x="753"/>
        <item h="1" x="941"/>
        <item h="1" x="954"/>
        <item h="1" x="106"/>
        <item h="1" x="1313"/>
        <item h="1" x="31"/>
        <item h="1" x="365"/>
        <item h="1" x="1358"/>
        <item h="1" x="931"/>
        <item h="1" x="1401"/>
        <item h="1" x="1436"/>
        <item h="1" x="125"/>
        <item h="1" x="863"/>
        <item h="1" x="1480"/>
        <item h="1" x="1458"/>
        <item h="1" x="474"/>
        <item h="1" x="1537"/>
        <item h="1" x="1013"/>
        <item h="1" x="196"/>
        <item h="1" x="1200"/>
        <item h="1" x="970"/>
        <item h="1" x="9"/>
        <item h="1" x="646"/>
        <item h="1" x="609"/>
        <item h="1" x="1323"/>
        <item h="1" x="124"/>
        <item h="1" x="1076"/>
        <item h="1" x="1350"/>
        <item h="1" x="754"/>
        <item h="1" x="1448"/>
        <item h="1" x="441"/>
        <item h="1" x="131"/>
        <item h="1" x="652"/>
        <item h="1" x="473"/>
        <item h="1" x="1096"/>
        <item h="1" x="14"/>
        <item h="1" x="1353"/>
        <item h="1" x="138"/>
        <item h="1" x="17"/>
        <item h="1" x="1281"/>
        <item h="1" x="860"/>
        <item h="1" x="1054"/>
        <item h="1" x="82"/>
        <item h="1" x="1271"/>
        <item h="1" x="1215"/>
        <item h="1" x="935"/>
        <item h="1" x="872"/>
        <item h="1" x="953"/>
        <item h="1" x="322"/>
        <item h="1" x="471"/>
        <item h="1" x="49"/>
        <item h="1" x="508"/>
        <item h="1" x="649"/>
        <item h="1" x="1088"/>
        <item h="1" x="1514"/>
        <item h="1" x="16"/>
        <item h="1" x="987"/>
        <item h="1" x="930"/>
        <item h="1" x="150"/>
        <item h="1" x="180"/>
        <item h="1" x="143"/>
        <item h="1" x="694"/>
        <item h="1" x="39"/>
        <item h="1" x="326"/>
        <item h="1" x="1435"/>
        <item h="1" x="932"/>
        <item h="1" x="557"/>
        <item h="1" x="755"/>
        <item h="1" x="128"/>
        <item h="1" x="26"/>
        <item h="1" x="132"/>
        <item h="1" x="211"/>
        <item h="1" x="752"/>
        <item h="1" x="1242"/>
        <item h="1" x="402"/>
        <item h="1" x="46"/>
        <item h="1" x="1416"/>
        <item h="1" x="1438"/>
        <item h="1" x="366"/>
        <item h="1" x="1028"/>
        <item h="1" x="28"/>
        <item h="1" x="136"/>
        <item h="1" x="1333"/>
        <item h="1" x="1072"/>
        <item h="1" x="7"/>
        <item h="1" x="845"/>
        <item h="1" x="1209"/>
        <item h="1" x="1367"/>
        <item h="1" x="614"/>
        <item h="1" x="154"/>
        <item h="1" x="4"/>
        <item h="1" x="33"/>
        <item h="1" x="478"/>
        <item h="1" x="695"/>
        <item h="1" x="817"/>
        <item h="1" x="119"/>
        <item h="1" x="241"/>
        <item h="1" x="75"/>
        <item h="1" x="52"/>
        <item h="1" x="477"/>
        <item h="1" x="816"/>
        <item h="1" x="183"/>
        <item h="1" x="396"/>
        <item h="1" x="141"/>
        <item h="1" x="492"/>
        <item h="1" x="58"/>
        <item h="1" x="445"/>
        <item h="1" x="22"/>
        <item h="1" x="722"/>
        <item h="1" x="1432"/>
        <item h="1" x="763"/>
        <item h="1" x="1370"/>
        <item h="1" x="188"/>
        <item h="1" x="126"/>
        <item t="default"/>
      </items>
    </pivotField>
    <pivotField compact="0" showAll="0">
      <items count="13">
        <item x="7"/>
        <item x="0"/>
        <item x="11"/>
        <item x="8"/>
        <item x="1"/>
        <item x="9"/>
        <item x="2"/>
        <item h="1" x="3"/>
        <item x="10"/>
        <item x="4"/>
        <item x="5"/>
        <item x="6"/>
        <item t="default"/>
      </items>
    </pivotField>
    <pivotField compact="0" showAll="0">
      <items count="4">
        <item x="0"/>
        <item x="1"/>
        <item x="2"/>
        <item t="default"/>
      </items>
    </pivotField>
  </pivotFields>
  <rowFields count="1">
    <field x="10"/>
  </rowFields>
  <rowItems count="11">
    <i>
      <x v="5"/>
    </i>
    <i>
      <x v="10"/>
    </i>
    <i>
      <x v="11"/>
    </i>
    <i>
      <x v="8"/>
    </i>
    <i>
      <x v="13"/>
    </i>
    <i>
      <x v="19"/>
    </i>
    <i>
      <x v="17"/>
    </i>
    <i>
      <x v="18"/>
    </i>
    <i>
      <x v="4"/>
    </i>
    <i>
      <x v="7"/>
    </i>
    <i t="grand">
      <x/>
    </i>
  </rowItems>
  <colItems count="1">
    <i/>
  </colItems>
  <dataFields count="1">
    <dataField name="Sum of REVENUE" fld="11" baseField="0" baseItem="0" numFmtId="181"/>
  </dataFields>
  <pivotTableStyleInfo name="PivotStylePreset3_Accent6" showRowHeaders="1" showColHeaders="1" showLastColumn="1"/>
  <filters count="1">
    <filter evalOrder="-1" fld="10" iMeasureFld="0" id="1"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B7" firstHeaderRow="1" firstDataRow="1" firstDataCol="1"/>
  <pivotFields count="14">
    <pivotField compact="0" showAll="0">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pivotField>
    <pivotField compact="0" numFmtId="178" showAll="0">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compact="0" numFmtId="178"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compact="0" numFmtId="8" showAll="0">
      <items count="1017">
        <item x="466"/>
        <item x="453"/>
        <item x="539"/>
        <item x="460"/>
        <item x="456"/>
        <item x="459"/>
        <item x="540"/>
        <item x="244"/>
        <item x="533"/>
        <item x="462"/>
        <item x="500"/>
        <item x="572"/>
        <item x="538"/>
        <item x="449"/>
        <item x="546"/>
        <item x="454"/>
        <item x="537"/>
        <item x="499"/>
        <item x="571"/>
        <item x="139"/>
        <item x="765"/>
        <item x="541"/>
        <item x="762"/>
        <item x="452"/>
        <item x="585"/>
        <item x="543"/>
        <item x="458"/>
        <item x="583"/>
        <item x="695"/>
        <item x="698"/>
        <item x="10"/>
        <item x="463"/>
        <item x="704"/>
        <item x="837"/>
        <item x="759"/>
        <item x="576"/>
        <item x="450"/>
        <item x="70"/>
        <item x="758"/>
        <item x="573"/>
        <item x="542"/>
        <item x="93"/>
        <item x="438"/>
        <item x="464"/>
        <item x="164"/>
        <item x="766"/>
        <item x="578"/>
        <item x="832"/>
        <item x="489"/>
        <item x="455"/>
        <item x="700"/>
        <item x="575"/>
        <item x="547"/>
        <item x="457"/>
        <item x="655"/>
        <item x="706"/>
        <item x="163"/>
        <item x="531"/>
        <item x="497"/>
        <item x="451"/>
        <item x="838"/>
        <item x="491"/>
        <item x="461"/>
        <item x="534"/>
        <item x="767"/>
        <item x="835"/>
        <item x="183"/>
        <item x="587"/>
        <item x="581"/>
        <item x="549"/>
        <item x="696"/>
        <item x="496"/>
        <item x="763"/>
        <item x="532"/>
        <item x="582"/>
        <item x="270"/>
        <item x="760"/>
        <item x="830"/>
        <item x="703"/>
        <item x="1001"/>
        <item x="757"/>
        <item x="81"/>
        <item x="536"/>
        <item x="580"/>
        <item x="702"/>
        <item x="545"/>
        <item x="833"/>
        <item x="697"/>
        <item x="488"/>
        <item x="630"/>
        <item x="448"/>
        <item x="544"/>
        <item x="701"/>
        <item x="584"/>
        <item x="586"/>
        <item x="436"/>
        <item x="535"/>
        <item x="117"/>
        <item x="574"/>
        <item x="368"/>
        <item x="141"/>
        <item x="99"/>
        <item x="367"/>
        <item x="776"/>
        <item x="577"/>
        <item x="755"/>
        <item x="708"/>
        <item x="841"/>
        <item x="1004"/>
        <item x="999"/>
        <item x="781"/>
        <item x="699"/>
        <item x="102"/>
        <item x="1005"/>
        <item x="486"/>
        <item x="16"/>
        <item x="579"/>
        <item x="756"/>
        <item x="992"/>
        <item x="369"/>
        <item x="997"/>
        <item x="226"/>
        <item x="371"/>
        <item x="839"/>
        <item x="784"/>
        <item x="761"/>
        <item x="993"/>
        <item x="494"/>
        <item x="258"/>
        <item x="772"/>
        <item x="836"/>
        <item x="782"/>
        <item x="416"/>
        <item x="25"/>
        <item x="269"/>
        <item x="215"/>
        <item x="364"/>
        <item x="422"/>
        <item x="495"/>
        <item x="842"/>
        <item x="769"/>
        <item x="492"/>
        <item x="20"/>
        <item x="990"/>
        <item x="764"/>
        <item x="434"/>
        <item x="493"/>
        <item x="840"/>
        <item x="208"/>
        <item x="106"/>
        <item x="1006"/>
        <item x="182"/>
        <item x="780"/>
        <item x="624"/>
        <item x="156"/>
        <item x="97"/>
        <item x="991"/>
        <item x="848"/>
        <item x="176"/>
        <item x="487"/>
        <item x="159"/>
        <item x="82"/>
        <item x="198"/>
        <item x="1010"/>
        <item x="794"/>
        <item x="316"/>
        <item x="849"/>
        <item x="365"/>
        <item x="231"/>
        <item x="96"/>
        <item x="94"/>
        <item x="831"/>
        <item x="618"/>
        <item x="1007"/>
        <item x="144"/>
        <item x="425"/>
        <item x="716"/>
        <item x="711"/>
        <item x="484"/>
        <item x="317"/>
        <item x="242"/>
        <item x="490"/>
        <item x="446"/>
        <item x="1011"/>
        <item x="153"/>
        <item x="789"/>
        <item x="15"/>
        <item x="101"/>
        <item x="435"/>
        <item x="199"/>
        <item x="107"/>
        <item x="374"/>
        <item x="235"/>
        <item x="834"/>
        <item x="771"/>
        <item x="209"/>
        <item x="855"/>
        <item x="323"/>
        <item x="218"/>
        <item x="33"/>
        <item x="417"/>
        <item x="989"/>
        <item x="626"/>
        <item x="213"/>
        <item x="210"/>
        <item x="792"/>
        <item x="114"/>
        <item x="324"/>
        <item x="179"/>
        <item x="420"/>
        <item x="678"/>
        <item x="212"/>
        <item x="847"/>
        <item x="370"/>
        <item x="104"/>
        <item x="790"/>
        <item x="330"/>
        <item x="178"/>
        <item x="998"/>
        <item x="233"/>
        <item x="418"/>
        <item x="485"/>
        <item x="366"/>
        <item x="145"/>
        <item x="642"/>
        <item x="873"/>
        <item x="166"/>
        <item x="779"/>
        <item x="38"/>
        <item x="103"/>
        <item x="120"/>
        <item x="22"/>
        <item x="325"/>
        <item x="941"/>
        <item x="802"/>
        <item x="98"/>
        <item x="857"/>
        <item x="778"/>
        <item x="39"/>
        <item x="409"/>
        <item x="987"/>
        <item x="1013"/>
        <item x="205"/>
        <item x="770"/>
        <item x="634"/>
        <item x="327"/>
        <item x="566"/>
        <item x="109"/>
        <item x="514"/>
        <item x="1002"/>
        <item x="811"/>
        <item x="116"/>
        <item x="791"/>
        <item x="686"/>
        <item x="1003"/>
        <item x="856"/>
        <item x="405"/>
        <item x="275"/>
        <item x="158"/>
        <item x="629"/>
        <item x="815"/>
        <item x="995"/>
        <item x="326"/>
        <item x="32"/>
        <item x="602"/>
        <item x="850"/>
        <item x="227"/>
        <item x="148"/>
        <item x="363"/>
        <item x="119"/>
        <item x="994"/>
        <item x="108"/>
        <item x="177"/>
        <item x="927"/>
        <item x="985"/>
        <item x="783"/>
        <item x="239"/>
        <item x="196"/>
        <item x="376"/>
        <item x="100"/>
        <item x="373"/>
        <item x="68"/>
        <item x="322"/>
        <item x="933"/>
        <item x="361"/>
        <item x="996"/>
        <item x="237"/>
        <item x="206"/>
        <item x="628"/>
        <item x="804"/>
        <item x="501"/>
        <item x="564"/>
        <item x="111"/>
        <item x="328"/>
        <item x="297"/>
        <item x="818"/>
        <item x="632"/>
        <item x="974"/>
        <item x="150"/>
        <item x="675"/>
        <item x="433"/>
        <item x="1012"/>
        <item x="406"/>
        <item x="175"/>
        <item x="512"/>
        <item x="551"/>
        <item x="796"/>
        <item x="372"/>
        <item x="246"/>
        <item x="871"/>
        <item x="623"/>
        <item x="687"/>
        <item x="777"/>
        <item x="414"/>
        <item x="171"/>
        <item x="391"/>
        <item x="798"/>
        <item x="299"/>
        <item x="676"/>
        <item x="407"/>
        <item x="335"/>
        <item x="889"/>
        <item x="204"/>
        <item x="385"/>
        <item x="785"/>
        <item x="411"/>
        <item x="423"/>
        <item x="728"/>
        <item x="793"/>
        <item x="503"/>
        <item x="552"/>
        <item x="149"/>
        <item x="200"/>
        <item x="180"/>
        <item x="821"/>
        <item x="518"/>
        <item x="377"/>
        <item x="174"/>
        <item x="807"/>
        <item x="689"/>
        <item x="973"/>
        <item x="858"/>
        <item x="273"/>
        <item x="502"/>
        <item x="567"/>
        <item x="473"/>
        <item x="155"/>
        <item x="197"/>
        <item x="419"/>
        <item x="23"/>
        <item x="877"/>
        <item x="805"/>
        <item x="46"/>
        <item x="211"/>
        <item x="980"/>
        <item x="1015"/>
        <item x="725"/>
        <item x="146"/>
        <item x="625"/>
        <item x="476"/>
        <item x="396"/>
        <item x="875"/>
        <item x="801"/>
        <item x="344"/>
        <item x="775"/>
        <item x="152"/>
        <item x="617"/>
        <item x="240"/>
        <item x="635"/>
        <item x="125"/>
        <item x="36"/>
        <item x="480"/>
        <item x="774"/>
        <item x="730"/>
        <item x="808"/>
        <item x="45"/>
        <item x="388"/>
        <item x="160"/>
        <item x="207"/>
        <item x="105"/>
        <item x="978"/>
        <item x="238"/>
        <item x="508"/>
        <item x="647"/>
        <item x="49"/>
        <item x="773"/>
        <item x="1009"/>
        <item x="752"/>
        <item x="823"/>
        <item x="31"/>
        <item x="69"/>
        <item x="201"/>
        <item x="228"/>
        <item x="982"/>
        <item x="1008"/>
        <item x="852"/>
        <item x="795"/>
        <item x="53"/>
        <item x="319"/>
        <item x="408"/>
        <item x="130"/>
        <item x="140"/>
        <item x="74"/>
        <item x="203"/>
        <item x="679"/>
        <item x="217"/>
        <item x="19"/>
        <item x="243"/>
        <item x="260"/>
        <item x="168"/>
        <item x="560"/>
        <item x="510"/>
        <item x="519"/>
        <item x="412"/>
        <item x="878"/>
        <item x="202"/>
        <item x="136"/>
        <item x="479"/>
        <item x="622"/>
        <item x="955"/>
        <item x="853"/>
        <item x="24"/>
        <item x="923"/>
        <item x="509"/>
        <item x="786"/>
        <item x="646"/>
        <item x="819"/>
        <item x="619"/>
        <item x="401"/>
        <item x="682"/>
        <item x="734"/>
        <item x="415"/>
        <item x="513"/>
        <item x="935"/>
        <item x="71"/>
        <item x="881"/>
        <item x="864"/>
        <item x="946"/>
        <item x="298"/>
        <item x="851"/>
        <item x="129"/>
        <item x="468"/>
        <item x="733"/>
        <item x="318"/>
        <item x="949"/>
        <item x="826"/>
        <item x="236"/>
        <item x="797"/>
        <item x="137"/>
        <item x="315"/>
        <item x="143"/>
        <item x="557"/>
        <item x="64"/>
        <item x="312"/>
        <item x="662"/>
        <item x="627"/>
        <item x="234"/>
        <item x="984"/>
        <item x="694"/>
        <item x="866"/>
        <item x="284"/>
        <item x="645"/>
        <item x="320"/>
        <item x="613"/>
        <item x="800"/>
        <item x="854"/>
        <item x="470"/>
        <item x="620"/>
        <item x="167"/>
        <item x="241"/>
        <item x="413"/>
        <item x="944"/>
        <item x="14"/>
        <item x="637"/>
        <item x="34"/>
        <item x="421"/>
        <item x="556"/>
        <item x="186"/>
        <item x="169"/>
        <item x="474"/>
        <item x="410"/>
        <item x="61"/>
        <item x="685"/>
        <item x="147"/>
        <item x="329"/>
        <item x="640"/>
        <item x="621"/>
        <item x="395"/>
        <item x="381"/>
        <item x="554"/>
        <item x="173"/>
        <item x="232"/>
        <item x="478"/>
        <item x="925"/>
        <item x="892"/>
        <item x="349"/>
        <item x="65"/>
        <item x="680"/>
        <item x="903"/>
        <item x="735"/>
        <item x="639"/>
        <item x="565"/>
        <item x="172"/>
        <item x="404"/>
        <item x="465"/>
        <item x="245"/>
        <item x="517"/>
        <item x="870"/>
        <item x="289"/>
        <item x="868"/>
        <item x="597"/>
        <item x="314"/>
        <item x="787"/>
        <item x="195"/>
        <item x="188"/>
        <item x="721"/>
        <item x="829"/>
        <item x="612"/>
        <item x="981"/>
        <item x="357"/>
        <item x="170"/>
        <item x="731"/>
        <item x="230"/>
        <item x="562"/>
        <item x="876"/>
        <item x="846"/>
        <item x="151"/>
        <item x="26"/>
        <item x="862"/>
        <item x="690"/>
        <item x="638"/>
        <item x="447"/>
        <item x="810"/>
        <item x="185"/>
        <item x="900"/>
        <item x="483"/>
        <item x="380"/>
        <item x="402"/>
        <item x="506"/>
        <item x="664"/>
        <item x="814"/>
        <item x="263"/>
        <item x="641"/>
        <item x="44"/>
        <item x="112"/>
        <item x="945"/>
        <item x="726"/>
        <item x="9"/>
        <item x="588"/>
        <item x="553"/>
        <item x="154"/>
        <item x="387"/>
        <item x="321"/>
        <item x="392"/>
        <item x="609"/>
        <item x="813"/>
        <item x="671"/>
        <item x="631"/>
        <item x="692"/>
        <item x="684"/>
        <item x="806"/>
        <item x="310"/>
        <item x="251"/>
        <item x="285"/>
        <item x="693"/>
        <item x="386"/>
        <item x="51"/>
        <item x="521"/>
        <item x="817"/>
        <item x="604"/>
        <item x="636"/>
        <item x="812"/>
        <item x="229"/>
        <item x="351"/>
        <item x="472"/>
        <item x="126"/>
        <item x="255"/>
        <item x="561"/>
        <item x="979"/>
        <item x="121"/>
        <item x="505"/>
        <item x="57"/>
        <item x="394"/>
        <item x="594"/>
        <item x="947"/>
        <item x="929"/>
        <item x="614"/>
        <item x="522"/>
        <item x="788"/>
        <item x="352"/>
        <item x="722"/>
        <item x="874"/>
        <item x="550"/>
        <item x="132"/>
        <item x="194"/>
        <item x="249"/>
        <item x="859"/>
        <item x="400"/>
        <item x="803"/>
        <item x="50"/>
        <item x="688"/>
        <item x="934"/>
        <item x="737"/>
        <item x="75"/>
        <item x="872"/>
        <item x="724"/>
        <item x="563"/>
        <item x="469"/>
        <item x="339"/>
        <item x="21"/>
        <item x="356"/>
        <item x="511"/>
        <item x="986"/>
        <item x="384"/>
        <item x="799"/>
        <item x="393"/>
        <item x="932"/>
        <item x="29"/>
        <item x="190"/>
        <item x="507"/>
        <item x="902"/>
        <item x="977"/>
        <item x="382"/>
        <item x="668"/>
        <item x="11"/>
        <item x="293"/>
        <item x="398"/>
        <item x="59"/>
        <item x="926"/>
        <item x="17"/>
        <item x="189"/>
        <item x="643"/>
        <item x="606"/>
        <item x="683"/>
        <item x="672"/>
        <item x="353"/>
        <item x="865"/>
        <item x="880"/>
        <item x="56"/>
        <item x="718"/>
        <item x="809"/>
        <item x="633"/>
        <item x="882"/>
        <item x="820"/>
        <item x="691"/>
        <item x="390"/>
        <item x="660"/>
        <item x="286"/>
        <item x="216"/>
        <item x="520"/>
        <item x="720"/>
        <item x="135"/>
        <item x="884"/>
        <item x="879"/>
        <item x="928"/>
        <item x="295"/>
        <item x="715"/>
        <item x="37"/>
        <item x="616"/>
        <item x="822"/>
        <item x="250"/>
        <item x="138"/>
        <item x="123"/>
        <item x="304"/>
        <item x="965"/>
        <item x="610"/>
        <item x="27"/>
        <item x="593"/>
        <item x="658"/>
        <item x="893"/>
        <item x="824"/>
        <item x="375"/>
        <item x="751"/>
        <item x="527"/>
        <item x="477"/>
        <item x="961"/>
        <item x="399"/>
        <item x="504"/>
        <item x="296"/>
        <item x="661"/>
        <item x="379"/>
        <item x="863"/>
        <item x="279"/>
        <item x="951"/>
        <item x="555"/>
        <item x="528"/>
        <item x="744"/>
        <item x="939"/>
        <item x="930"/>
        <item x="342"/>
        <item x="516"/>
        <item x="723"/>
        <item x="753"/>
        <item x="288"/>
        <item x="378"/>
        <item x="607"/>
        <item x="1"/>
        <item x="861"/>
        <item x="52"/>
        <item x="970"/>
        <item x="559"/>
        <item x="63"/>
        <item x="252"/>
        <item x="515"/>
        <item x="816"/>
        <item x="890"/>
        <item x="681"/>
        <item x="343"/>
        <item x="936"/>
        <item x="953"/>
        <item x="558"/>
        <item x="825"/>
        <item x="397"/>
        <item x="300"/>
        <item x="122"/>
        <item x="931"/>
        <item x="742"/>
        <item x="968"/>
        <item x="768"/>
        <item x="346"/>
        <item x="259"/>
        <item x="843"/>
        <item x="916"/>
        <item x="193"/>
        <item x="290"/>
        <item x="746"/>
        <item x="976"/>
        <item x="548"/>
        <item x="54"/>
        <item x="670"/>
        <item x="467"/>
        <item x="605"/>
        <item x="219"/>
        <item x="883"/>
        <item x="595"/>
        <item x="3"/>
        <item x="736"/>
        <item x="727"/>
        <item x="350"/>
        <item x="383"/>
        <item x="963"/>
        <item x="247"/>
        <item x="523"/>
        <item x="41"/>
        <item x="60"/>
        <item x="921"/>
        <item x="663"/>
        <item x="131"/>
        <item x="895"/>
        <item x="886"/>
        <item x="600"/>
        <item x="157"/>
        <item x="256"/>
        <item x="306"/>
        <item x="431"/>
        <item x="913"/>
        <item x="333"/>
        <item x="282"/>
        <item x="615"/>
        <item x="719"/>
        <item x="267"/>
        <item x="313"/>
        <item x="599"/>
        <item x="83"/>
        <item x="975"/>
        <item x="389"/>
        <item x="924"/>
        <item x="187"/>
        <item x="28"/>
        <item x="964"/>
        <item x="128"/>
        <item x="717"/>
        <item x="498"/>
        <item x="665"/>
        <item x="338"/>
        <item x="740"/>
        <item x="745"/>
        <item x="332"/>
        <item x="914"/>
        <item x="601"/>
        <item x="268"/>
        <item x="937"/>
        <item x="905"/>
        <item x="359"/>
        <item x="287"/>
        <item x="6"/>
        <item x="959"/>
        <item x="192"/>
        <item x="91"/>
        <item x="303"/>
        <item x="666"/>
        <item x="948"/>
        <item x="336"/>
        <item x="899"/>
        <item x="983"/>
        <item x="713"/>
        <item x="530"/>
        <item x="652"/>
        <item x="261"/>
        <item x="922"/>
        <item x="18"/>
        <item x="334"/>
        <item x="481"/>
        <item x="294"/>
        <item x="360"/>
        <item x="272"/>
        <item x="938"/>
        <item x="85"/>
        <item x="225"/>
        <item x="1000"/>
        <item x="952"/>
        <item x="669"/>
        <item x="526"/>
        <item x="305"/>
        <item x="732"/>
        <item x="89"/>
        <item x="988"/>
        <item x="403"/>
        <item x="896"/>
        <item x="441"/>
        <item x="475"/>
        <item x="589"/>
        <item x="747"/>
        <item x="891"/>
        <item x="253"/>
        <item x="917"/>
        <item x="354"/>
        <item x="430"/>
        <item x="915"/>
        <item x="650"/>
        <item x="437"/>
        <item x="142"/>
        <item x="738"/>
        <item x="223"/>
        <item x="957"/>
        <item x="897"/>
        <item x="76"/>
        <item x="124"/>
        <item x="888"/>
        <item x="439"/>
        <item x="869"/>
        <item x="909"/>
        <item x="278"/>
        <item x="919"/>
        <item x="266"/>
        <item x="331"/>
        <item x="221"/>
        <item x="337"/>
        <item x="307"/>
        <item x="48"/>
        <item x="596"/>
        <item x="248"/>
        <item x="867"/>
        <item x="887"/>
        <item x="355"/>
        <item x="667"/>
        <item x="283"/>
        <item x="827"/>
        <item x="110"/>
        <item x="729"/>
        <item x="654"/>
        <item x="265"/>
        <item x="960"/>
        <item x="428"/>
        <item x="58"/>
        <item x="341"/>
        <item x="969"/>
        <item x="184"/>
        <item x="358"/>
        <item x="908"/>
        <item x="659"/>
        <item x="920"/>
        <item x="127"/>
        <item x="649"/>
        <item x="956"/>
        <item x="592"/>
        <item x="220"/>
        <item x="309"/>
        <item x="429"/>
        <item x="885"/>
        <item x="971"/>
        <item x="471"/>
        <item x="673"/>
        <item x="906"/>
        <item x="88"/>
        <item x="714"/>
        <item x="134"/>
        <item x="280"/>
        <item x="901"/>
        <item x="950"/>
        <item x="962"/>
        <item x="651"/>
        <item x="348"/>
        <item x="674"/>
        <item x="133"/>
        <item x="55"/>
        <item x="8"/>
        <item x="748"/>
        <item x="598"/>
        <item x="345"/>
        <item x="262"/>
        <item x="281"/>
        <item x="95"/>
        <item x="222"/>
        <item x="912"/>
        <item x="73"/>
        <item x="78"/>
        <item x="966"/>
        <item x="274"/>
        <item x="427"/>
        <item x="62"/>
        <item x="529"/>
        <item x="86"/>
        <item x="749"/>
        <item x="712"/>
        <item x="568"/>
        <item x="440"/>
        <item x="904"/>
        <item x="608"/>
        <item x="271"/>
        <item x="301"/>
        <item x="954"/>
        <item x="898"/>
        <item x="482"/>
        <item x="525"/>
        <item x="677"/>
        <item x="254"/>
        <item x="590"/>
        <item x="2"/>
        <item x="214"/>
        <item x="291"/>
        <item x="754"/>
        <item x="844"/>
        <item x="707"/>
        <item x="92"/>
        <item x="445"/>
        <item x="302"/>
        <item x="967"/>
        <item x="47"/>
        <item x="741"/>
        <item x="972"/>
        <item x="90"/>
        <item x="292"/>
        <item x="0"/>
        <item x="276"/>
        <item x="656"/>
        <item x="42"/>
        <item x="910"/>
        <item x="860"/>
        <item x="943"/>
        <item x="958"/>
        <item x="308"/>
        <item x="224"/>
        <item x="443"/>
        <item x="570"/>
        <item x="743"/>
        <item x="524"/>
        <item x="13"/>
        <item x="653"/>
        <item x="311"/>
        <item x="5"/>
        <item x="43"/>
        <item x="611"/>
        <item x="79"/>
        <item x="181"/>
        <item x="432"/>
        <item x="709"/>
        <item x="894"/>
        <item x="739"/>
        <item x="1014"/>
        <item x="67"/>
        <item x="424"/>
        <item x="444"/>
        <item x="264"/>
        <item x="347"/>
        <item x="705"/>
        <item x="340"/>
        <item x="84"/>
        <item x="911"/>
        <item x="277"/>
        <item x="603"/>
        <item x="72"/>
        <item x="828"/>
        <item x="80"/>
        <item x="426"/>
        <item x="257"/>
        <item x="161"/>
        <item x="591"/>
        <item x="845"/>
        <item x="442"/>
        <item x="648"/>
        <item x="7"/>
        <item x="113"/>
        <item x="569"/>
        <item x="191"/>
        <item x="750"/>
        <item x="165"/>
        <item x="30"/>
        <item x="940"/>
        <item x="77"/>
        <item x="35"/>
        <item x="362"/>
        <item x="710"/>
        <item x="162"/>
        <item x="118"/>
        <item x="66"/>
        <item x="115"/>
        <item x="907"/>
        <item x="657"/>
        <item x="87"/>
        <item x="942"/>
        <item x="644"/>
        <item x="918"/>
        <item x="40"/>
        <item x="12"/>
        <item x="4"/>
        <item t="default"/>
      </items>
    </pivotField>
    <pivotField compact="0" numFmtId="179"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compact="0" showAll="0">
      <items count="7">
        <item x="3"/>
        <item x="1"/>
        <item x="2"/>
        <item x="4"/>
        <item x="5"/>
        <item x="0"/>
        <item t="default"/>
      </items>
    </pivotField>
    <pivotField compact="0" showAll="0">
      <items count="8">
        <item x="1"/>
        <item x="0"/>
        <item x="4"/>
        <item x="5"/>
        <item x="6"/>
        <item x="2"/>
        <item x="3"/>
        <item t="default"/>
      </items>
    </pivotField>
    <pivotField compact="0" numFmtId="178" showAll="0">
      <items count="5">
        <item x="0"/>
        <item x="1"/>
        <item x="2"/>
        <item x="3"/>
        <item t="default"/>
      </items>
    </pivotField>
    <pivotField compact="0" showAll="0">
      <items count="4">
        <item x="0"/>
        <item x="1"/>
        <item x="2"/>
        <item t="default"/>
      </items>
    </pivotField>
    <pivotField axis="axisRow" compact="0" sortType="descending" showAll="0">
      <items count="4">
        <item x="2"/>
        <item x="1"/>
        <item x="0"/>
        <item t="default"/>
      </items>
      <autoSortScope>
        <pivotArea fieldPosition="0">
          <references count="1">
            <reference field="4294967294" count="1" selected="0">
              <x v="0"/>
            </reference>
          </references>
        </pivotArea>
      </autoSortScope>
    </pivotField>
    <pivotField compact="0" showAll="0">
      <items count="93">
        <item h="1" x="51"/>
        <item h="1" x="36"/>
        <item h="1" x="42"/>
        <item h="1" x="46"/>
        <item x="87"/>
        <item x="10"/>
        <item x="28"/>
        <item x="38"/>
        <item x="9"/>
        <item x="91"/>
        <item x="77"/>
        <item x="17"/>
        <item x="89"/>
        <item x="72"/>
        <item x="80"/>
        <item x="76"/>
        <item x="33"/>
        <item x="31"/>
        <item x="29"/>
        <item x="27"/>
        <item x="75"/>
        <item h="1" x="55"/>
        <item h="1" x="41"/>
        <item h="1" x="4"/>
        <item h="1" x="25"/>
        <item h="1" x="66"/>
        <item h="1" x="6"/>
        <item h="1" x="48"/>
        <item h="1" x="18"/>
        <item h="1" x="64"/>
        <item h="1" x="52"/>
        <item h="1" x="26"/>
        <item h="1" x="53"/>
        <item h="1" x="23"/>
        <item h="1" x="21"/>
        <item h="1" x="13"/>
        <item h="1" x="88"/>
        <item h="1" x="58"/>
        <item h="1" x="59"/>
        <item h="1" x="65"/>
        <item h="1" x="78"/>
        <item h="1" x="7"/>
        <item h="1" x="81"/>
        <item h="1" x="62"/>
        <item h="1" x="14"/>
        <item h="1" x="0"/>
        <item h="1" x="70"/>
        <item h="1" x="2"/>
        <item h="1" x="67"/>
        <item h="1" x="15"/>
        <item h="1" x="54"/>
        <item h="1" x="79"/>
        <item h="1" x="63"/>
        <item h="1" x="83"/>
        <item h="1" x="47"/>
        <item h="1" x="50"/>
        <item h="1" x="39"/>
        <item h="1" x="8"/>
        <item h="1" x="45"/>
        <item h="1" x="74"/>
        <item h="1" x="85"/>
        <item h="1" x="40"/>
        <item h="1" x="71"/>
        <item h="1" x="44"/>
        <item h="1" x="60"/>
        <item h="1" x="56"/>
        <item h="1" x="43"/>
        <item h="1" x="1"/>
        <item h="1" x="86"/>
        <item h="1" x="57"/>
        <item h="1" x="90"/>
        <item h="1" x="19"/>
        <item h="1" x="30"/>
        <item h="1" x="37"/>
        <item h="1" x="82"/>
        <item h="1" x="84"/>
        <item h="1" x="20"/>
        <item h="1" x="49"/>
        <item h="1" x="73"/>
        <item h="1" x="34"/>
        <item h="1" x="5"/>
        <item h="1" x="12"/>
        <item h="1" x="61"/>
        <item h="1" x="35"/>
        <item h="1" x="68"/>
        <item h="1" x="16"/>
        <item h="1" x="3"/>
        <item h="1" x="22"/>
        <item h="1" x="69"/>
        <item h="1" x="11"/>
        <item h="1" x="24"/>
        <item h="1" x="32"/>
        <item t="default"/>
      </items>
    </pivotField>
    <pivotField dataField="1" compact="0" numFmtId="180" showAll="0">
      <items count="1540">
        <item h="1" x="1144"/>
        <item h="1" x="491"/>
        <item h="1" x="1014"/>
        <item h="1" x="665"/>
        <item h="1" x="245"/>
        <item h="1" x="841"/>
        <item h="1" x="1109"/>
        <item h="1" x="1015"/>
        <item h="1" x="662"/>
        <item h="1" x="667"/>
        <item h="1" x="670"/>
        <item h="1" x="654"/>
        <item h="1" x="820"/>
        <item h="1" x="764"/>
        <item h="1" x="240"/>
        <item h="1" x="19"/>
        <item h="1" x="660"/>
        <item h="1" x="826"/>
        <item h="1" x="778"/>
        <item h="1" x="1221"/>
        <item h="1" x="718"/>
        <item h="1" x="671"/>
        <item h="1" x="626"/>
        <item h="1" x="773"/>
        <item h="1" x="719"/>
        <item h="1" x="768"/>
        <item h="1" x="715"/>
        <item h="1" x="1493"/>
        <item h="1" x="330"/>
        <item h="1" x="766"/>
        <item h="1" x="829"/>
        <item h="1" x="1001"/>
        <item h="1" x="771"/>
        <item h="1" x="707"/>
        <item h="1" x="825"/>
        <item h="1" x="1143"/>
        <item h="1" x="818"/>
        <item h="1" x="271"/>
        <item h="1" x="1506"/>
        <item h="1" x="1008"/>
        <item h="1" x="1000"/>
        <item h="1" x="1254"/>
        <item h="1" x="213"/>
        <item h="1" x="664"/>
        <item h="1" x="658"/>
        <item h="1" x="634"/>
        <item h="1" x="305"/>
        <item h="1" x="1110"/>
        <item h="1" x="316"/>
        <item h="1" x="701"/>
        <item h="1" x="85"/>
        <item h="1" x="657"/>
        <item h="1" x="706"/>
        <item h="1" x="997"/>
        <item h="1" x="1112"/>
        <item h="1" x="776"/>
        <item h="1" x="1248"/>
        <item h="1" x="1102"/>
        <item h="1" x="1107"/>
        <item h="1" x="1155"/>
        <item h="1" x="881"/>
        <item h="1" x="452"/>
        <item h="1" x="647"/>
        <item h="1" x="821"/>
        <item h="1" x="786"/>
        <item h="1" x="774"/>
        <item h="1" x="584"/>
        <item h="1" x="1355"/>
        <item h="1" x="1009"/>
        <item h="1" x="1324"/>
        <item h="1" x="1123"/>
        <item h="1" x="605"/>
        <item h="1" x="172"/>
        <item h="1" x="666"/>
        <item h="1" x="1114"/>
        <item h="1" x="1100"/>
        <item h="1" x="704"/>
        <item h="1" x="1223"/>
        <item h="1" x="524"/>
        <item h="1" x="1516"/>
        <item h="1" x="630"/>
        <item h="1" x="1295"/>
        <item h="1" x="705"/>
        <item x="837"/>
        <item h="1" x="310"/>
        <item h="1" x="374"/>
        <item h="1" x="769"/>
        <item x="668"/>
        <item h="1" x="937"/>
        <item h="1" x="709"/>
        <item x="999"/>
        <item h="1" x="167"/>
        <item h="1" x="133"/>
        <item h="1" x="779"/>
        <item h="1" x="311"/>
        <item h="1" x="1097"/>
        <item h="1" x="982"/>
        <item h="1" x="1004"/>
        <item h="1" x="661"/>
        <item h="1" x="246"/>
        <item h="1" x="1529"/>
        <item h="1" x="1166"/>
        <item h="1" x="656"/>
        <item h="1" x="1503"/>
        <item x="68"/>
        <item h="1" x="55"/>
        <item h="1" x="892"/>
        <item x="832"/>
        <item h="1" x="1119"/>
        <item h="1" x="819"/>
        <item h="1" x="511"/>
        <item h="1" x="767"/>
        <item h="1" x="1499"/>
        <item h="1" x="673"/>
        <item h="1" x="1321"/>
        <item h="1" x="583"/>
        <item x="895"/>
        <item h="1" x="350"/>
        <item x="782"/>
        <item h="1" x="619"/>
        <item h="1" x="663"/>
        <item h="1" x="1180"/>
        <item h="1" x="836"/>
        <item h="1" x="239"/>
        <item h="1" x="353"/>
        <item h="1" x="175"/>
        <item h="1" x="1101"/>
        <item x="339"/>
        <item x="1131"/>
        <item x="1220"/>
        <item x="772"/>
        <item h="1" x="566"/>
        <item x="928"/>
        <item h="1" x="518"/>
        <item h="1" x="528"/>
        <item h="1" x="1231"/>
        <item h="1" x="194"/>
        <item h="1" x="894"/>
        <item h="1" x="314"/>
        <item h="1" x="568"/>
        <item h="1" x="476"/>
        <item h="1" x="578"/>
        <item h="1" x="823"/>
        <item x="301"/>
        <item h="1" x="519"/>
        <item h="1" x="179"/>
        <item h="1" x="617"/>
        <item h="1" x="1002"/>
        <item h="1" x="576"/>
        <item h="1" x="319"/>
        <item h="1" x="594"/>
        <item h="1" x="178"/>
        <item h="1" x="1195"/>
        <item h="1" x="225"/>
        <item h="1" x="1099"/>
        <item h="1" x="540"/>
        <item h="1" x="1140"/>
        <item h="1" x="43"/>
        <item h="1" x="1181"/>
        <item h="1" x="234"/>
        <item h="1" x="770"/>
        <item h="1" x="783"/>
        <item h="1" x="731"/>
        <item h="1" x="198"/>
        <item h="1" x="1007"/>
        <item h="1" x="92"/>
        <item h="1" x="170"/>
        <item h="1" x="520"/>
        <item h="1" x="739"/>
        <item h="1" x="1492"/>
        <item h="1" x="762"/>
        <item h="1" x="993"/>
        <item h="1" x="627"/>
        <item h="1" x="1219"/>
        <item h="1" x="798"/>
        <item h="1" x="456"/>
        <item h="1" x="596"/>
        <item h="1" x="450"/>
        <item h="1" x="896"/>
        <item h="1" x="186"/>
        <item h="1" x="1279"/>
        <item h="1" x="1515"/>
        <item h="1" x="1302"/>
        <item h="1" x="831"/>
        <item h="1" x="650"/>
        <item h="1" x="1006"/>
        <item h="1" x="835"/>
        <item h="1" x="1098"/>
        <item h="1" x="1128"/>
        <item h="1" x="839"/>
        <item h="1" x="343"/>
        <item h="1" x="653"/>
        <item h="1" x="1266"/>
        <item h="1" x="1151"/>
        <item h="1" x="1019"/>
        <item h="1" x="1501"/>
        <item h="1" x="1518"/>
        <item h="1" x="1203"/>
        <item h="1" x="165"/>
        <item h="1" x="226"/>
        <item h="1" x="334"/>
        <item h="1" x="810"/>
        <item h="1" x="833"/>
        <item h="1" x="659"/>
        <item h="1" x="998"/>
        <item h="1" x="329"/>
        <item h="1" x="781"/>
        <item h="1" x="1226"/>
        <item h="1" x="182"/>
        <item h="1" x="912"/>
        <item h="1" x="18"/>
        <item h="1" x="620"/>
        <item h="1" x="465"/>
        <item h="1" x="591"/>
        <item h="1" x="906"/>
        <item h="1" x="1498"/>
        <item h="1" x="635"/>
        <item h="1" x="215"/>
        <item h="1" x="77"/>
        <item h="1" x="792"/>
        <item h="1" x="1530"/>
        <item h="1" x="678"/>
        <item h="1" x="827"/>
        <item h="1" x="393"/>
        <item h="1" x="258"/>
        <item h="1" x="809"/>
        <item h="1" x="289"/>
        <item h="1" x="1208"/>
        <item h="1" x="100"/>
        <item h="1" x="1508"/>
        <item h="1" x="1282"/>
        <item h="1" x="1296"/>
        <item h="1" x="765"/>
        <item h="1" x="293"/>
        <item h="1" x="276"/>
        <item h="1" x="1044"/>
        <item h="1" x="221"/>
        <item h="1" x="802"/>
        <item h="1" x="219"/>
        <item h="1" x="335"/>
        <item h="1" x="168"/>
        <item h="1" x="261"/>
        <item h="1" x="531"/>
        <item h="1" x="166"/>
        <item h="1" x="337"/>
        <item h="1" x="561"/>
        <item h="1" x="888"/>
        <item h="1" x="961"/>
        <item h="1" x="780"/>
        <item h="1" x="1115"/>
        <item h="1" x="947"/>
        <item h="1" x="151"/>
        <item h="1" x="1104"/>
        <item h="1" x="115"/>
        <item h="1" x="1111"/>
        <item h="1" x="794"/>
        <item h="1" x="419"/>
        <item h="1" x="996"/>
        <item h="1" x="1003"/>
        <item h="1" x="395"/>
        <item h="1" x="1139"/>
        <item h="1" x="408"/>
        <item h="1" x="828"/>
        <item h="1" x="878"/>
        <item h="1" x="1466"/>
        <item h="1" x="865"/>
        <item h="1" x="1060"/>
        <item h="1" x="748"/>
        <item h="1" x="1103"/>
        <item h="1" x="1113"/>
        <item h="1" x="306"/>
        <item h="1" x="367"/>
        <item h="1" x="822"/>
        <item h="1" x="536"/>
        <item h="1" x="169"/>
        <item h="1" x="625"/>
        <item h="1" x="604"/>
        <item h="1" x="348"/>
        <item h="1" x="1121"/>
        <item h="1" x="703"/>
        <item h="1" x="1051"/>
        <item h="1" x="1217"/>
        <item h="1" x="526"/>
        <item h="1" x="286"/>
        <item h="1" x="228"/>
        <item h="1" x="551"/>
        <item h="1" x="838"/>
        <item h="1" x="1168"/>
        <item h="1" x="921"/>
        <item h="1" x="824"/>
        <item h="1" x="482"/>
        <item h="1" x="628"/>
        <item h="1" x="777"/>
        <item h="1" x="1165"/>
        <item h="1" x="1210"/>
        <item h="1" x="899"/>
        <item h="1" x="388"/>
        <item h="1" x="176"/>
        <item h="1" x="847"/>
        <item h="1" x="815"/>
        <item h="1" x="296"/>
        <item h="1" x="217"/>
        <item h="1" x="799"/>
        <item h="1" x="185"/>
        <item h="1" x="1233"/>
        <item h="1" x="1129"/>
        <item h="1" x="1265"/>
        <item h="1" x="1513"/>
        <item h="1" x="195"/>
        <item h="1" x="110"/>
        <item h="1" x="95"/>
        <item h="1" x="537"/>
        <item h="1" x="1169"/>
        <item h="1" x="905"/>
        <item h="1" x="585"/>
        <item h="1" x="1192"/>
        <item h="1" x="457"/>
        <item h="1" x="749"/>
        <item h="1" x="510"/>
        <item h="1" x="224"/>
        <item h="1" x="726"/>
        <item h="1" x="790"/>
        <item h="1" x="555"/>
        <item h="1" x="834"/>
        <item h="1" x="1314"/>
        <item h="1" x="995"/>
        <item h="1" x="1029"/>
        <item h="1" x="466"/>
        <item h="1" x="1033"/>
        <item h="1" x="392"/>
        <item h="1" x="1485"/>
        <item h="1" x="459"/>
        <item h="1" x="356"/>
        <item h="1" x="1045"/>
        <item h="1" x="1120"/>
        <item h="1" x="256"/>
        <item h="1" x="1411"/>
        <item h="1" x="514"/>
        <item h="1" x="1496"/>
        <item h="1" x="427"/>
        <item h="1" x="791"/>
        <item h="1" x="1495"/>
        <item h="1" x="920"/>
        <item h="1" x="553"/>
        <item h="1" x="260"/>
        <item h="1" x="554"/>
        <item h="1" x="532"/>
        <item h="1" x="1149"/>
        <item h="1" x="569"/>
        <item h="1" x="1043"/>
        <item h="1" x="496"/>
        <item h="1" x="105"/>
        <item h="1" x="318"/>
        <item h="1" x="552"/>
        <item h="1" x="994"/>
        <item h="1" x="711"/>
        <item h="1" x="1532"/>
        <item h="1" x="269"/>
        <item h="1" x="1106"/>
        <item h="1" x="300"/>
        <item h="1" x="1531"/>
        <item h="1" x="956"/>
        <item h="1" x="1005"/>
        <item h="1" x="1170"/>
        <item h="1" x="268"/>
        <item h="1" x="1141"/>
        <item h="1" x="655"/>
        <item h="1" x="1132"/>
        <item h="1" x="411"/>
        <item h="1" x="1247"/>
        <item h="1" x="830"/>
        <item h="1" x="884"/>
        <item h="1" x="1134"/>
        <item h="1" x="697"/>
        <item h="1" x="1146"/>
        <item h="1" x="1230"/>
        <item h="1" x="560"/>
        <item h="1" x="907"/>
        <item h="1" x="1039"/>
        <item h="1" x="1012"/>
        <item h="1" x="615"/>
        <item h="1" x="1229"/>
        <item h="1" x="1521"/>
        <item h="1" x="577"/>
        <item h="1" x="1137"/>
        <item h="1" x="229"/>
        <item h="1" x="700"/>
        <item h="1" x="1105"/>
        <item h="1" x="259"/>
        <item h="1" x="586"/>
        <item h="1" x="714"/>
        <item h="1" x="62"/>
        <item h="1" x="918"/>
        <item h="1" x="1108"/>
        <item h="1" x="1424"/>
        <item h="1" x="447"/>
        <item h="1" x="162"/>
        <item h="1" x="916"/>
        <item h="1" x="159"/>
        <item h="1" x="214"/>
        <item h="1" x="1419"/>
        <item h="1" x="1452"/>
        <item h="1" x="117"/>
        <item h="1" x="1339"/>
        <item h="1" x="1133"/>
        <item h="1" x="952"/>
        <item h="1" x="967"/>
        <item h="1" x="633"/>
        <item h="1" x="93"/>
        <item h="1" x="1224"/>
        <item h="1" x="710"/>
        <item h="1" x="1234"/>
        <item h="1" x="442"/>
        <item h="1" x="775"/>
        <item h="1" x="307"/>
        <item h="1" x="302"/>
        <item h="1" x="407"/>
        <item h="1" x="1425"/>
        <item h="1" x="1251"/>
        <item h="1" x="1205"/>
        <item h="1" x="391"/>
        <item h="1" x="885"/>
        <item h="1" x="725"/>
        <item h="1" x="851"/>
        <item h="1" x="785"/>
        <item h="1" x="505"/>
        <item h="1" x="1199"/>
        <item h="1" x="171"/>
        <item h="1" x="1239"/>
        <item h="1" x="263"/>
        <item h="1" x="1246"/>
        <item h="1" x="91"/>
        <item h="1" x="383"/>
        <item h="1" x="332"/>
        <item h="1" x="672"/>
        <item h="1" x="1525"/>
        <item h="1" x="1153"/>
        <item h="1" x="1042"/>
        <item h="1" x="84"/>
        <item h="1" x="1022"/>
        <item h="1" x="341"/>
        <item h="1" x="51"/>
        <item h="1" x="897"/>
        <item h="1" x="1507"/>
        <item h="1" x="1294"/>
        <item h="1" x="278"/>
        <item h="1" x="1118"/>
        <item h="1" x="721"/>
        <item h="1" x="621"/>
        <item h="1" x="1426"/>
        <item h="1" x="206"/>
        <item h="1" x="497"/>
        <item h="1" x="231"/>
        <item h="1" x="523"/>
        <item h="1" x="1502"/>
        <item h="1" x="959"/>
        <item h="1" x="720"/>
        <item h="1" x="1523"/>
        <item h="1" x="682"/>
        <item h="1" x="683"/>
        <item h="1" x="944"/>
        <item h="1" x="971"/>
        <item h="1" x="292"/>
        <item h="1" x="401"/>
        <item h="1" x="587"/>
        <item h="1" x="1086"/>
        <item h="1" x="813"/>
        <item h="1" x="257"/>
        <item h="1" x="1290"/>
        <item h="1" x="1228"/>
        <item h="1" x="1312"/>
        <item h="1" x="472"/>
        <item h="1" x="588"/>
        <item h="1" x="1405"/>
        <item h="1" x="309"/>
        <item h="1" x="806"/>
        <item h="1" x="1187"/>
        <item h="1" x="1227"/>
        <item h="1" x="347"/>
        <item h="1" x="1494"/>
        <item h="1" x="440"/>
        <item h="1" x="1504"/>
        <item h="1" x="358"/>
        <item h="1" x="220"/>
        <item h="1" x="468"/>
        <item h="1" x="349"/>
        <item h="1" x="1351"/>
        <item h="1" x="1091"/>
        <item h="1" x="803"/>
        <item h="1" x="70"/>
        <item h="1" x="340"/>
        <item h="1" x="936"/>
        <item h="1" x="859"/>
        <item h="1" x="1343"/>
        <item h="1" x="883"/>
        <item h="1" x="1225"/>
        <item h="1" x="59"/>
        <item h="1" x="909"/>
        <item h="1" x="949"/>
        <item h="1" x="1431"/>
        <item h="1" x="479"/>
        <item h="1" x="545"/>
        <item h="1" x="377"/>
        <item h="1" x="1369"/>
        <item h="1" x="902"/>
        <item h="1" x="1185"/>
        <item h="1" x="534"/>
        <item h="1" x="1289"/>
        <item h="1" x="498"/>
        <item h="1" x="1093"/>
        <item h="1" x="680"/>
        <item h="1" x="1241"/>
        <item h="1" x="1533"/>
        <item h="1" x="1262"/>
        <item h="1" x="201"/>
        <item h="1" x="1361"/>
        <item h="1" x="1130"/>
        <item h="1" x="1308"/>
        <item h="1" x="913"/>
        <item h="1" x="515"/>
        <item h="1" x="96"/>
        <item h="1" x="1441"/>
        <item h="1" x="1016"/>
        <item h="1" x="581"/>
        <item h="1" x="1298"/>
        <item h="1" x="298"/>
        <item h="1" x="573"/>
        <item h="1" x="1204"/>
        <item h="1" x="866"/>
        <item h="1" x="592"/>
        <item h="1" x="1304"/>
        <item h="1" x="122"/>
        <item h="1" x="130"/>
        <item h="1" x="1030"/>
        <item h="1" x="56"/>
        <item h="1" x="1084"/>
        <item h="1" x="1275"/>
        <item h="1" x="969"/>
        <item h="1" x="1256"/>
        <item h="1" x="973"/>
        <item h="1" x="522"/>
        <item h="1" x="1020"/>
        <item h="1" x="950"/>
        <item h="1" x="389"/>
        <item h="1" x="1240"/>
        <item h="1" x="978"/>
        <item h="1" x="299"/>
        <item h="1" x="373"/>
        <item h="1" x="579"/>
        <item h="1" x="862"/>
        <item h="1" x="911"/>
        <item h="1" x="1157"/>
        <item h="1" x="939"/>
        <item h="1" x="1062"/>
        <item h="1" x="1318"/>
        <item h="1" x="303"/>
        <item h="1" x="41"/>
        <item h="1" x="1397"/>
        <item h="1" x="1059"/>
        <item h="1" x="853"/>
        <item h="1" x="1058"/>
        <item h="1" x="648"/>
        <item h="1" x="1524"/>
        <item h="1" x="549"/>
        <item h="1" x="957"/>
        <item h="1" x="331"/>
        <item h="1" x="397"/>
        <item h="1" x="542"/>
        <item h="1" x="1412"/>
        <item h="1" x="976"/>
        <item h="1" x="345"/>
        <item h="1" x="988"/>
        <item h="1" x="603"/>
        <item h="1" x="464"/>
        <item h="1" x="910"/>
        <item h="1" x="1390"/>
        <item h="1" x="371"/>
        <item h="1" x="379"/>
        <item h="1" x="1235"/>
        <item h="1" x="1064"/>
        <item h="1" x="632"/>
        <item h="1" x="317"/>
        <item h="1" x="1489"/>
        <item h="1" x="129"/>
        <item h="1" x="1326"/>
        <item h="1" x="1371"/>
        <item h="1" x="90"/>
        <item h="1" x="1232"/>
        <item h="1" x="1263"/>
        <item h="1" x="1422"/>
        <item h="1" x="1147"/>
        <item h="1" x="290"/>
        <item h="1" x="155"/>
        <item h="1" x="1257"/>
        <item h="1" x="886"/>
        <item h="1" x="503"/>
        <item h="1" x="370"/>
        <item h="1" x="1510"/>
        <item h="1" x="723"/>
        <item h="1" x="1479"/>
        <item h="1" x="1066"/>
        <item h="1" x="1057"/>
        <item h="1" x="283"/>
        <item h="1" x="733"/>
        <item h="1" x="1127"/>
        <item h="1" x="876"/>
        <item h="1" x="558"/>
        <item h="1" x="1520"/>
        <item h="1" x="857"/>
        <item h="1" x="273"/>
        <item h="1" x="1534"/>
        <item h="1" x="525"/>
        <item h="1" x="134"/>
        <item h="1" x="547"/>
        <item h="1" x="1337"/>
        <item h="1" x="265"/>
        <item h="1" x="696"/>
        <item h="1" x="1250"/>
        <item h="1" x="297"/>
        <item h="1" x="814"/>
        <item h="1" x="840"/>
        <item h="1" x="1190"/>
        <item h="1" x="535"/>
        <item h="1" x="690"/>
        <item h="1" x="1160"/>
        <item h="1" x="27"/>
        <item h="1" x="209"/>
        <item h="1" x="1325"/>
        <item h="1" x="1301"/>
        <item h="1" x="1526"/>
        <item h="1" x="1428"/>
        <item h="1" x="158"/>
        <item h="1" x="871"/>
        <item h="1" x="1538"/>
        <item h="1" x="575"/>
        <item h="1" x="1176"/>
        <item h="1" x="405"/>
        <item h="1" x="1287"/>
        <item h="1" x="934"/>
        <item h="1" x="161"/>
        <item h="1" x="1056"/>
        <item h="1" x="118"/>
        <item h="1" x="267"/>
        <item h="1" x="548"/>
        <item h="1" x="712"/>
        <item h="1" x="192"/>
        <item h="1" x="264"/>
        <item h="1" x="1175"/>
        <item h="1" x="1011"/>
        <item h="1" x="1500"/>
        <item h="1" x="1159"/>
        <item h="1" x="255"/>
        <item h="1" x="870"/>
        <item h="1" x="597"/>
        <item h="1" x="745"/>
        <item h="1" x="398"/>
        <item h="1" x="1360"/>
        <item h="1" x="406"/>
        <item h="1" x="237"/>
        <item h="1" x="294"/>
        <item h="1" x="898"/>
        <item h="1" x="804"/>
        <item h="1" x="929"/>
        <item h="1" x="1211"/>
        <item h="1" x="8"/>
        <item h="1" x="727"/>
        <item h="1" x="974"/>
        <item h="1" x="424"/>
        <item h="1" x="1347"/>
        <item h="1" x="460"/>
        <item h="1" x="1173"/>
        <item h="1" x="713"/>
        <item h="1" x="1082"/>
        <item h="1" x="760"/>
        <item h="1" x="461"/>
        <item h="1" x="808"/>
        <item h="1" x="144"/>
        <item h="1" x="1519"/>
        <item h="1" x="513"/>
        <item h="1" x="1392"/>
        <item h="1" x="679"/>
        <item h="1" x="1512"/>
        <item h="1" x="1178"/>
        <item h="1" x="262"/>
        <item h="1" x="738"/>
        <item h="1" x="521"/>
        <item h="1" x="38"/>
        <item h="1" x="1216"/>
        <item h="1" x="313"/>
        <item h="1" x="1439"/>
        <item h="1" x="250"/>
        <item h="1" x="890"/>
        <item h="1" x="1125"/>
        <item h="1" x="351"/>
        <item h="1" x="1032"/>
        <item h="1" x="1467"/>
        <item h="1" x="308"/>
        <item h="1" x="642"/>
        <item h="1" x="533"/>
        <item h="1" x="631"/>
        <item h="1" x="355"/>
        <item h="1" x="1273"/>
        <item h="1" x="801"/>
        <item h="1" x="455"/>
        <item h="1" x="716"/>
        <item h="1" x="45"/>
        <item h="1" x="282"/>
        <item h="1" x="1535"/>
        <item h="1" x="1334"/>
        <item h="1" x="926"/>
        <item h="1" x="386"/>
        <item h="1" x="637"/>
        <item h="1" x="1201"/>
        <item h="1" x="284"/>
        <item h="1" x="494"/>
        <item h="1" x="623"/>
        <item h="1" x="1258"/>
        <item h="1" x="320"/>
        <item h="1" x="380"/>
        <item h="1" x="426"/>
        <item h="1" x="861"/>
        <item h="1" x="1478"/>
        <item h="1" x="1021"/>
        <item h="1" x="610"/>
        <item h="1" x="101"/>
        <item h="1" x="1378"/>
        <item h="1" x="698"/>
        <item h="1" x="230"/>
        <item h="1" x="692"/>
        <item h="1" x="387"/>
        <item h="1" x="1142"/>
        <item h="1" x="218"/>
        <item h="1" x="737"/>
        <item h="1" x="243"/>
        <item h="1" x="412"/>
        <item h="1" x="448"/>
        <item h="1" x="444"/>
        <item h="1" x="1061"/>
        <item h="1" x="574"/>
        <item h="1" x="600"/>
        <item h="1" x="233"/>
        <item h="1" x="613"/>
        <item h="1" x="744"/>
        <item h="1" x="1528"/>
        <item h="1" x="72"/>
        <item h="1" x="1193"/>
        <item h="1" x="864"/>
        <item h="1" x="1267"/>
        <item h="1" x="236"/>
        <item h="1" x="983"/>
        <item h="1" x="590"/>
        <item h="1" x="1183"/>
        <item h="1" x="1335"/>
        <item h="1" x="61"/>
        <item h="1" x="94"/>
        <item h="1" x="11"/>
        <item h="1" x="1497"/>
        <item h="1" x="160"/>
        <item h="1" x="958"/>
        <item h="1" x="1194"/>
        <item h="1" x="157"/>
        <item h="1" x="687"/>
        <item h="1" x="717"/>
        <item h="1" x="375"/>
        <item h="1" x="1398"/>
        <item h="1" x="593"/>
        <item h="1" x="517"/>
        <item h="1" x="1161"/>
        <item h="1" x="1375"/>
        <item h="1" x="1136"/>
        <item h="1" x="1116"/>
        <item h="1" x="1402"/>
        <item h="1" x="436"/>
        <item h="1" x="222"/>
        <item h="1" x="747"/>
        <item h="1" x="1135"/>
        <item h="1" x="1162"/>
        <item h="1" x="868"/>
        <item h="1" x="874"/>
        <item h="1" x="985"/>
        <item h="1" x="1264"/>
        <item h="1" x="1122"/>
        <item h="1" x="599"/>
        <item h="1" x="1306"/>
        <item h="1" x="483"/>
        <item h="1" x="933"/>
        <item h="1" x="873"/>
        <item h="1" x="506"/>
        <item h="1" x="811"/>
        <item h="1" x="708"/>
        <item h="1" x="789"/>
        <item h="1" x="891"/>
        <item h="1" x="1150"/>
        <item h="1" x="1394"/>
        <item h="1" x="304"/>
        <item h="1" x="156"/>
        <item h="1" x="541"/>
        <item h="1" x="1476"/>
        <item h="1" x="173"/>
        <item h="1" x="1083"/>
        <item h="1" x="645"/>
        <item h="1" x="572"/>
        <item h="1" x="1018"/>
        <item h="1" x="1382"/>
        <item h="1" x="1346"/>
        <item h="1" x="227"/>
        <item h="1" x="1446"/>
        <item h="1" x="571"/>
        <item h="1" x="688"/>
        <item h="1" x="624"/>
        <item h="1" x="21"/>
        <item h="1" x="1081"/>
        <item h="1" x="1408"/>
        <item h="1" x="1189"/>
        <item h="1" x="955"/>
        <item h="1" x="735"/>
        <item h="1" x="145"/>
        <item h="1" x="702"/>
        <item h="1" x="1517"/>
        <item h="1" x="1177"/>
        <item h="1" x="563"/>
        <item h="1" x="1138"/>
        <item h="1" x="174"/>
        <item h="1" x="1383"/>
        <item h="1" x="903"/>
        <item h="1" x="602"/>
        <item h="1" x="1186"/>
        <item h="1" x="946"/>
        <item h="1" x="927"/>
        <item h="1" x="1464"/>
        <item h="1" x="1260"/>
        <item h="1" x="788"/>
        <item h="1" x="434"/>
        <item h="1" x="1152"/>
        <item h="1" x="1253"/>
        <item h="1" x="1377"/>
        <item h="1" x="849"/>
        <item h="1" x="163"/>
        <item h="1" x="724"/>
        <item h="1" x="202"/>
        <item h="1" x="74"/>
        <item h="1" x="1475"/>
        <item h="1" x="137"/>
        <item h="1" x="1261"/>
        <item h="1" x="1075"/>
        <item h="1" x="699"/>
        <item h="1" x="1090"/>
        <item h="1" x="1505"/>
        <item h="1" x="1034"/>
        <item h="1" x="1218"/>
        <item h="1" x="638"/>
        <item h="1" x="484"/>
        <item h="1" x="512"/>
        <item h="1" x="1285"/>
        <item h="1" x="413"/>
        <item h="1" x="1357"/>
        <item h="1" x="1477"/>
        <item h="1" x="454"/>
        <item h="1" x="1437"/>
        <item h="1" x="516"/>
        <item h="1" x="223"/>
        <item h="1" x="1222"/>
        <item h="1" x="938"/>
        <item h="1" x="960"/>
        <item h="1" x="80"/>
        <item h="1" x="6"/>
        <item h="1" x="1372"/>
        <item h="1" x="480"/>
        <item h="1" x="53"/>
        <item h="1" x="437"/>
        <item h="1" x="1486"/>
        <item h="1" x="152"/>
        <item h="1" x="71"/>
        <item h="1" x="945"/>
        <item h="1" x="153"/>
        <item h="1" x="390"/>
        <item h="1" x="729"/>
        <item h="1" x="123"/>
        <item h="1" x="1491"/>
        <item h="1" x="111"/>
        <item h="1" x="622"/>
        <item h="1" x="1340"/>
        <item h="1" x="740"/>
        <item h="1" x="1252"/>
        <item h="1" x="433"/>
        <item h="1" x="266"/>
        <item h="1" x="1305"/>
        <item h="1" x="1299"/>
        <item h="1" x="1154"/>
        <item h="1" x="1472"/>
        <item h="1" x="275"/>
        <item h="1" x="908"/>
        <item h="1" x="1450"/>
        <item h="1" x="529"/>
        <item h="1" x="1300"/>
        <item h="1" x="399"/>
        <item h="1" x="539"/>
        <item h="1" x="67"/>
        <item h="1" x="606"/>
        <item h="1" x="636"/>
        <item h="1" x="1387"/>
        <item h="1" x="1341"/>
        <item h="1" x="1511"/>
        <item h="1" x="565"/>
        <item h="1" x="254"/>
        <item h="1" x="372"/>
        <item h="1" x="1071"/>
        <item h="1" x="1462"/>
        <item h="1" x="98"/>
        <item h="1" x="1362"/>
        <item h="1" x="924"/>
        <item h="1" x="463"/>
        <item h="1" x="451"/>
        <item h="1" x="23"/>
        <item h="1" x="1309"/>
        <item h="1" x="800"/>
        <item h="1" x="856"/>
        <item h="1" x="797"/>
        <item h="1" x="324"/>
        <item h="1" x="1385"/>
        <item h="1" x="499"/>
        <item h="1" x="139"/>
        <item h="1" x="287"/>
        <item h="1" x="629"/>
        <item h="1" x="1048"/>
        <item h="1" x="1124"/>
        <item h="1" x="759"/>
        <item h="1" x="1291"/>
        <item h="1" x="57"/>
        <item h="1" x="1163"/>
        <item h="1" x="458"/>
        <item h="1" x="1184"/>
        <item h="1" x="344"/>
        <item h="1" x="743"/>
        <item h="1" x="612"/>
        <item h="1" x="684"/>
        <item h="1" x="530"/>
        <item h="1" x="203"/>
        <item h="1" x="1310"/>
        <item h="1" x="1196"/>
        <item h="1" x="1374"/>
        <item h="1" x="252"/>
        <item h="1" x="750"/>
        <item h="1" x="1404"/>
        <item h="1" x="338"/>
        <item h="1" x="1481"/>
        <item h="1" x="1243"/>
        <item h="1" x="1320"/>
        <item h="1" x="421"/>
        <item h="1" x="641"/>
        <item h="1" x="279"/>
        <item h="1" x="1276"/>
        <item h="1" x="1443"/>
        <item h="1" x="1074"/>
        <item h="1" x="618"/>
        <item h="1" x="601"/>
        <item h="1" x="1490"/>
        <item h="1" x="291"/>
        <item h="1" x="986"/>
        <item h="1" x="807"/>
        <item h="1" x="1418"/>
        <item h="1" x="102"/>
        <item h="1" x="1527"/>
        <item h="1" x="469"/>
        <item h="1" x="69"/>
        <item h="1" x="1407"/>
        <item h="1" x="1172"/>
        <item h="1" x="562"/>
        <item h="1" x="1212"/>
        <item h="1" x="527"/>
        <item h="1" x="116"/>
        <item h="1" x="490"/>
        <item h="1" x="368"/>
        <item h="1" x="36"/>
        <item h="1" x="1356"/>
        <item h="1" x="249"/>
        <item h="1" x="1188"/>
        <item h="1" x="78"/>
        <item h="1" x="1330"/>
        <item h="1" x="1245"/>
        <item h="1" x="977"/>
        <item h="1" x="550"/>
        <item h="1" x="354"/>
        <item h="1" x="1237"/>
        <item h="1" x="1399"/>
        <item h="1" x="416"/>
        <item h="1" x="1342"/>
        <item h="1" x="689"/>
        <item h="1" x="1482"/>
        <item h="1" x="1331"/>
        <item h="1" x="1080"/>
        <item h="1" x="643"/>
        <item h="1" x="901"/>
        <item h="1" x="793"/>
        <item h="1" x="42"/>
        <item h="1" x="181"/>
        <item h="1" x="384"/>
        <item h="1" x="1041"/>
        <item h="1" x="431"/>
        <item h="1" x="812"/>
        <item h="1" x="1"/>
        <item h="1" x="1445"/>
        <item h="1" x="428"/>
        <item h="1" x="109"/>
        <item h="1" x="1292"/>
        <item h="1" x="598"/>
        <item h="1" x="107"/>
        <item h="1" x="1182"/>
        <item h="1" x="914"/>
        <item h="1" x="376"/>
        <item h="1" x="35"/>
        <item h="1" x="919"/>
        <item h="1" x="1319"/>
        <item h="1" x="321"/>
        <item h="1" x="248"/>
        <item h="1" x="1036"/>
        <item h="1" x="991"/>
        <item h="1" x="1191"/>
        <item h="1" x="12"/>
        <item h="1" x="1156"/>
        <item h="1" x="686"/>
        <item h="1" x="543"/>
        <item h="1" x="295"/>
        <item h="1" x="728"/>
        <item h="1" x="65"/>
        <item h="1" x="1454"/>
        <item h="1" x="462"/>
        <item h="1" x="1269"/>
        <item h="1" x="846"/>
        <item h="1" x="805"/>
        <item h="1" x="758"/>
        <item h="1" x="1315"/>
        <item h="1" x="1332"/>
        <item h="1" x="487"/>
        <item h="1" x="1297"/>
        <item h="1" x="120"/>
        <item h="1" x="415"/>
        <item h="1" x="1038"/>
        <item h="1" x="251"/>
        <item h="1" x="280"/>
        <item h="1" x="975"/>
        <item h="1" x="104"/>
        <item h="1" x="989"/>
        <item h="1" x="432"/>
        <item h="1" x="675"/>
        <item h="1" x="1171"/>
        <item h="1" x="60"/>
        <item h="1" x="467"/>
        <item h="1" x="1255"/>
        <item h="1" x="364"/>
        <item h="1" x="99"/>
        <item h="1" x="1317"/>
        <item h="1" x="1463"/>
        <item h="1" x="342"/>
        <item h="1" x="0"/>
        <item h="1" x="1094"/>
        <item h="1" x="889"/>
        <item h="1" x="1393"/>
        <item h="1" x="1442"/>
        <item h="1" x="1456"/>
        <item h="1" x="923"/>
        <item h="1" x="1484"/>
        <item h="1" x="904"/>
        <item h="1" x="742"/>
        <item h="1" x="1288"/>
        <item h="1" x="24"/>
        <item h="1" x="207"/>
        <item h="1" x="1158"/>
        <item h="1" x="285"/>
        <item h="1" x="595"/>
        <item h="1" x="270"/>
        <item h="1" x="446"/>
        <item h="1" x="1381"/>
        <item h="1" x="1047"/>
        <item h="1" x="1063"/>
        <item h="1" x="1468"/>
        <item h="1" x="611"/>
        <item h="1" x="382"/>
        <item h="1" x="589"/>
        <item h="1" x="1344"/>
        <item h="1" x="1348"/>
        <item h="1" x="63"/>
        <item h="1" x="966"/>
        <item h="1" x="893"/>
        <item h="1" x="1420"/>
        <item h="1" x="980"/>
        <item h="1" x="1465"/>
        <item h="1" x="1473"/>
        <item h="1" x="346"/>
        <item h="1" x="1455"/>
        <item h="1" x="1421"/>
        <item h="1" x="691"/>
        <item h="1" x="732"/>
        <item h="1" x="1403"/>
        <item h="1" x="327"/>
        <item h="1" x="784"/>
        <item h="1" x="1164"/>
        <item h="1" x="50"/>
        <item h="1" x="394"/>
        <item h="1" x="616"/>
        <item h="1" x="1365"/>
        <item h="1" x="900"/>
        <item h="1" x="418"/>
        <item h="1" x="32"/>
        <item h="1" x="979"/>
        <item h="1" x="1522"/>
        <item h="1" x="990"/>
        <item h="1" x="438"/>
        <item h="1" x="114"/>
        <item h="1" x="1430"/>
        <item h="1" x="1384"/>
        <item h="1" x="475"/>
        <item h="1" x="915"/>
        <item h="1" x="1327"/>
        <item h="1" x="1322"/>
        <item h="1" x="315"/>
        <item h="1" x="435"/>
        <item h="1" x="925"/>
        <item h="1" x="1202"/>
        <item h="1" x="199"/>
        <item h="1" x="87"/>
        <item h="1" x="422"/>
        <item h="1" x="1179"/>
        <item h="1" x="235"/>
        <item h="1" x="54"/>
        <item h="1" x="164"/>
        <item h="1" x="1197"/>
        <item h="1" x="964"/>
        <item h="1" x="312"/>
        <item h="1" x="112"/>
        <item h="1" x="843"/>
        <item h="1" x="244"/>
        <item h="1" x="559"/>
        <item h="1" x="1359"/>
        <item h="1" x="544"/>
        <item h="1" x="272"/>
        <item h="1" x="1283"/>
        <item h="1" x="948"/>
        <item h="1" x="481"/>
        <item h="1" x="247"/>
        <item h="1" x="1386"/>
        <item h="1" x="1272"/>
        <item h="1" x="734"/>
        <item h="1" x="410"/>
        <item h="1" x="1087"/>
        <item h="1" x="47"/>
        <item h="1" x="1368"/>
        <item h="1" x="1328"/>
        <item h="1" x="86"/>
        <item h="1" x="1366"/>
        <item h="1" x="867"/>
        <item h="1" x="190"/>
        <item h="1" x="453"/>
        <item h="1" x="1259"/>
        <item h="1" x="429"/>
        <item h="1" x="189"/>
        <item h="1" x="1417"/>
        <item h="1" x="1148"/>
        <item h="1" x="385"/>
        <item h="1" x="1488"/>
        <item h="1" x="1050"/>
        <item h="1" x="685"/>
        <item h="1" x="674"/>
        <item h="1" x="449"/>
        <item h="1" x="177"/>
        <item h="1" x="854"/>
        <item h="1" x="1457"/>
        <item h="1" x="281"/>
        <item h="1" x="1198"/>
        <item h="1" x="1433"/>
        <item h="1" x="1423"/>
        <item h="1" x="962"/>
        <item h="1" x="1126"/>
        <item h="1" x="1010"/>
        <item h="1" x="1052"/>
        <item h="1" x="1174"/>
        <item h="1" x="942"/>
        <item h="1" x="504"/>
        <item h="1" x="253"/>
        <item h="1" x="1249"/>
        <item h="1" x="1474"/>
        <item h="1" x="103"/>
        <item h="1" x="869"/>
        <item h="1" x="1410"/>
        <item h="1" x="288"/>
        <item h="1" x="842"/>
        <item h="1" x="1395"/>
        <item h="1" x="730"/>
        <item h="1" x="30"/>
        <item h="1" x="232"/>
        <item h="1" x="570"/>
        <item h="1" x="1461"/>
        <item h="1" x="20"/>
        <item h="1" x="1536"/>
        <item h="1" x="1024"/>
        <item h="1" x="1277"/>
        <item h="1" x="1238"/>
        <item h="1" x="1376"/>
        <item h="1" x="1145"/>
        <item h="1" x="121"/>
        <item h="1" x="1388"/>
        <item h="1" x="1470"/>
        <item h="1" x="1065"/>
        <item h="1" x="917"/>
        <item h="1" x="1293"/>
        <item h="1" x="968"/>
        <item h="1" x="88"/>
        <item h="1" x="1451"/>
        <item h="1" x="1040"/>
        <item h="1" x="1363"/>
        <item h="1" x="146"/>
        <item h="1" x="381"/>
        <item h="1" x="795"/>
        <item h="1" x="1268"/>
        <item h="1" x="187"/>
        <item h="1" x="582"/>
        <item h="1" x="848"/>
        <item h="1" x="1453"/>
        <item h="1" x="1414"/>
        <item h="1" x="212"/>
        <item h="1" x="1413"/>
        <item h="1" x="608"/>
        <item h="1" x="73"/>
        <item h="1" x="1447"/>
        <item h="1" x="984"/>
        <item h="1" x="1236"/>
        <item h="1" x="439"/>
        <item h="1" x="142"/>
        <item h="1" x="83"/>
        <item h="1" x="538"/>
        <item h="1" x="1345"/>
        <item h="1" x="1270"/>
        <item h="1" x="1117"/>
        <item h="1" x="323"/>
        <item h="1" x="48"/>
        <item h="1" x="1409"/>
        <item h="1" x="877"/>
        <item h="1" x="644"/>
        <item h="1" x="756"/>
        <item h="1" x="1067"/>
        <item h="1" x="1352"/>
        <item h="1" x="852"/>
        <item h="1" x="1214"/>
        <item h="1" x="369"/>
        <item h="1" x="325"/>
        <item h="1" x="1244"/>
        <item h="1" x="1483"/>
        <item h="1" x="363"/>
        <item h="1" x="963"/>
        <item h="1" x="981"/>
        <item h="1" x="336"/>
        <item h="1" x="489"/>
        <item h="1" x="746"/>
        <item h="1" x="1316"/>
        <item h="1" x="362"/>
        <item h="1" x="193"/>
        <item h="1" x="108"/>
        <item h="1" x="1364"/>
        <item h="1" x="567"/>
        <item h="1" x="140"/>
        <item h="1" x="238"/>
        <item h="1" x="1460"/>
        <item h="1" x="761"/>
        <item h="1" x="493"/>
        <item h="1" x="113"/>
        <item h="1" x="882"/>
        <item h="1" x="216"/>
        <item h="1" x="333"/>
        <item h="1" x="1049"/>
        <item h="1" x="488"/>
        <item h="1" x="972"/>
        <item h="1" x="274"/>
        <item h="1" x="1459"/>
        <item h="1" x="13"/>
        <item h="1" x="200"/>
        <item h="1" x="425"/>
        <item h="1" x="741"/>
        <item h="1" x="1167"/>
        <item h="1" x="414"/>
        <item h="1" x="66"/>
        <item h="1" x="357"/>
        <item h="1" x="1380"/>
        <item h="1" x="1471"/>
        <item h="1" x="546"/>
        <item h="1" x="607"/>
        <item h="1" x="1444"/>
        <item h="1" x="378"/>
        <item h="1" x="360"/>
        <item h="1" x="1440"/>
        <item h="1" x="352"/>
        <item h="1" x="1026"/>
        <item h="1" x="736"/>
        <item h="1" x="1280"/>
        <item h="1" x="1031"/>
        <item h="1" x="1286"/>
        <item h="1" x="880"/>
        <item h="1" x="5"/>
        <item h="1" x="361"/>
        <item h="1" x="89"/>
        <item h="1" x="564"/>
        <item h="1" x="1338"/>
        <item h="1" x="887"/>
        <item h="1" x="502"/>
        <item h="1" x="693"/>
        <item h="1" x="29"/>
        <item h="1" x="640"/>
        <item h="1" x="409"/>
        <item h="1" x="858"/>
        <item h="1" x="1053"/>
        <item h="1" x="1429"/>
        <item h="1" x="1070"/>
        <item h="1" x="507"/>
        <item h="1" x="1307"/>
        <item h="1" x="1025"/>
        <item h="1" x="796"/>
        <item h="1" x="147"/>
        <item h="1" x="1303"/>
        <item h="1" x="417"/>
        <item h="1" x="1206"/>
        <item h="1" x="1284"/>
        <item h="1" x="1085"/>
        <item h="1" x="509"/>
        <item h="1" x="1035"/>
        <item h="1" x="127"/>
        <item h="1" x="676"/>
        <item h="1" x="328"/>
        <item h="1" x="1389"/>
        <item h="1" x="875"/>
        <item h="1" x="1055"/>
        <item h="1" x="64"/>
        <item h="1" x="1077"/>
        <item h="1" x="208"/>
        <item h="1" x="15"/>
        <item h="1" x="1213"/>
        <item h="1" x="485"/>
        <item h="1" x="1069"/>
        <item h="1" x="1427"/>
        <item h="1" x="1396"/>
        <item h="1" x="1329"/>
        <item h="1" x="922"/>
        <item h="1" x="1207"/>
        <item h="1" x="204"/>
        <item h="1" x="1027"/>
        <item h="1" x="500"/>
        <item h="1" x="1400"/>
        <item h="1" x="97"/>
        <item h="1" x="681"/>
        <item h="1" x="1092"/>
        <item h="1" x="651"/>
        <item h="1" x="787"/>
        <item h="1" x="37"/>
        <item h="1" x="879"/>
        <item h="1" x="1046"/>
        <item h="1" x="403"/>
        <item h="1" x="1089"/>
        <item h="1" x="1073"/>
        <item h="1" x="669"/>
        <item h="1" x="79"/>
        <item h="1" x="10"/>
        <item h="1" x="951"/>
        <item h="1" x="149"/>
        <item h="1" x="1415"/>
        <item h="1" x="1391"/>
        <item h="1" x="1406"/>
        <item h="1" x="1336"/>
        <item h="1" x="940"/>
        <item h="1" x="1095"/>
        <item h="1" x="443"/>
        <item h="1" x="3"/>
        <item h="1" x="556"/>
        <item h="1" x="1449"/>
        <item h="1" x="1037"/>
        <item h="1" x="40"/>
        <item h="1" x="242"/>
        <item h="1" x="1469"/>
        <item h="1" x="1017"/>
        <item h="1" x="486"/>
        <item h="1" x="205"/>
        <item h="1" x="1509"/>
        <item h="1" x="25"/>
        <item h="1" x="1487"/>
        <item h="1" x="191"/>
        <item h="1" x="404"/>
        <item h="1" x="135"/>
        <item h="1" x="1434"/>
        <item h="1" x="1349"/>
        <item h="1" x="1373"/>
        <item h="1" x="992"/>
        <item h="1" x="148"/>
        <item h="1" x="277"/>
        <item h="1" x="1023"/>
        <item h="1" x="751"/>
        <item h="1" x="197"/>
        <item h="1" x="81"/>
        <item h="1" x="359"/>
        <item h="1" x="639"/>
        <item h="1" x="470"/>
        <item h="1" x="423"/>
        <item h="1" x="1311"/>
        <item h="1" x="1278"/>
        <item h="1" x="1274"/>
        <item h="1" x="76"/>
        <item h="1" x="580"/>
        <item h="1" x="184"/>
        <item h="1" x="210"/>
        <item h="1" x="844"/>
        <item h="1" x="2"/>
        <item h="1" x="965"/>
        <item h="1" x="34"/>
        <item h="1" x="943"/>
        <item h="1" x="44"/>
        <item h="1" x="1079"/>
        <item h="1" x="677"/>
        <item h="1" x="420"/>
        <item h="1" x="855"/>
        <item h="1" x="850"/>
        <item h="1" x="1068"/>
        <item h="1" x="757"/>
        <item h="1" x="1354"/>
        <item h="1" x="1379"/>
        <item h="1" x="501"/>
        <item h="1" x="400"/>
        <item h="1" x="430"/>
        <item h="1" x="495"/>
        <item h="1" x="1078"/>
        <item h="1" x="753"/>
        <item h="1" x="941"/>
        <item h="1" x="954"/>
        <item h="1" x="106"/>
        <item h="1" x="1313"/>
        <item h="1" x="31"/>
        <item h="1" x="365"/>
        <item h="1" x="1358"/>
        <item h="1" x="931"/>
        <item h="1" x="1401"/>
        <item h="1" x="1436"/>
        <item h="1" x="125"/>
        <item h="1" x="863"/>
        <item h="1" x="1480"/>
        <item h="1" x="1458"/>
        <item h="1" x="474"/>
        <item h="1" x="1537"/>
        <item h="1" x="1013"/>
        <item h="1" x="196"/>
        <item h="1" x="1200"/>
        <item h="1" x="970"/>
        <item h="1" x="9"/>
        <item h="1" x="646"/>
        <item h="1" x="609"/>
        <item h="1" x="1323"/>
        <item h="1" x="124"/>
        <item h="1" x="1076"/>
        <item h="1" x="1350"/>
        <item h="1" x="754"/>
        <item h="1" x="1448"/>
        <item h="1" x="441"/>
        <item h="1" x="131"/>
        <item h="1" x="652"/>
        <item h="1" x="473"/>
        <item h="1" x="1096"/>
        <item h="1" x="14"/>
        <item h="1" x="1353"/>
        <item h="1" x="138"/>
        <item h="1" x="17"/>
        <item h="1" x="1281"/>
        <item h="1" x="860"/>
        <item h="1" x="1054"/>
        <item h="1" x="82"/>
        <item h="1" x="1271"/>
        <item h="1" x="1215"/>
        <item h="1" x="935"/>
        <item h="1" x="872"/>
        <item h="1" x="953"/>
        <item h="1" x="322"/>
        <item h="1" x="471"/>
        <item h="1" x="49"/>
        <item h="1" x="508"/>
        <item h="1" x="649"/>
        <item h="1" x="1088"/>
        <item h="1" x="1514"/>
        <item h="1" x="16"/>
        <item h="1" x="987"/>
        <item h="1" x="930"/>
        <item h="1" x="150"/>
        <item h="1" x="180"/>
        <item h="1" x="143"/>
        <item h="1" x="694"/>
        <item h="1" x="39"/>
        <item h="1" x="326"/>
        <item h="1" x="1435"/>
        <item h="1" x="932"/>
        <item h="1" x="557"/>
        <item h="1" x="755"/>
        <item h="1" x="128"/>
        <item h="1" x="26"/>
        <item h="1" x="132"/>
        <item h="1" x="211"/>
        <item h="1" x="752"/>
        <item h="1" x="1242"/>
        <item h="1" x="402"/>
        <item h="1" x="46"/>
        <item h="1" x="1416"/>
        <item h="1" x="1438"/>
        <item h="1" x="366"/>
        <item h="1" x="1028"/>
        <item h="1" x="28"/>
        <item h="1" x="136"/>
        <item h="1" x="1333"/>
        <item h="1" x="1072"/>
        <item h="1" x="7"/>
        <item h="1" x="845"/>
        <item h="1" x="1209"/>
        <item h="1" x="1367"/>
        <item h="1" x="614"/>
        <item h="1" x="154"/>
        <item h="1" x="4"/>
        <item h="1" x="33"/>
        <item h="1" x="478"/>
        <item h="1" x="695"/>
        <item h="1" x="817"/>
        <item h="1" x="119"/>
        <item h="1" x="241"/>
        <item h="1" x="75"/>
        <item h="1" x="52"/>
        <item h="1" x="477"/>
        <item h="1" x="816"/>
        <item h="1" x="183"/>
        <item h="1" x="396"/>
        <item h="1" x="141"/>
        <item h="1" x="492"/>
        <item h="1" x="58"/>
        <item h="1" x="445"/>
        <item h="1" x="22"/>
        <item h="1" x="722"/>
        <item h="1" x="1432"/>
        <item h="1" x="763"/>
        <item h="1" x="1370"/>
        <item h="1" x="188"/>
        <item h="1" x="126"/>
        <item t="default"/>
      </items>
    </pivotField>
    <pivotField compact="0" showAll="0">
      <items count="13">
        <item x="7"/>
        <item x="0"/>
        <item x="11"/>
        <item x="8"/>
        <item x="1"/>
        <item x="9"/>
        <item x="2"/>
        <item h="1" x="3"/>
        <item x="10"/>
        <item x="4"/>
        <item x="5"/>
        <item x="6"/>
        <item t="default"/>
      </items>
    </pivotField>
    <pivotField compact="0" showAll="0">
      <items count="4">
        <item x="0"/>
        <item x="1"/>
        <item x="2"/>
        <item t="default"/>
      </items>
    </pivotField>
  </pivotFields>
  <rowFields count="1">
    <field x="9"/>
  </rowFields>
  <rowItems count="4">
    <i>
      <x v="1"/>
    </i>
    <i>
      <x v="2"/>
    </i>
    <i>
      <x/>
    </i>
    <i t="grand">
      <x/>
    </i>
  </rowItems>
  <colItems count="1">
    <i/>
  </colItems>
  <dataFields count="1">
    <dataField name="Sum of REVENUE" fld="11" baseField="0" baseItem="0" numFmtId="181"/>
  </dataFields>
  <pivotTableStyleInfo name="PivotStylePreset2_Dark"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10">
  <location ref="A3:B15" firstHeaderRow="1" firstDataRow="1" firstDataCol="1"/>
  <pivotFields count="14">
    <pivotField compact="0" showAll="0">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pivotField>
    <pivotField compact="0" numFmtId="178" showAll="0">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compact="0" numFmtId="178"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compact="0" numFmtId="8" showAll="0">
      <items count="1017">
        <item x="466"/>
        <item x="453"/>
        <item x="539"/>
        <item x="460"/>
        <item x="456"/>
        <item x="459"/>
        <item x="540"/>
        <item x="244"/>
        <item x="533"/>
        <item x="462"/>
        <item x="500"/>
        <item x="572"/>
        <item x="538"/>
        <item x="449"/>
        <item x="546"/>
        <item x="454"/>
        <item x="537"/>
        <item x="499"/>
        <item x="571"/>
        <item x="139"/>
        <item x="765"/>
        <item x="541"/>
        <item x="762"/>
        <item x="452"/>
        <item x="585"/>
        <item x="543"/>
        <item x="458"/>
        <item x="583"/>
        <item x="695"/>
        <item x="698"/>
        <item x="10"/>
        <item x="463"/>
        <item x="704"/>
        <item x="837"/>
        <item x="759"/>
        <item x="576"/>
        <item x="450"/>
        <item x="70"/>
        <item x="758"/>
        <item x="573"/>
        <item x="542"/>
        <item x="93"/>
        <item x="438"/>
        <item x="464"/>
        <item x="164"/>
        <item x="766"/>
        <item x="578"/>
        <item x="832"/>
        <item x="489"/>
        <item x="455"/>
        <item x="700"/>
        <item x="575"/>
        <item x="547"/>
        <item x="457"/>
        <item x="655"/>
        <item x="706"/>
        <item x="163"/>
        <item x="531"/>
        <item x="497"/>
        <item x="451"/>
        <item x="838"/>
        <item x="491"/>
        <item x="461"/>
        <item x="534"/>
        <item x="767"/>
        <item x="835"/>
        <item x="183"/>
        <item x="587"/>
        <item x="581"/>
        <item x="549"/>
        <item x="696"/>
        <item x="496"/>
        <item x="763"/>
        <item x="532"/>
        <item x="582"/>
        <item x="270"/>
        <item x="760"/>
        <item x="830"/>
        <item x="703"/>
        <item x="1001"/>
        <item x="757"/>
        <item x="81"/>
        <item x="536"/>
        <item x="580"/>
        <item x="702"/>
        <item x="545"/>
        <item x="833"/>
        <item x="697"/>
        <item x="488"/>
        <item x="630"/>
        <item x="448"/>
        <item x="544"/>
        <item x="701"/>
        <item x="584"/>
        <item x="586"/>
        <item x="436"/>
        <item x="535"/>
        <item x="117"/>
        <item x="574"/>
        <item x="368"/>
        <item x="141"/>
        <item x="99"/>
        <item x="367"/>
        <item x="776"/>
        <item x="577"/>
        <item x="755"/>
        <item x="708"/>
        <item x="841"/>
        <item x="1004"/>
        <item x="999"/>
        <item x="781"/>
        <item x="699"/>
        <item x="102"/>
        <item x="1005"/>
        <item x="486"/>
        <item x="16"/>
        <item x="579"/>
        <item x="756"/>
        <item x="992"/>
        <item x="369"/>
        <item x="997"/>
        <item x="226"/>
        <item x="371"/>
        <item x="839"/>
        <item x="784"/>
        <item x="761"/>
        <item x="993"/>
        <item x="494"/>
        <item x="258"/>
        <item x="772"/>
        <item x="836"/>
        <item x="782"/>
        <item x="416"/>
        <item x="25"/>
        <item x="269"/>
        <item x="215"/>
        <item x="364"/>
        <item x="422"/>
        <item x="495"/>
        <item x="842"/>
        <item x="769"/>
        <item x="492"/>
        <item x="20"/>
        <item x="990"/>
        <item x="764"/>
        <item x="434"/>
        <item x="493"/>
        <item x="840"/>
        <item x="208"/>
        <item x="106"/>
        <item x="1006"/>
        <item x="182"/>
        <item x="780"/>
        <item x="624"/>
        <item x="156"/>
        <item x="97"/>
        <item x="991"/>
        <item x="848"/>
        <item x="176"/>
        <item x="487"/>
        <item x="159"/>
        <item x="82"/>
        <item x="198"/>
        <item x="1010"/>
        <item x="794"/>
        <item x="316"/>
        <item x="849"/>
        <item x="365"/>
        <item x="231"/>
        <item x="96"/>
        <item x="94"/>
        <item x="831"/>
        <item x="618"/>
        <item x="1007"/>
        <item x="144"/>
        <item x="425"/>
        <item x="716"/>
        <item x="711"/>
        <item x="484"/>
        <item x="317"/>
        <item x="242"/>
        <item x="490"/>
        <item x="446"/>
        <item x="1011"/>
        <item x="153"/>
        <item x="789"/>
        <item x="15"/>
        <item x="101"/>
        <item x="435"/>
        <item x="199"/>
        <item x="107"/>
        <item x="374"/>
        <item x="235"/>
        <item x="834"/>
        <item x="771"/>
        <item x="209"/>
        <item x="855"/>
        <item x="323"/>
        <item x="218"/>
        <item x="33"/>
        <item x="417"/>
        <item x="989"/>
        <item x="626"/>
        <item x="213"/>
        <item x="210"/>
        <item x="792"/>
        <item x="114"/>
        <item x="324"/>
        <item x="179"/>
        <item x="420"/>
        <item x="678"/>
        <item x="212"/>
        <item x="847"/>
        <item x="370"/>
        <item x="104"/>
        <item x="790"/>
        <item x="330"/>
        <item x="178"/>
        <item x="998"/>
        <item x="233"/>
        <item x="418"/>
        <item x="485"/>
        <item x="366"/>
        <item x="145"/>
        <item x="642"/>
        <item x="873"/>
        <item x="166"/>
        <item x="779"/>
        <item x="38"/>
        <item x="103"/>
        <item x="120"/>
        <item x="22"/>
        <item x="325"/>
        <item x="941"/>
        <item x="802"/>
        <item x="98"/>
        <item x="857"/>
        <item x="778"/>
        <item x="39"/>
        <item x="409"/>
        <item x="987"/>
        <item x="1013"/>
        <item x="205"/>
        <item x="770"/>
        <item x="634"/>
        <item x="327"/>
        <item x="566"/>
        <item x="109"/>
        <item x="514"/>
        <item x="1002"/>
        <item x="811"/>
        <item x="116"/>
        <item x="791"/>
        <item x="686"/>
        <item x="1003"/>
        <item x="856"/>
        <item x="405"/>
        <item x="275"/>
        <item x="158"/>
        <item x="629"/>
        <item x="815"/>
        <item x="995"/>
        <item x="326"/>
        <item x="32"/>
        <item x="602"/>
        <item x="850"/>
        <item x="227"/>
        <item x="148"/>
        <item x="363"/>
        <item x="119"/>
        <item x="994"/>
        <item x="108"/>
        <item x="177"/>
        <item x="927"/>
        <item x="985"/>
        <item x="783"/>
        <item x="239"/>
        <item x="196"/>
        <item x="376"/>
        <item x="100"/>
        <item x="373"/>
        <item x="68"/>
        <item x="322"/>
        <item x="933"/>
        <item x="361"/>
        <item x="996"/>
        <item x="237"/>
        <item x="206"/>
        <item x="628"/>
        <item x="804"/>
        <item x="501"/>
        <item x="564"/>
        <item x="111"/>
        <item x="328"/>
        <item x="297"/>
        <item x="818"/>
        <item x="632"/>
        <item x="974"/>
        <item x="150"/>
        <item x="675"/>
        <item x="433"/>
        <item x="1012"/>
        <item x="406"/>
        <item x="175"/>
        <item x="512"/>
        <item x="551"/>
        <item x="796"/>
        <item x="372"/>
        <item x="246"/>
        <item x="871"/>
        <item x="623"/>
        <item x="687"/>
        <item x="777"/>
        <item x="414"/>
        <item x="171"/>
        <item x="391"/>
        <item x="798"/>
        <item x="299"/>
        <item x="676"/>
        <item x="407"/>
        <item x="335"/>
        <item x="889"/>
        <item x="204"/>
        <item x="385"/>
        <item x="785"/>
        <item x="411"/>
        <item x="423"/>
        <item x="728"/>
        <item x="793"/>
        <item x="503"/>
        <item x="552"/>
        <item x="149"/>
        <item x="200"/>
        <item x="180"/>
        <item x="821"/>
        <item x="518"/>
        <item x="377"/>
        <item x="174"/>
        <item x="807"/>
        <item x="689"/>
        <item x="973"/>
        <item x="858"/>
        <item x="273"/>
        <item x="502"/>
        <item x="567"/>
        <item x="473"/>
        <item x="155"/>
        <item x="197"/>
        <item x="419"/>
        <item x="23"/>
        <item x="877"/>
        <item x="805"/>
        <item x="46"/>
        <item x="211"/>
        <item x="980"/>
        <item x="1015"/>
        <item x="725"/>
        <item x="146"/>
        <item x="625"/>
        <item x="476"/>
        <item x="396"/>
        <item x="875"/>
        <item x="801"/>
        <item x="344"/>
        <item x="775"/>
        <item x="152"/>
        <item x="617"/>
        <item x="240"/>
        <item x="635"/>
        <item x="125"/>
        <item x="36"/>
        <item x="480"/>
        <item x="774"/>
        <item x="730"/>
        <item x="808"/>
        <item x="45"/>
        <item x="388"/>
        <item x="160"/>
        <item x="207"/>
        <item x="105"/>
        <item x="978"/>
        <item x="238"/>
        <item x="508"/>
        <item x="647"/>
        <item x="49"/>
        <item x="773"/>
        <item x="1009"/>
        <item x="752"/>
        <item x="823"/>
        <item x="31"/>
        <item x="69"/>
        <item x="201"/>
        <item x="228"/>
        <item x="982"/>
        <item x="1008"/>
        <item x="852"/>
        <item x="795"/>
        <item x="53"/>
        <item x="319"/>
        <item x="408"/>
        <item x="130"/>
        <item x="140"/>
        <item x="74"/>
        <item x="203"/>
        <item x="679"/>
        <item x="217"/>
        <item x="19"/>
        <item x="243"/>
        <item x="260"/>
        <item x="168"/>
        <item x="560"/>
        <item x="510"/>
        <item x="519"/>
        <item x="412"/>
        <item x="878"/>
        <item x="202"/>
        <item x="136"/>
        <item x="479"/>
        <item x="622"/>
        <item x="955"/>
        <item x="853"/>
        <item x="24"/>
        <item x="923"/>
        <item x="509"/>
        <item x="786"/>
        <item x="646"/>
        <item x="819"/>
        <item x="619"/>
        <item x="401"/>
        <item x="682"/>
        <item x="734"/>
        <item x="415"/>
        <item x="513"/>
        <item x="935"/>
        <item x="71"/>
        <item x="881"/>
        <item x="864"/>
        <item x="946"/>
        <item x="298"/>
        <item x="851"/>
        <item x="129"/>
        <item x="468"/>
        <item x="733"/>
        <item x="318"/>
        <item x="949"/>
        <item x="826"/>
        <item x="236"/>
        <item x="797"/>
        <item x="137"/>
        <item x="315"/>
        <item x="143"/>
        <item x="557"/>
        <item x="64"/>
        <item x="312"/>
        <item x="662"/>
        <item x="627"/>
        <item x="234"/>
        <item x="984"/>
        <item x="694"/>
        <item x="866"/>
        <item x="284"/>
        <item x="645"/>
        <item x="320"/>
        <item x="613"/>
        <item x="800"/>
        <item x="854"/>
        <item x="470"/>
        <item x="620"/>
        <item x="167"/>
        <item x="241"/>
        <item x="413"/>
        <item x="944"/>
        <item x="14"/>
        <item x="637"/>
        <item x="34"/>
        <item x="421"/>
        <item x="556"/>
        <item x="186"/>
        <item x="169"/>
        <item x="474"/>
        <item x="410"/>
        <item x="61"/>
        <item x="685"/>
        <item x="147"/>
        <item x="329"/>
        <item x="640"/>
        <item x="621"/>
        <item x="395"/>
        <item x="381"/>
        <item x="554"/>
        <item x="173"/>
        <item x="232"/>
        <item x="478"/>
        <item x="925"/>
        <item x="892"/>
        <item x="349"/>
        <item x="65"/>
        <item x="680"/>
        <item x="903"/>
        <item x="735"/>
        <item x="639"/>
        <item x="565"/>
        <item x="172"/>
        <item x="404"/>
        <item x="465"/>
        <item x="245"/>
        <item x="517"/>
        <item x="870"/>
        <item x="289"/>
        <item x="868"/>
        <item x="597"/>
        <item x="314"/>
        <item x="787"/>
        <item x="195"/>
        <item x="188"/>
        <item x="721"/>
        <item x="829"/>
        <item x="612"/>
        <item x="981"/>
        <item x="357"/>
        <item x="170"/>
        <item x="731"/>
        <item x="230"/>
        <item x="562"/>
        <item x="876"/>
        <item x="846"/>
        <item x="151"/>
        <item x="26"/>
        <item x="862"/>
        <item x="690"/>
        <item x="638"/>
        <item x="447"/>
        <item x="810"/>
        <item x="185"/>
        <item x="900"/>
        <item x="483"/>
        <item x="380"/>
        <item x="402"/>
        <item x="506"/>
        <item x="664"/>
        <item x="814"/>
        <item x="263"/>
        <item x="641"/>
        <item x="44"/>
        <item x="112"/>
        <item x="945"/>
        <item x="726"/>
        <item x="9"/>
        <item x="588"/>
        <item x="553"/>
        <item x="154"/>
        <item x="387"/>
        <item x="321"/>
        <item x="392"/>
        <item x="609"/>
        <item x="813"/>
        <item x="671"/>
        <item x="631"/>
        <item x="692"/>
        <item x="684"/>
        <item x="806"/>
        <item x="310"/>
        <item x="251"/>
        <item x="285"/>
        <item x="693"/>
        <item x="386"/>
        <item x="51"/>
        <item x="521"/>
        <item x="817"/>
        <item x="604"/>
        <item x="636"/>
        <item x="812"/>
        <item x="229"/>
        <item x="351"/>
        <item x="472"/>
        <item x="126"/>
        <item x="255"/>
        <item x="561"/>
        <item x="979"/>
        <item x="121"/>
        <item x="505"/>
        <item x="57"/>
        <item x="394"/>
        <item x="594"/>
        <item x="947"/>
        <item x="929"/>
        <item x="614"/>
        <item x="522"/>
        <item x="788"/>
        <item x="352"/>
        <item x="722"/>
        <item x="874"/>
        <item x="550"/>
        <item x="132"/>
        <item x="194"/>
        <item x="249"/>
        <item x="859"/>
        <item x="400"/>
        <item x="803"/>
        <item x="50"/>
        <item x="688"/>
        <item x="934"/>
        <item x="737"/>
        <item x="75"/>
        <item x="872"/>
        <item x="724"/>
        <item x="563"/>
        <item x="469"/>
        <item x="339"/>
        <item x="21"/>
        <item x="356"/>
        <item x="511"/>
        <item x="986"/>
        <item x="384"/>
        <item x="799"/>
        <item x="393"/>
        <item x="932"/>
        <item x="29"/>
        <item x="190"/>
        <item x="507"/>
        <item x="902"/>
        <item x="977"/>
        <item x="382"/>
        <item x="668"/>
        <item x="11"/>
        <item x="293"/>
        <item x="398"/>
        <item x="59"/>
        <item x="926"/>
        <item x="17"/>
        <item x="189"/>
        <item x="643"/>
        <item x="606"/>
        <item x="683"/>
        <item x="672"/>
        <item x="353"/>
        <item x="865"/>
        <item x="880"/>
        <item x="56"/>
        <item x="718"/>
        <item x="809"/>
        <item x="633"/>
        <item x="882"/>
        <item x="820"/>
        <item x="691"/>
        <item x="390"/>
        <item x="660"/>
        <item x="286"/>
        <item x="216"/>
        <item x="520"/>
        <item x="720"/>
        <item x="135"/>
        <item x="884"/>
        <item x="879"/>
        <item x="928"/>
        <item x="295"/>
        <item x="715"/>
        <item x="37"/>
        <item x="616"/>
        <item x="822"/>
        <item x="250"/>
        <item x="138"/>
        <item x="123"/>
        <item x="304"/>
        <item x="965"/>
        <item x="610"/>
        <item x="27"/>
        <item x="593"/>
        <item x="658"/>
        <item x="893"/>
        <item x="824"/>
        <item x="375"/>
        <item x="751"/>
        <item x="527"/>
        <item x="477"/>
        <item x="961"/>
        <item x="399"/>
        <item x="504"/>
        <item x="296"/>
        <item x="661"/>
        <item x="379"/>
        <item x="863"/>
        <item x="279"/>
        <item x="951"/>
        <item x="555"/>
        <item x="528"/>
        <item x="744"/>
        <item x="939"/>
        <item x="930"/>
        <item x="342"/>
        <item x="516"/>
        <item x="723"/>
        <item x="753"/>
        <item x="288"/>
        <item x="378"/>
        <item x="607"/>
        <item x="1"/>
        <item x="861"/>
        <item x="52"/>
        <item x="970"/>
        <item x="559"/>
        <item x="63"/>
        <item x="252"/>
        <item x="515"/>
        <item x="816"/>
        <item x="890"/>
        <item x="681"/>
        <item x="343"/>
        <item x="936"/>
        <item x="953"/>
        <item x="558"/>
        <item x="825"/>
        <item x="397"/>
        <item x="300"/>
        <item x="122"/>
        <item x="931"/>
        <item x="742"/>
        <item x="968"/>
        <item x="768"/>
        <item x="346"/>
        <item x="259"/>
        <item x="843"/>
        <item x="916"/>
        <item x="193"/>
        <item x="290"/>
        <item x="746"/>
        <item x="976"/>
        <item x="548"/>
        <item x="54"/>
        <item x="670"/>
        <item x="467"/>
        <item x="605"/>
        <item x="219"/>
        <item x="883"/>
        <item x="595"/>
        <item x="3"/>
        <item x="736"/>
        <item x="727"/>
        <item x="350"/>
        <item x="383"/>
        <item x="963"/>
        <item x="247"/>
        <item x="523"/>
        <item x="41"/>
        <item x="60"/>
        <item x="921"/>
        <item x="663"/>
        <item x="131"/>
        <item x="895"/>
        <item x="886"/>
        <item x="600"/>
        <item x="157"/>
        <item x="256"/>
        <item x="306"/>
        <item x="431"/>
        <item x="913"/>
        <item x="333"/>
        <item x="282"/>
        <item x="615"/>
        <item x="719"/>
        <item x="267"/>
        <item x="313"/>
        <item x="599"/>
        <item x="83"/>
        <item x="975"/>
        <item x="389"/>
        <item x="924"/>
        <item x="187"/>
        <item x="28"/>
        <item x="964"/>
        <item x="128"/>
        <item x="717"/>
        <item x="498"/>
        <item x="665"/>
        <item x="338"/>
        <item x="740"/>
        <item x="745"/>
        <item x="332"/>
        <item x="914"/>
        <item x="601"/>
        <item x="268"/>
        <item x="937"/>
        <item x="905"/>
        <item x="359"/>
        <item x="287"/>
        <item x="6"/>
        <item x="959"/>
        <item x="192"/>
        <item x="91"/>
        <item x="303"/>
        <item x="666"/>
        <item x="948"/>
        <item x="336"/>
        <item x="899"/>
        <item x="983"/>
        <item x="713"/>
        <item x="530"/>
        <item x="652"/>
        <item x="261"/>
        <item x="922"/>
        <item x="18"/>
        <item x="334"/>
        <item x="481"/>
        <item x="294"/>
        <item x="360"/>
        <item x="272"/>
        <item x="938"/>
        <item x="85"/>
        <item x="225"/>
        <item x="1000"/>
        <item x="952"/>
        <item x="669"/>
        <item x="526"/>
        <item x="305"/>
        <item x="732"/>
        <item x="89"/>
        <item x="988"/>
        <item x="403"/>
        <item x="896"/>
        <item x="441"/>
        <item x="475"/>
        <item x="589"/>
        <item x="747"/>
        <item x="891"/>
        <item x="253"/>
        <item x="917"/>
        <item x="354"/>
        <item x="430"/>
        <item x="915"/>
        <item x="650"/>
        <item x="437"/>
        <item x="142"/>
        <item x="738"/>
        <item x="223"/>
        <item x="957"/>
        <item x="897"/>
        <item x="76"/>
        <item x="124"/>
        <item x="888"/>
        <item x="439"/>
        <item x="869"/>
        <item x="909"/>
        <item x="278"/>
        <item x="919"/>
        <item x="266"/>
        <item x="331"/>
        <item x="221"/>
        <item x="337"/>
        <item x="307"/>
        <item x="48"/>
        <item x="596"/>
        <item x="248"/>
        <item x="867"/>
        <item x="887"/>
        <item x="355"/>
        <item x="667"/>
        <item x="283"/>
        <item x="827"/>
        <item x="110"/>
        <item x="729"/>
        <item x="654"/>
        <item x="265"/>
        <item x="960"/>
        <item x="428"/>
        <item x="58"/>
        <item x="341"/>
        <item x="969"/>
        <item x="184"/>
        <item x="358"/>
        <item x="908"/>
        <item x="659"/>
        <item x="920"/>
        <item x="127"/>
        <item x="649"/>
        <item x="956"/>
        <item x="592"/>
        <item x="220"/>
        <item x="309"/>
        <item x="429"/>
        <item x="885"/>
        <item x="971"/>
        <item x="471"/>
        <item x="673"/>
        <item x="906"/>
        <item x="88"/>
        <item x="714"/>
        <item x="134"/>
        <item x="280"/>
        <item x="901"/>
        <item x="950"/>
        <item x="962"/>
        <item x="651"/>
        <item x="348"/>
        <item x="674"/>
        <item x="133"/>
        <item x="55"/>
        <item x="8"/>
        <item x="748"/>
        <item x="598"/>
        <item x="345"/>
        <item x="262"/>
        <item x="281"/>
        <item x="95"/>
        <item x="222"/>
        <item x="912"/>
        <item x="73"/>
        <item x="78"/>
        <item x="966"/>
        <item x="274"/>
        <item x="427"/>
        <item x="62"/>
        <item x="529"/>
        <item x="86"/>
        <item x="749"/>
        <item x="712"/>
        <item x="568"/>
        <item x="440"/>
        <item x="904"/>
        <item x="608"/>
        <item x="271"/>
        <item x="301"/>
        <item x="954"/>
        <item x="898"/>
        <item x="482"/>
        <item x="525"/>
        <item x="677"/>
        <item x="254"/>
        <item x="590"/>
        <item x="2"/>
        <item x="214"/>
        <item x="291"/>
        <item x="754"/>
        <item x="844"/>
        <item x="707"/>
        <item x="92"/>
        <item x="445"/>
        <item x="302"/>
        <item x="967"/>
        <item x="47"/>
        <item x="741"/>
        <item x="972"/>
        <item x="90"/>
        <item x="292"/>
        <item x="0"/>
        <item x="276"/>
        <item x="656"/>
        <item x="42"/>
        <item x="910"/>
        <item x="860"/>
        <item x="943"/>
        <item x="958"/>
        <item x="308"/>
        <item x="224"/>
        <item x="443"/>
        <item x="570"/>
        <item x="743"/>
        <item x="524"/>
        <item x="13"/>
        <item x="653"/>
        <item x="311"/>
        <item x="5"/>
        <item x="43"/>
        <item x="611"/>
        <item x="79"/>
        <item x="181"/>
        <item x="432"/>
        <item x="709"/>
        <item x="894"/>
        <item x="739"/>
        <item x="1014"/>
        <item x="67"/>
        <item x="424"/>
        <item x="444"/>
        <item x="264"/>
        <item x="347"/>
        <item x="705"/>
        <item x="340"/>
        <item x="84"/>
        <item x="911"/>
        <item x="277"/>
        <item x="603"/>
        <item x="72"/>
        <item x="828"/>
        <item x="80"/>
        <item x="426"/>
        <item x="257"/>
        <item x="161"/>
        <item x="591"/>
        <item x="845"/>
        <item x="442"/>
        <item x="648"/>
        <item x="7"/>
        <item x="113"/>
        <item x="569"/>
        <item x="191"/>
        <item x="750"/>
        <item x="165"/>
        <item x="30"/>
        <item x="940"/>
        <item x="77"/>
        <item x="35"/>
        <item x="362"/>
        <item x="710"/>
        <item x="162"/>
        <item x="118"/>
        <item x="66"/>
        <item x="115"/>
        <item x="907"/>
        <item x="657"/>
        <item x="87"/>
        <item x="942"/>
        <item x="644"/>
        <item x="918"/>
        <item x="40"/>
        <item x="12"/>
        <item x="4"/>
        <item t="default"/>
      </items>
    </pivotField>
    <pivotField compact="0" numFmtId="179"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compact="0" showAll="0">
      <items count="7">
        <item x="3"/>
        <item x="1"/>
        <item x="2"/>
        <item x="4"/>
        <item x="5"/>
        <item x="0"/>
        <item t="default"/>
      </items>
    </pivotField>
    <pivotField compact="0" showAll="0">
      <items count="8">
        <item x="1"/>
        <item x="0"/>
        <item x="4"/>
        <item x="5"/>
        <item x="6"/>
        <item x="2"/>
        <item x="3"/>
        <item t="default"/>
      </items>
    </pivotField>
    <pivotField compact="0" numFmtId="178" showAll="0">
      <items count="5">
        <item x="0"/>
        <item x="1"/>
        <item x="2"/>
        <item x="3"/>
        <item t="default"/>
      </items>
    </pivotField>
    <pivotField compact="0" showAll="0">
      <items count="4">
        <item x="0"/>
        <item x="1"/>
        <item x="2"/>
        <item t="default"/>
      </items>
    </pivotField>
    <pivotField compact="0" showAll="0">
      <items count="4">
        <item x="2"/>
        <item x="1"/>
        <item x="0"/>
        <item t="default"/>
      </items>
    </pivotField>
    <pivotField compact="0" showAll="0">
      <items count="93">
        <item h="1" x="51"/>
        <item h="1" x="36"/>
        <item h="1" x="42"/>
        <item h="1" x="46"/>
        <item x="87"/>
        <item x="10"/>
        <item x="28"/>
        <item x="38"/>
        <item x="9"/>
        <item x="91"/>
        <item x="77"/>
        <item x="17"/>
        <item x="89"/>
        <item x="72"/>
        <item x="80"/>
        <item x="76"/>
        <item x="33"/>
        <item x="31"/>
        <item x="29"/>
        <item x="27"/>
        <item x="75"/>
        <item h="1" x="55"/>
        <item h="1" x="41"/>
        <item h="1" x="4"/>
        <item h="1" x="25"/>
        <item h="1" x="66"/>
        <item h="1" x="6"/>
        <item h="1" x="48"/>
        <item h="1" x="18"/>
        <item h="1" x="64"/>
        <item h="1" x="52"/>
        <item h="1" x="26"/>
        <item h="1" x="53"/>
        <item h="1" x="23"/>
        <item h="1" x="21"/>
        <item h="1" x="13"/>
        <item h="1" x="88"/>
        <item h="1" x="58"/>
        <item h="1" x="59"/>
        <item h="1" x="65"/>
        <item h="1" x="78"/>
        <item h="1" x="7"/>
        <item h="1" x="81"/>
        <item h="1" x="62"/>
        <item h="1" x="14"/>
        <item h="1" x="0"/>
        <item h="1" x="70"/>
        <item h="1" x="2"/>
        <item h="1" x="67"/>
        <item h="1" x="15"/>
        <item h="1" x="54"/>
        <item h="1" x="79"/>
        <item h="1" x="63"/>
        <item h="1" x="83"/>
        <item h="1" x="47"/>
        <item h="1" x="50"/>
        <item h="1" x="39"/>
        <item h="1" x="8"/>
        <item h="1" x="45"/>
        <item h="1" x="74"/>
        <item h="1" x="85"/>
        <item h="1" x="40"/>
        <item h="1" x="71"/>
        <item h="1" x="44"/>
        <item h="1" x="60"/>
        <item h="1" x="56"/>
        <item h="1" x="43"/>
        <item h="1" x="1"/>
        <item h="1" x="86"/>
        <item h="1" x="57"/>
        <item h="1" x="90"/>
        <item h="1" x="19"/>
        <item h="1" x="30"/>
        <item h="1" x="37"/>
        <item h="1" x="82"/>
        <item h="1" x="84"/>
        <item h="1" x="20"/>
        <item h="1" x="49"/>
        <item h="1" x="73"/>
        <item h="1" x="34"/>
        <item h="1" x="5"/>
        <item h="1" x="12"/>
        <item h="1" x="61"/>
        <item h="1" x="35"/>
        <item h="1" x="68"/>
        <item h="1" x="16"/>
        <item h="1" x="3"/>
        <item h="1" x="22"/>
        <item h="1" x="69"/>
        <item h="1" x="11"/>
        <item h="1" x="24"/>
        <item h="1" x="32"/>
        <item t="default"/>
      </items>
    </pivotField>
    <pivotField dataField="1" compact="0" numFmtId="180" showAll="0">
      <items count="1540">
        <item h="1" x="1144"/>
        <item h="1" x="491"/>
        <item h="1" x="1014"/>
        <item h="1" x="665"/>
        <item h="1" x="245"/>
        <item h="1" x="841"/>
        <item h="1" x="1109"/>
        <item h="1" x="1015"/>
        <item h="1" x="662"/>
        <item h="1" x="667"/>
        <item h="1" x="670"/>
        <item h="1" x="654"/>
        <item h="1" x="820"/>
        <item h="1" x="764"/>
        <item h="1" x="240"/>
        <item h="1" x="19"/>
        <item h="1" x="660"/>
        <item h="1" x="826"/>
        <item h="1" x="778"/>
        <item h="1" x="1221"/>
        <item h="1" x="718"/>
        <item h="1" x="671"/>
        <item h="1" x="626"/>
        <item h="1" x="773"/>
        <item h="1" x="719"/>
        <item h="1" x="768"/>
        <item h="1" x="715"/>
        <item h="1" x="1493"/>
        <item h="1" x="330"/>
        <item h="1" x="766"/>
        <item h="1" x="829"/>
        <item h="1" x="1001"/>
        <item h="1" x="771"/>
        <item h="1" x="707"/>
        <item h="1" x="825"/>
        <item h="1" x="1143"/>
        <item h="1" x="818"/>
        <item h="1" x="271"/>
        <item h="1" x="1506"/>
        <item h="1" x="1008"/>
        <item h="1" x="1000"/>
        <item h="1" x="1254"/>
        <item h="1" x="213"/>
        <item h="1" x="664"/>
        <item h="1" x="658"/>
        <item h="1" x="634"/>
        <item h="1" x="305"/>
        <item h="1" x="1110"/>
        <item h="1" x="316"/>
        <item h="1" x="701"/>
        <item h="1" x="85"/>
        <item h="1" x="657"/>
        <item h="1" x="706"/>
        <item h="1" x="997"/>
        <item h="1" x="1112"/>
        <item h="1" x="776"/>
        <item h="1" x="1248"/>
        <item h="1" x="1102"/>
        <item h="1" x="1107"/>
        <item h="1" x="1155"/>
        <item h="1" x="881"/>
        <item h="1" x="452"/>
        <item h="1" x="647"/>
        <item h="1" x="821"/>
        <item h="1" x="786"/>
        <item h="1" x="774"/>
        <item h="1" x="584"/>
        <item h="1" x="1355"/>
        <item h="1" x="1009"/>
        <item h="1" x="1324"/>
        <item h="1" x="1123"/>
        <item h="1" x="605"/>
        <item h="1" x="172"/>
        <item h="1" x="666"/>
        <item h="1" x="1114"/>
        <item h="1" x="1100"/>
        <item h="1" x="704"/>
        <item h="1" x="1223"/>
        <item h="1" x="524"/>
        <item h="1" x="1516"/>
        <item h="1" x="630"/>
        <item h="1" x="1295"/>
        <item h="1" x="705"/>
        <item x="837"/>
        <item h="1" x="310"/>
        <item h="1" x="374"/>
        <item h="1" x="769"/>
        <item x="668"/>
        <item h="1" x="937"/>
        <item h="1" x="709"/>
        <item x="999"/>
        <item h="1" x="167"/>
        <item h="1" x="133"/>
        <item h="1" x="779"/>
        <item h="1" x="311"/>
        <item h="1" x="1097"/>
        <item h="1" x="982"/>
        <item h="1" x="1004"/>
        <item h="1" x="661"/>
        <item h="1" x="246"/>
        <item h="1" x="1529"/>
        <item h="1" x="1166"/>
        <item h="1" x="656"/>
        <item h="1" x="1503"/>
        <item x="68"/>
        <item h="1" x="55"/>
        <item h="1" x="892"/>
        <item x="832"/>
        <item h="1" x="1119"/>
        <item h="1" x="819"/>
        <item h="1" x="511"/>
        <item h="1" x="767"/>
        <item h="1" x="1499"/>
        <item h="1" x="673"/>
        <item h="1" x="1321"/>
        <item h="1" x="583"/>
        <item x="895"/>
        <item h="1" x="350"/>
        <item x="782"/>
        <item h="1" x="619"/>
        <item h="1" x="663"/>
        <item h="1" x="1180"/>
        <item h="1" x="836"/>
        <item h="1" x="239"/>
        <item h="1" x="353"/>
        <item h="1" x="175"/>
        <item h="1" x="1101"/>
        <item x="339"/>
        <item x="1131"/>
        <item x="1220"/>
        <item x="772"/>
        <item h="1" x="566"/>
        <item x="928"/>
        <item h="1" x="518"/>
        <item h="1" x="528"/>
        <item h="1" x="1231"/>
        <item h="1" x="194"/>
        <item h="1" x="894"/>
        <item h="1" x="314"/>
        <item h="1" x="568"/>
        <item h="1" x="476"/>
        <item h="1" x="578"/>
        <item h="1" x="823"/>
        <item x="301"/>
        <item h="1" x="519"/>
        <item h="1" x="179"/>
        <item h="1" x="617"/>
        <item h="1" x="1002"/>
        <item h="1" x="576"/>
        <item h="1" x="319"/>
        <item h="1" x="594"/>
        <item h="1" x="178"/>
        <item h="1" x="1195"/>
        <item h="1" x="225"/>
        <item h="1" x="1099"/>
        <item h="1" x="540"/>
        <item h="1" x="1140"/>
        <item h="1" x="43"/>
        <item h="1" x="1181"/>
        <item h="1" x="234"/>
        <item h="1" x="770"/>
        <item h="1" x="783"/>
        <item h="1" x="731"/>
        <item h="1" x="198"/>
        <item h="1" x="1007"/>
        <item h="1" x="92"/>
        <item h="1" x="170"/>
        <item h="1" x="520"/>
        <item h="1" x="739"/>
        <item h="1" x="1492"/>
        <item h="1" x="762"/>
        <item h="1" x="993"/>
        <item h="1" x="627"/>
        <item h="1" x="1219"/>
        <item h="1" x="798"/>
        <item h="1" x="456"/>
        <item h="1" x="596"/>
        <item h="1" x="450"/>
        <item h="1" x="896"/>
        <item h="1" x="186"/>
        <item h="1" x="1279"/>
        <item h="1" x="1515"/>
        <item h="1" x="1302"/>
        <item h="1" x="831"/>
        <item h="1" x="650"/>
        <item h="1" x="1006"/>
        <item h="1" x="835"/>
        <item h="1" x="1098"/>
        <item h="1" x="1128"/>
        <item h="1" x="839"/>
        <item h="1" x="343"/>
        <item h="1" x="653"/>
        <item h="1" x="1266"/>
        <item h="1" x="1151"/>
        <item h="1" x="1019"/>
        <item h="1" x="1501"/>
        <item h="1" x="1518"/>
        <item h="1" x="1203"/>
        <item h="1" x="165"/>
        <item h="1" x="226"/>
        <item h="1" x="334"/>
        <item h="1" x="810"/>
        <item h="1" x="833"/>
        <item h="1" x="659"/>
        <item h="1" x="998"/>
        <item h="1" x="329"/>
        <item h="1" x="781"/>
        <item h="1" x="1226"/>
        <item h="1" x="182"/>
        <item h="1" x="912"/>
        <item h="1" x="18"/>
        <item h="1" x="620"/>
        <item h="1" x="465"/>
        <item h="1" x="591"/>
        <item h="1" x="906"/>
        <item h="1" x="1498"/>
        <item h="1" x="635"/>
        <item h="1" x="215"/>
        <item h="1" x="77"/>
        <item h="1" x="792"/>
        <item h="1" x="1530"/>
        <item h="1" x="678"/>
        <item h="1" x="827"/>
        <item h="1" x="393"/>
        <item h="1" x="258"/>
        <item h="1" x="809"/>
        <item h="1" x="289"/>
        <item h="1" x="1208"/>
        <item h="1" x="100"/>
        <item h="1" x="1508"/>
        <item h="1" x="1282"/>
        <item h="1" x="1296"/>
        <item h="1" x="765"/>
        <item h="1" x="293"/>
        <item h="1" x="276"/>
        <item h="1" x="1044"/>
        <item h="1" x="221"/>
        <item h="1" x="802"/>
        <item h="1" x="219"/>
        <item h="1" x="335"/>
        <item h="1" x="168"/>
        <item h="1" x="261"/>
        <item h="1" x="531"/>
        <item h="1" x="166"/>
        <item h="1" x="337"/>
        <item h="1" x="561"/>
        <item h="1" x="888"/>
        <item h="1" x="961"/>
        <item h="1" x="780"/>
        <item h="1" x="1115"/>
        <item h="1" x="947"/>
        <item h="1" x="151"/>
        <item h="1" x="1104"/>
        <item h="1" x="115"/>
        <item h="1" x="1111"/>
        <item h="1" x="794"/>
        <item h="1" x="419"/>
        <item h="1" x="996"/>
        <item h="1" x="1003"/>
        <item h="1" x="395"/>
        <item h="1" x="1139"/>
        <item h="1" x="408"/>
        <item h="1" x="828"/>
        <item h="1" x="878"/>
        <item h="1" x="1466"/>
        <item h="1" x="865"/>
        <item h="1" x="1060"/>
        <item h="1" x="748"/>
        <item h="1" x="1103"/>
        <item h="1" x="1113"/>
        <item h="1" x="306"/>
        <item h="1" x="367"/>
        <item h="1" x="822"/>
        <item h="1" x="536"/>
        <item h="1" x="169"/>
        <item h="1" x="625"/>
        <item h="1" x="604"/>
        <item h="1" x="348"/>
        <item h="1" x="1121"/>
        <item h="1" x="703"/>
        <item h="1" x="1051"/>
        <item h="1" x="1217"/>
        <item h="1" x="526"/>
        <item h="1" x="286"/>
        <item h="1" x="228"/>
        <item h="1" x="551"/>
        <item h="1" x="838"/>
        <item h="1" x="1168"/>
        <item h="1" x="921"/>
        <item h="1" x="824"/>
        <item h="1" x="482"/>
        <item h="1" x="628"/>
        <item h="1" x="777"/>
        <item h="1" x="1165"/>
        <item h="1" x="1210"/>
        <item h="1" x="899"/>
        <item h="1" x="388"/>
        <item h="1" x="176"/>
        <item h="1" x="847"/>
        <item h="1" x="815"/>
        <item h="1" x="296"/>
        <item h="1" x="217"/>
        <item h="1" x="799"/>
        <item h="1" x="185"/>
        <item h="1" x="1233"/>
        <item h="1" x="1129"/>
        <item h="1" x="1265"/>
        <item h="1" x="1513"/>
        <item h="1" x="195"/>
        <item h="1" x="110"/>
        <item h="1" x="95"/>
        <item h="1" x="537"/>
        <item h="1" x="1169"/>
        <item h="1" x="905"/>
        <item h="1" x="585"/>
        <item h="1" x="1192"/>
        <item h="1" x="457"/>
        <item h="1" x="749"/>
        <item h="1" x="510"/>
        <item h="1" x="224"/>
        <item h="1" x="726"/>
        <item h="1" x="790"/>
        <item h="1" x="555"/>
        <item h="1" x="834"/>
        <item h="1" x="1314"/>
        <item h="1" x="995"/>
        <item h="1" x="1029"/>
        <item h="1" x="466"/>
        <item h="1" x="1033"/>
        <item h="1" x="392"/>
        <item h="1" x="1485"/>
        <item h="1" x="459"/>
        <item h="1" x="356"/>
        <item h="1" x="1045"/>
        <item h="1" x="1120"/>
        <item h="1" x="256"/>
        <item h="1" x="1411"/>
        <item h="1" x="514"/>
        <item h="1" x="1496"/>
        <item h="1" x="427"/>
        <item h="1" x="791"/>
        <item h="1" x="1495"/>
        <item h="1" x="920"/>
        <item h="1" x="553"/>
        <item h="1" x="260"/>
        <item h="1" x="554"/>
        <item h="1" x="532"/>
        <item h="1" x="1149"/>
        <item h="1" x="569"/>
        <item h="1" x="1043"/>
        <item h="1" x="496"/>
        <item h="1" x="105"/>
        <item h="1" x="318"/>
        <item h="1" x="552"/>
        <item h="1" x="994"/>
        <item h="1" x="711"/>
        <item h="1" x="1532"/>
        <item h="1" x="269"/>
        <item h="1" x="1106"/>
        <item h="1" x="300"/>
        <item h="1" x="1531"/>
        <item h="1" x="956"/>
        <item h="1" x="1005"/>
        <item h="1" x="1170"/>
        <item h="1" x="268"/>
        <item h="1" x="1141"/>
        <item h="1" x="655"/>
        <item h="1" x="1132"/>
        <item h="1" x="411"/>
        <item h="1" x="1247"/>
        <item h="1" x="830"/>
        <item h="1" x="884"/>
        <item h="1" x="1134"/>
        <item h="1" x="697"/>
        <item h="1" x="1146"/>
        <item h="1" x="1230"/>
        <item h="1" x="560"/>
        <item h="1" x="907"/>
        <item h="1" x="1039"/>
        <item h="1" x="1012"/>
        <item h="1" x="615"/>
        <item h="1" x="1229"/>
        <item h="1" x="1521"/>
        <item h="1" x="577"/>
        <item h="1" x="1137"/>
        <item h="1" x="229"/>
        <item h="1" x="700"/>
        <item h="1" x="1105"/>
        <item h="1" x="259"/>
        <item h="1" x="586"/>
        <item h="1" x="714"/>
        <item h="1" x="62"/>
        <item h="1" x="918"/>
        <item h="1" x="1108"/>
        <item h="1" x="1424"/>
        <item h="1" x="447"/>
        <item h="1" x="162"/>
        <item h="1" x="916"/>
        <item h="1" x="159"/>
        <item h="1" x="214"/>
        <item h="1" x="1419"/>
        <item h="1" x="1452"/>
        <item h="1" x="117"/>
        <item h="1" x="1339"/>
        <item h="1" x="1133"/>
        <item h="1" x="952"/>
        <item h="1" x="967"/>
        <item h="1" x="633"/>
        <item h="1" x="93"/>
        <item h="1" x="1224"/>
        <item h="1" x="710"/>
        <item h="1" x="1234"/>
        <item h="1" x="442"/>
        <item h="1" x="775"/>
        <item h="1" x="307"/>
        <item h="1" x="302"/>
        <item h="1" x="407"/>
        <item h="1" x="1425"/>
        <item h="1" x="1251"/>
        <item h="1" x="1205"/>
        <item h="1" x="391"/>
        <item h="1" x="885"/>
        <item h="1" x="725"/>
        <item h="1" x="851"/>
        <item h="1" x="785"/>
        <item h="1" x="505"/>
        <item h="1" x="1199"/>
        <item h="1" x="171"/>
        <item h="1" x="1239"/>
        <item h="1" x="263"/>
        <item h="1" x="1246"/>
        <item h="1" x="91"/>
        <item h="1" x="383"/>
        <item h="1" x="332"/>
        <item h="1" x="672"/>
        <item h="1" x="1525"/>
        <item h="1" x="1153"/>
        <item h="1" x="1042"/>
        <item h="1" x="84"/>
        <item h="1" x="1022"/>
        <item h="1" x="341"/>
        <item h="1" x="51"/>
        <item h="1" x="897"/>
        <item h="1" x="1507"/>
        <item h="1" x="1294"/>
        <item h="1" x="278"/>
        <item h="1" x="1118"/>
        <item h="1" x="721"/>
        <item h="1" x="621"/>
        <item h="1" x="1426"/>
        <item h="1" x="206"/>
        <item h="1" x="497"/>
        <item h="1" x="231"/>
        <item h="1" x="523"/>
        <item h="1" x="1502"/>
        <item h="1" x="959"/>
        <item h="1" x="720"/>
        <item h="1" x="1523"/>
        <item h="1" x="682"/>
        <item h="1" x="683"/>
        <item h="1" x="944"/>
        <item h="1" x="971"/>
        <item h="1" x="292"/>
        <item h="1" x="401"/>
        <item h="1" x="587"/>
        <item h="1" x="1086"/>
        <item h="1" x="813"/>
        <item h="1" x="257"/>
        <item h="1" x="1290"/>
        <item h="1" x="1228"/>
        <item h="1" x="1312"/>
        <item h="1" x="472"/>
        <item h="1" x="588"/>
        <item h="1" x="1405"/>
        <item h="1" x="309"/>
        <item h="1" x="806"/>
        <item h="1" x="1187"/>
        <item h="1" x="1227"/>
        <item h="1" x="347"/>
        <item h="1" x="1494"/>
        <item h="1" x="440"/>
        <item h="1" x="1504"/>
        <item h="1" x="358"/>
        <item h="1" x="220"/>
        <item h="1" x="468"/>
        <item h="1" x="349"/>
        <item h="1" x="1351"/>
        <item h="1" x="1091"/>
        <item h="1" x="803"/>
        <item h="1" x="70"/>
        <item h="1" x="340"/>
        <item h="1" x="936"/>
        <item h="1" x="859"/>
        <item h="1" x="1343"/>
        <item h="1" x="883"/>
        <item h="1" x="1225"/>
        <item h="1" x="59"/>
        <item h="1" x="909"/>
        <item h="1" x="949"/>
        <item h="1" x="1431"/>
        <item h="1" x="479"/>
        <item h="1" x="545"/>
        <item h="1" x="377"/>
        <item h="1" x="1369"/>
        <item h="1" x="902"/>
        <item h="1" x="1185"/>
        <item h="1" x="534"/>
        <item h="1" x="1289"/>
        <item h="1" x="498"/>
        <item h="1" x="1093"/>
        <item h="1" x="680"/>
        <item h="1" x="1241"/>
        <item h="1" x="1533"/>
        <item h="1" x="1262"/>
        <item h="1" x="201"/>
        <item h="1" x="1361"/>
        <item h="1" x="1130"/>
        <item h="1" x="1308"/>
        <item h="1" x="913"/>
        <item h="1" x="515"/>
        <item h="1" x="96"/>
        <item h="1" x="1441"/>
        <item h="1" x="1016"/>
        <item h="1" x="581"/>
        <item h="1" x="1298"/>
        <item h="1" x="298"/>
        <item h="1" x="573"/>
        <item h="1" x="1204"/>
        <item h="1" x="866"/>
        <item h="1" x="592"/>
        <item h="1" x="1304"/>
        <item h="1" x="122"/>
        <item h="1" x="130"/>
        <item h="1" x="1030"/>
        <item h="1" x="56"/>
        <item h="1" x="1084"/>
        <item h="1" x="1275"/>
        <item h="1" x="969"/>
        <item h="1" x="1256"/>
        <item h="1" x="973"/>
        <item h="1" x="522"/>
        <item h="1" x="1020"/>
        <item h="1" x="950"/>
        <item h="1" x="389"/>
        <item h="1" x="1240"/>
        <item h="1" x="978"/>
        <item h="1" x="299"/>
        <item h="1" x="373"/>
        <item h="1" x="579"/>
        <item h="1" x="862"/>
        <item h="1" x="911"/>
        <item h="1" x="1157"/>
        <item h="1" x="939"/>
        <item h="1" x="1062"/>
        <item h="1" x="1318"/>
        <item h="1" x="303"/>
        <item h="1" x="41"/>
        <item h="1" x="1397"/>
        <item h="1" x="1059"/>
        <item h="1" x="853"/>
        <item h="1" x="1058"/>
        <item h="1" x="648"/>
        <item h="1" x="1524"/>
        <item h="1" x="549"/>
        <item h="1" x="957"/>
        <item h="1" x="331"/>
        <item h="1" x="397"/>
        <item h="1" x="542"/>
        <item h="1" x="1412"/>
        <item h="1" x="976"/>
        <item h="1" x="345"/>
        <item h="1" x="988"/>
        <item h="1" x="603"/>
        <item h="1" x="464"/>
        <item h="1" x="910"/>
        <item h="1" x="1390"/>
        <item h="1" x="371"/>
        <item h="1" x="379"/>
        <item h="1" x="1235"/>
        <item h="1" x="1064"/>
        <item h="1" x="632"/>
        <item h="1" x="317"/>
        <item h="1" x="1489"/>
        <item h="1" x="129"/>
        <item h="1" x="1326"/>
        <item h="1" x="1371"/>
        <item h="1" x="90"/>
        <item h="1" x="1232"/>
        <item h="1" x="1263"/>
        <item h="1" x="1422"/>
        <item h="1" x="1147"/>
        <item h="1" x="290"/>
        <item h="1" x="155"/>
        <item h="1" x="1257"/>
        <item h="1" x="886"/>
        <item h="1" x="503"/>
        <item h="1" x="370"/>
        <item h="1" x="1510"/>
        <item h="1" x="723"/>
        <item h="1" x="1479"/>
        <item h="1" x="1066"/>
        <item h="1" x="1057"/>
        <item h="1" x="283"/>
        <item h="1" x="733"/>
        <item h="1" x="1127"/>
        <item h="1" x="876"/>
        <item h="1" x="558"/>
        <item h="1" x="1520"/>
        <item h="1" x="857"/>
        <item h="1" x="273"/>
        <item h="1" x="1534"/>
        <item h="1" x="525"/>
        <item h="1" x="134"/>
        <item h="1" x="547"/>
        <item h="1" x="1337"/>
        <item h="1" x="265"/>
        <item h="1" x="696"/>
        <item h="1" x="1250"/>
        <item h="1" x="297"/>
        <item h="1" x="814"/>
        <item h="1" x="840"/>
        <item h="1" x="1190"/>
        <item h="1" x="535"/>
        <item h="1" x="690"/>
        <item h="1" x="1160"/>
        <item h="1" x="27"/>
        <item h="1" x="209"/>
        <item h="1" x="1325"/>
        <item h="1" x="1301"/>
        <item h="1" x="1526"/>
        <item h="1" x="1428"/>
        <item h="1" x="158"/>
        <item h="1" x="871"/>
        <item h="1" x="1538"/>
        <item h="1" x="575"/>
        <item h="1" x="1176"/>
        <item h="1" x="405"/>
        <item h="1" x="1287"/>
        <item h="1" x="934"/>
        <item h="1" x="161"/>
        <item h="1" x="1056"/>
        <item h="1" x="118"/>
        <item h="1" x="267"/>
        <item h="1" x="548"/>
        <item h="1" x="712"/>
        <item h="1" x="192"/>
        <item h="1" x="264"/>
        <item h="1" x="1175"/>
        <item h="1" x="1011"/>
        <item h="1" x="1500"/>
        <item h="1" x="1159"/>
        <item h="1" x="255"/>
        <item h="1" x="870"/>
        <item h="1" x="597"/>
        <item h="1" x="745"/>
        <item h="1" x="398"/>
        <item h="1" x="1360"/>
        <item h="1" x="406"/>
        <item h="1" x="237"/>
        <item h="1" x="294"/>
        <item h="1" x="898"/>
        <item h="1" x="804"/>
        <item h="1" x="929"/>
        <item h="1" x="1211"/>
        <item h="1" x="8"/>
        <item h="1" x="727"/>
        <item h="1" x="974"/>
        <item h="1" x="424"/>
        <item h="1" x="1347"/>
        <item h="1" x="460"/>
        <item h="1" x="1173"/>
        <item h="1" x="713"/>
        <item h="1" x="1082"/>
        <item h="1" x="760"/>
        <item h="1" x="461"/>
        <item h="1" x="808"/>
        <item h="1" x="144"/>
        <item h="1" x="1519"/>
        <item h="1" x="513"/>
        <item h="1" x="1392"/>
        <item h="1" x="679"/>
        <item h="1" x="1512"/>
        <item h="1" x="1178"/>
        <item h="1" x="262"/>
        <item h="1" x="738"/>
        <item h="1" x="521"/>
        <item h="1" x="38"/>
        <item h="1" x="1216"/>
        <item h="1" x="313"/>
        <item h="1" x="1439"/>
        <item h="1" x="250"/>
        <item h="1" x="890"/>
        <item h="1" x="1125"/>
        <item h="1" x="351"/>
        <item h="1" x="1032"/>
        <item h="1" x="1467"/>
        <item h="1" x="308"/>
        <item h="1" x="642"/>
        <item h="1" x="533"/>
        <item h="1" x="631"/>
        <item h="1" x="355"/>
        <item h="1" x="1273"/>
        <item h="1" x="801"/>
        <item h="1" x="455"/>
        <item h="1" x="716"/>
        <item h="1" x="45"/>
        <item h="1" x="282"/>
        <item h="1" x="1535"/>
        <item h="1" x="1334"/>
        <item h="1" x="926"/>
        <item h="1" x="386"/>
        <item h="1" x="637"/>
        <item h="1" x="1201"/>
        <item h="1" x="284"/>
        <item h="1" x="494"/>
        <item h="1" x="623"/>
        <item h="1" x="1258"/>
        <item h="1" x="320"/>
        <item h="1" x="380"/>
        <item h="1" x="426"/>
        <item h="1" x="861"/>
        <item h="1" x="1478"/>
        <item h="1" x="1021"/>
        <item h="1" x="610"/>
        <item h="1" x="101"/>
        <item h="1" x="1378"/>
        <item h="1" x="698"/>
        <item h="1" x="230"/>
        <item h="1" x="692"/>
        <item h="1" x="387"/>
        <item h="1" x="1142"/>
        <item h="1" x="218"/>
        <item h="1" x="737"/>
        <item h="1" x="243"/>
        <item h="1" x="412"/>
        <item h="1" x="448"/>
        <item h="1" x="444"/>
        <item h="1" x="1061"/>
        <item h="1" x="574"/>
        <item h="1" x="600"/>
        <item h="1" x="233"/>
        <item h="1" x="613"/>
        <item h="1" x="744"/>
        <item h="1" x="1528"/>
        <item h="1" x="72"/>
        <item h="1" x="1193"/>
        <item h="1" x="864"/>
        <item h="1" x="1267"/>
        <item h="1" x="236"/>
        <item h="1" x="983"/>
        <item h="1" x="590"/>
        <item h="1" x="1183"/>
        <item h="1" x="1335"/>
        <item h="1" x="61"/>
        <item h="1" x="94"/>
        <item h="1" x="11"/>
        <item h="1" x="1497"/>
        <item h="1" x="160"/>
        <item h="1" x="958"/>
        <item h="1" x="1194"/>
        <item h="1" x="157"/>
        <item h="1" x="687"/>
        <item h="1" x="717"/>
        <item h="1" x="375"/>
        <item h="1" x="1398"/>
        <item h="1" x="593"/>
        <item h="1" x="517"/>
        <item h="1" x="1161"/>
        <item h="1" x="1375"/>
        <item h="1" x="1136"/>
        <item h="1" x="1116"/>
        <item h="1" x="1402"/>
        <item h="1" x="436"/>
        <item h="1" x="222"/>
        <item h="1" x="747"/>
        <item h="1" x="1135"/>
        <item h="1" x="1162"/>
        <item h="1" x="868"/>
        <item h="1" x="874"/>
        <item h="1" x="985"/>
        <item h="1" x="1264"/>
        <item h="1" x="1122"/>
        <item h="1" x="599"/>
        <item h="1" x="1306"/>
        <item h="1" x="483"/>
        <item h="1" x="933"/>
        <item h="1" x="873"/>
        <item h="1" x="506"/>
        <item h="1" x="811"/>
        <item h="1" x="708"/>
        <item h="1" x="789"/>
        <item h="1" x="891"/>
        <item h="1" x="1150"/>
        <item h="1" x="1394"/>
        <item h="1" x="304"/>
        <item h="1" x="156"/>
        <item h="1" x="541"/>
        <item h="1" x="1476"/>
        <item h="1" x="173"/>
        <item h="1" x="1083"/>
        <item h="1" x="645"/>
        <item h="1" x="572"/>
        <item h="1" x="1018"/>
        <item h="1" x="1382"/>
        <item h="1" x="1346"/>
        <item h="1" x="227"/>
        <item h="1" x="1446"/>
        <item h="1" x="571"/>
        <item h="1" x="688"/>
        <item h="1" x="624"/>
        <item h="1" x="21"/>
        <item h="1" x="1081"/>
        <item h="1" x="1408"/>
        <item h="1" x="1189"/>
        <item h="1" x="955"/>
        <item h="1" x="735"/>
        <item h="1" x="145"/>
        <item h="1" x="702"/>
        <item h="1" x="1517"/>
        <item h="1" x="1177"/>
        <item h="1" x="563"/>
        <item h="1" x="1138"/>
        <item h="1" x="174"/>
        <item h="1" x="1383"/>
        <item h="1" x="903"/>
        <item h="1" x="602"/>
        <item h="1" x="1186"/>
        <item h="1" x="946"/>
        <item h="1" x="927"/>
        <item h="1" x="1464"/>
        <item h="1" x="1260"/>
        <item h="1" x="788"/>
        <item h="1" x="434"/>
        <item h="1" x="1152"/>
        <item h="1" x="1253"/>
        <item h="1" x="1377"/>
        <item h="1" x="849"/>
        <item h="1" x="163"/>
        <item h="1" x="724"/>
        <item h="1" x="202"/>
        <item h="1" x="74"/>
        <item h="1" x="1475"/>
        <item h="1" x="137"/>
        <item h="1" x="1261"/>
        <item h="1" x="1075"/>
        <item h="1" x="699"/>
        <item h="1" x="1090"/>
        <item h="1" x="1505"/>
        <item h="1" x="1034"/>
        <item h="1" x="1218"/>
        <item h="1" x="638"/>
        <item h="1" x="484"/>
        <item h="1" x="512"/>
        <item h="1" x="1285"/>
        <item h="1" x="413"/>
        <item h="1" x="1357"/>
        <item h="1" x="1477"/>
        <item h="1" x="454"/>
        <item h="1" x="1437"/>
        <item h="1" x="516"/>
        <item h="1" x="223"/>
        <item h="1" x="1222"/>
        <item h="1" x="938"/>
        <item h="1" x="960"/>
        <item h="1" x="80"/>
        <item h="1" x="6"/>
        <item h="1" x="1372"/>
        <item h="1" x="480"/>
        <item h="1" x="53"/>
        <item h="1" x="437"/>
        <item h="1" x="1486"/>
        <item h="1" x="152"/>
        <item h="1" x="71"/>
        <item h="1" x="945"/>
        <item h="1" x="153"/>
        <item h="1" x="390"/>
        <item h="1" x="729"/>
        <item h="1" x="123"/>
        <item h="1" x="1491"/>
        <item h="1" x="111"/>
        <item h="1" x="622"/>
        <item h="1" x="1340"/>
        <item h="1" x="740"/>
        <item h="1" x="1252"/>
        <item h="1" x="433"/>
        <item h="1" x="266"/>
        <item h="1" x="1305"/>
        <item h="1" x="1299"/>
        <item h="1" x="1154"/>
        <item h="1" x="1472"/>
        <item h="1" x="275"/>
        <item h="1" x="908"/>
        <item h="1" x="1450"/>
        <item h="1" x="529"/>
        <item h="1" x="1300"/>
        <item h="1" x="399"/>
        <item h="1" x="539"/>
        <item h="1" x="67"/>
        <item h="1" x="606"/>
        <item h="1" x="636"/>
        <item h="1" x="1387"/>
        <item h="1" x="1341"/>
        <item h="1" x="1511"/>
        <item h="1" x="565"/>
        <item h="1" x="254"/>
        <item h="1" x="372"/>
        <item h="1" x="1071"/>
        <item h="1" x="1462"/>
        <item h="1" x="98"/>
        <item h="1" x="1362"/>
        <item h="1" x="924"/>
        <item h="1" x="463"/>
        <item h="1" x="451"/>
        <item h="1" x="23"/>
        <item h="1" x="1309"/>
        <item h="1" x="800"/>
        <item h="1" x="856"/>
        <item h="1" x="797"/>
        <item h="1" x="324"/>
        <item h="1" x="1385"/>
        <item h="1" x="499"/>
        <item h="1" x="139"/>
        <item h="1" x="287"/>
        <item h="1" x="629"/>
        <item h="1" x="1048"/>
        <item h="1" x="1124"/>
        <item h="1" x="759"/>
        <item h="1" x="1291"/>
        <item h="1" x="57"/>
        <item h="1" x="1163"/>
        <item h="1" x="458"/>
        <item h="1" x="1184"/>
        <item h="1" x="344"/>
        <item h="1" x="743"/>
        <item h="1" x="612"/>
        <item h="1" x="684"/>
        <item h="1" x="530"/>
        <item h="1" x="203"/>
        <item h="1" x="1310"/>
        <item h="1" x="1196"/>
        <item h="1" x="1374"/>
        <item h="1" x="252"/>
        <item h="1" x="750"/>
        <item h="1" x="1404"/>
        <item h="1" x="338"/>
        <item h="1" x="1481"/>
        <item h="1" x="1243"/>
        <item h="1" x="1320"/>
        <item h="1" x="421"/>
        <item h="1" x="641"/>
        <item h="1" x="279"/>
        <item h="1" x="1276"/>
        <item h="1" x="1443"/>
        <item h="1" x="1074"/>
        <item h="1" x="618"/>
        <item h="1" x="601"/>
        <item h="1" x="1490"/>
        <item h="1" x="291"/>
        <item h="1" x="986"/>
        <item h="1" x="807"/>
        <item h="1" x="1418"/>
        <item h="1" x="102"/>
        <item h="1" x="1527"/>
        <item h="1" x="469"/>
        <item h="1" x="69"/>
        <item h="1" x="1407"/>
        <item h="1" x="1172"/>
        <item h="1" x="562"/>
        <item h="1" x="1212"/>
        <item h="1" x="527"/>
        <item h="1" x="116"/>
        <item h="1" x="490"/>
        <item h="1" x="368"/>
        <item h="1" x="36"/>
        <item h="1" x="1356"/>
        <item h="1" x="249"/>
        <item h="1" x="1188"/>
        <item h="1" x="78"/>
        <item h="1" x="1330"/>
        <item h="1" x="1245"/>
        <item h="1" x="977"/>
        <item h="1" x="550"/>
        <item h="1" x="354"/>
        <item h="1" x="1237"/>
        <item h="1" x="1399"/>
        <item h="1" x="416"/>
        <item h="1" x="1342"/>
        <item h="1" x="689"/>
        <item h="1" x="1482"/>
        <item h="1" x="1331"/>
        <item h="1" x="1080"/>
        <item h="1" x="643"/>
        <item h="1" x="901"/>
        <item h="1" x="793"/>
        <item h="1" x="42"/>
        <item h="1" x="181"/>
        <item h="1" x="384"/>
        <item h="1" x="1041"/>
        <item h="1" x="431"/>
        <item h="1" x="812"/>
        <item h="1" x="1"/>
        <item h="1" x="1445"/>
        <item h="1" x="428"/>
        <item h="1" x="109"/>
        <item h="1" x="1292"/>
        <item h="1" x="598"/>
        <item h="1" x="107"/>
        <item h="1" x="1182"/>
        <item h="1" x="914"/>
        <item h="1" x="376"/>
        <item h="1" x="35"/>
        <item h="1" x="919"/>
        <item h="1" x="1319"/>
        <item h="1" x="321"/>
        <item h="1" x="248"/>
        <item h="1" x="1036"/>
        <item h="1" x="991"/>
        <item h="1" x="1191"/>
        <item h="1" x="12"/>
        <item h="1" x="1156"/>
        <item h="1" x="686"/>
        <item h="1" x="543"/>
        <item h="1" x="295"/>
        <item h="1" x="728"/>
        <item h="1" x="65"/>
        <item h="1" x="1454"/>
        <item h="1" x="462"/>
        <item h="1" x="1269"/>
        <item h="1" x="846"/>
        <item h="1" x="805"/>
        <item h="1" x="758"/>
        <item h="1" x="1315"/>
        <item h="1" x="1332"/>
        <item h="1" x="487"/>
        <item h="1" x="1297"/>
        <item h="1" x="120"/>
        <item h="1" x="415"/>
        <item h="1" x="1038"/>
        <item h="1" x="251"/>
        <item h="1" x="280"/>
        <item h="1" x="975"/>
        <item h="1" x="104"/>
        <item h="1" x="989"/>
        <item h="1" x="432"/>
        <item h="1" x="675"/>
        <item h="1" x="1171"/>
        <item h="1" x="60"/>
        <item h="1" x="467"/>
        <item h="1" x="1255"/>
        <item h="1" x="364"/>
        <item h="1" x="99"/>
        <item h="1" x="1317"/>
        <item h="1" x="1463"/>
        <item h="1" x="342"/>
        <item h="1" x="0"/>
        <item h="1" x="1094"/>
        <item h="1" x="889"/>
        <item h="1" x="1393"/>
        <item h="1" x="1442"/>
        <item h="1" x="1456"/>
        <item h="1" x="923"/>
        <item h="1" x="1484"/>
        <item h="1" x="904"/>
        <item h="1" x="742"/>
        <item h="1" x="1288"/>
        <item h="1" x="24"/>
        <item h="1" x="207"/>
        <item h="1" x="1158"/>
        <item h="1" x="285"/>
        <item h="1" x="595"/>
        <item h="1" x="270"/>
        <item h="1" x="446"/>
        <item h="1" x="1381"/>
        <item h="1" x="1047"/>
        <item h="1" x="1063"/>
        <item h="1" x="1468"/>
        <item h="1" x="611"/>
        <item h="1" x="382"/>
        <item h="1" x="589"/>
        <item h="1" x="1344"/>
        <item h="1" x="1348"/>
        <item h="1" x="63"/>
        <item h="1" x="966"/>
        <item h="1" x="893"/>
        <item h="1" x="1420"/>
        <item h="1" x="980"/>
        <item h="1" x="1465"/>
        <item h="1" x="1473"/>
        <item h="1" x="346"/>
        <item h="1" x="1455"/>
        <item h="1" x="1421"/>
        <item h="1" x="691"/>
        <item h="1" x="732"/>
        <item h="1" x="1403"/>
        <item h="1" x="327"/>
        <item h="1" x="784"/>
        <item h="1" x="1164"/>
        <item h="1" x="50"/>
        <item h="1" x="394"/>
        <item h="1" x="616"/>
        <item h="1" x="1365"/>
        <item h="1" x="900"/>
        <item h="1" x="418"/>
        <item h="1" x="32"/>
        <item h="1" x="979"/>
        <item h="1" x="1522"/>
        <item h="1" x="990"/>
        <item h="1" x="438"/>
        <item h="1" x="114"/>
        <item h="1" x="1430"/>
        <item h="1" x="1384"/>
        <item h="1" x="475"/>
        <item h="1" x="915"/>
        <item h="1" x="1327"/>
        <item h="1" x="1322"/>
        <item h="1" x="315"/>
        <item h="1" x="435"/>
        <item h="1" x="925"/>
        <item h="1" x="1202"/>
        <item h="1" x="199"/>
        <item h="1" x="87"/>
        <item h="1" x="422"/>
        <item h="1" x="1179"/>
        <item h="1" x="235"/>
        <item h="1" x="54"/>
        <item h="1" x="164"/>
        <item h="1" x="1197"/>
        <item h="1" x="964"/>
        <item h="1" x="312"/>
        <item h="1" x="112"/>
        <item h="1" x="843"/>
        <item h="1" x="244"/>
        <item h="1" x="559"/>
        <item h="1" x="1359"/>
        <item h="1" x="544"/>
        <item h="1" x="272"/>
        <item h="1" x="1283"/>
        <item h="1" x="948"/>
        <item h="1" x="481"/>
        <item h="1" x="247"/>
        <item h="1" x="1386"/>
        <item h="1" x="1272"/>
        <item h="1" x="734"/>
        <item h="1" x="410"/>
        <item h="1" x="1087"/>
        <item h="1" x="47"/>
        <item h="1" x="1368"/>
        <item h="1" x="1328"/>
        <item h="1" x="86"/>
        <item h="1" x="1366"/>
        <item h="1" x="867"/>
        <item h="1" x="190"/>
        <item h="1" x="453"/>
        <item h="1" x="1259"/>
        <item h="1" x="429"/>
        <item h="1" x="189"/>
        <item h="1" x="1417"/>
        <item h="1" x="1148"/>
        <item h="1" x="385"/>
        <item h="1" x="1488"/>
        <item h="1" x="1050"/>
        <item h="1" x="685"/>
        <item h="1" x="674"/>
        <item h="1" x="449"/>
        <item h="1" x="177"/>
        <item h="1" x="854"/>
        <item h="1" x="1457"/>
        <item h="1" x="281"/>
        <item h="1" x="1198"/>
        <item h="1" x="1433"/>
        <item h="1" x="1423"/>
        <item h="1" x="962"/>
        <item h="1" x="1126"/>
        <item h="1" x="1010"/>
        <item h="1" x="1052"/>
        <item h="1" x="1174"/>
        <item h="1" x="942"/>
        <item h="1" x="504"/>
        <item h="1" x="253"/>
        <item h="1" x="1249"/>
        <item h="1" x="1474"/>
        <item h="1" x="103"/>
        <item h="1" x="869"/>
        <item h="1" x="1410"/>
        <item h="1" x="288"/>
        <item h="1" x="842"/>
        <item h="1" x="1395"/>
        <item h="1" x="730"/>
        <item h="1" x="30"/>
        <item h="1" x="232"/>
        <item h="1" x="570"/>
        <item h="1" x="1461"/>
        <item h="1" x="20"/>
        <item h="1" x="1536"/>
        <item h="1" x="1024"/>
        <item h="1" x="1277"/>
        <item h="1" x="1238"/>
        <item h="1" x="1376"/>
        <item h="1" x="1145"/>
        <item h="1" x="121"/>
        <item h="1" x="1388"/>
        <item h="1" x="1470"/>
        <item h="1" x="1065"/>
        <item h="1" x="917"/>
        <item h="1" x="1293"/>
        <item h="1" x="968"/>
        <item h="1" x="88"/>
        <item h="1" x="1451"/>
        <item h="1" x="1040"/>
        <item h="1" x="1363"/>
        <item h="1" x="146"/>
        <item h="1" x="381"/>
        <item h="1" x="795"/>
        <item h="1" x="1268"/>
        <item h="1" x="187"/>
        <item h="1" x="582"/>
        <item h="1" x="848"/>
        <item h="1" x="1453"/>
        <item h="1" x="1414"/>
        <item h="1" x="212"/>
        <item h="1" x="1413"/>
        <item h="1" x="608"/>
        <item h="1" x="73"/>
        <item h="1" x="1447"/>
        <item h="1" x="984"/>
        <item h="1" x="1236"/>
        <item h="1" x="439"/>
        <item h="1" x="142"/>
        <item h="1" x="83"/>
        <item h="1" x="538"/>
        <item h="1" x="1345"/>
        <item h="1" x="1270"/>
        <item h="1" x="1117"/>
        <item h="1" x="323"/>
        <item h="1" x="48"/>
        <item h="1" x="1409"/>
        <item h="1" x="877"/>
        <item h="1" x="644"/>
        <item h="1" x="756"/>
        <item h="1" x="1067"/>
        <item h="1" x="1352"/>
        <item h="1" x="852"/>
        <item h="1" x="1214"/>
        <item h="1" x="369"/>
        <item h="1" x="325"/>
        <item h="1" x="1244"/>
        <item h="1" x="1483"/>
        <item h="1" x="363"/>
        <item h="1" x="963"/>
        <item h="1" x="981"/>
        <item h="1" x="336"/>
        <item h="1" x="489"/>
        <item h="1" x="746"/>
        <item h="1" x="1316"/>
        <item h="1" x="362"/>
        <item h="1" x="193"/>
        <item h="1" x="108"/>
        <item h="1" x="1364"/>
        <item h="1" x="567"/>
        <item h="1" x="140"/>
        <item h="1" x="238"/>
        <item h="1" x="1460"/>
        <item h="1" x="761"/>
        <item h="1" x="493"/>
        <item h="1" x="113"/>
        <item h="1" x="882"/>
        <item h="1" x="216"/>
        <item h="1" x="333"/>
        <item h="1" x="1049"/>
        <item h="1" x="488"/>
        <item h="1" x="972"/>
        <item h="1" x="274"/>
        <item h="1" x="1459"/>
        <item h="1" x="13"/>
        <item h="1" x="200"/>
        <item h="1" x="425"/>
        <item h="1" x="741"/>
        <item h="1" x="1167"/>
        <item h="1" x="414"/>
        <item h="1" x="66"/>
        <item h="1" x="357"/>
        <item h="1" x="1380"/>
        <item h="1" x="1471"/>
        <item h="1" x="546"/>
        <item h="1" x="607"/>
        <item h="1" x="1444"/>
        <item h="1" x="378"/>
        <item h="1" x="360"/>
        <item h="1" x="1440"/>
        <item h="1" x="352"/>
        <item h="1" x="1026"/>
        <item h="1" x="736"/>
        <item h="1" x="1280"/>
        <item h="1" x="1031"/>
        <item h="1" x="1286"/>
        <item h="1" x="880"/>
        <item h="1" x="5"/>
        <item h="1" x="361"/>
        <item h="1" x="89"/>
        <item h="1" x="564"/>
        <item h="1" x="1338"/>
        <item h="1" x="887"/>
        <item h="1" x="502"/>
        <item h="1" x="693"/>
        <item h="1" x="29"/>
        <item h="1" x="640"/>
        <item h="1" x="409"/>
        <item h="1" x="858"/>
        <item h="1" x="1053"/>
        <item h="1" x="1429"/>
        <item h="1" x="1070"/>
        <item h="1" x="507"/>
        <item h="1" x="1307"/>
        <item h="1" x="1025"/>
        <item h="1" x="796"/>
        <item h="1" x="147"/>
        <item h="1" x="1303"/>
        <item h="1" x="417"/>
        <item h="1" x="1206"/>
        <item h="1" x="1284"/>
        <item h="1" x="1085"/>
        <item h="1" x="509"/>
        <item h="1" x="1035"/>
        <item h="1" x="127"/>
        <item h="1" x="676"/>
        <item h="1" x="328"/>
        <item h="1" x="1389"/>
        <item h="1" x="875"/>
        <item h="1" x="1055"/>
        <item h="1" x="64"/>
        <item h="1" x="1077"/>
        <item h="1" x="208"/>
        <item h="1" x="15"/>
        <item h="1" x="1213"/>
        <item h="1" x="485"/>
        <item h="1" x="1069"/>
        <item h="1" x="1427"/>
        <item h="1" x="1396"/>
        <item h="1" x="1329"/>
        <item h="1" x="922"/>
        <item h="1" x="1207"/>
        <item h="1" x="204"/>
        <item h="1" x="1027"/>
        <item h="1" x="500"/>
        <item h="1" x="1400"/>
        <item h="1" x="97"/>
        <item h="1" x="681"/>
        <item h="1" x="1092"/>
        <item h="1" x="651"/>
        <item h="1" x="787"/>
        <item h="1" x="37"/>
        <item h="1" x="879"/>
        <item h="1" x="1046"/>
        <item h="1" x="403"/>
        <item h="1" x="1089"/>
        <item h="1" x="1073"/>
        <item h="1" x="669"/>
        <item h="1" x="79"/>
        <item h="1" x="10"/>
        <item h="1" x="951"/>
        <item h="1" x="149"/>
        <item h="1" x="1415"/>
        <item h="1" x="1391"/>
        <item h="1" x="1406"/>
        <item h="1" x="1336"/>
        <item h="1" x="940"/>
        <item h="1" x="1095"/>
        <item h="1" x="443"/>
        <item h="1" x="3"/>
        <item h="1" x="556"/>
        <item h="1" x="1449"/>
        <item h="1" x="1037"/>
        <item h="1" x="40"/>
        <item h="1" x="242"/>
        <item h="1" x="1469"/>
        <item h="1" x="1017"/>
        <item h="1" x="486"/>
        <item h="1" x="205"/>
        <item h="1" x="1509"/>
        <item h="1" x="25"/>
        <item h="1" x="1487"/>
        <item h="1" x="191"/>
        <item h="1" x="404"/>
        <item h="1" x="135"/>
        <item h="1" x="1434"/>
        <item h="1" x="1349"/>
        <item h="1" x="1373"/>
        <item h="1" x="992"/>
        <item h="1" x="148"/>
        <item h="1" x="277"/>
        <item h="1" x="1023"/>
        <item h="1" x="751"/>
        <item h="1" x="197"/>
        <item h="1" x="81"/>
        <item h="1" x="359"/>
        <item h="1" x="639"/>
        <item h="1" x="470"/>
        <item h="1" x="423"/>
        <item h="1" x="1311"/>
        <item h="1" x="1278"/>
        <item h="1" x="1274"/>
        <item h="1" x="76"/>
        <item h="1" x="580"/>
        <item h="1" x="184"/>
        <item h="1" x="210"/>
        <item h="1" x="844"/>
        <item h="1" x="2"/>
        <item h="1" x="965"/>
        <item h="1" x="34"/>
        <item h="1" x="943"/>
        <item h="1" x="44"/>
        <item h="1" x="1079"/>
        <item h="1" x="677"/>
        <item h="1" x="420"/>
        <item h="1" x="855"/>
        <item h="1" x="850"/>
        <item h="1" x="1068"/>
        <item h="1" x="757"/>
        <item h="1" x="1354"/>
        <item h="1" x="1379"/>
        <item h="1" x="501"/>
        <item h="1" x="400"/>
        <item h="1" x="430"/>
        <item h="1" x="495"/>
        <item h="1" x="1078"/>
        <item h="1" x="753"/>
        <item h="1" x="941"/>
        <item h="1" x="954"/>
        <item h="1" x="106"/>
        <item h="1" x="1313"/>
        <item h="1" x="31"/>
        <item h="1" x="365"/>
        <item h="1" x="1358"/>
        <item h="1" x="931"/>
        <item h="1" x="1401"/>
        <item h="1" x="1436"/>
        <item h="1" x="125"/>
        <item h="1" x="863"/>
        <item h="1" x="1480"/>
        <item h="1" x="1458"/>
        <item h="1" x="474"/>
        <item h="1" x="1537"/>
        <item h="1" x="1013"/>
        <item h="1" x="196"/>
        <item h="1" x="1200"/>
        <item h="1" x="970"/>
        <item h="1" x="9"/>
        <item h="1" x="646"/>
        <item h="1" x="609"/>
        <item h="1" x="1323"/>
        <item h="1" x="124"/>
        <item h="1" x="1076"/>
        <item h="1" x="1350"/>
        <item h="1" x="754"/>
        <item h="1" x="1448"/>
        <item h="1" x="441"/>
        <item h="1" x="131"/>
        <item h="1" x="652"/>
        <item h="1" x="473"/>
        <item h="1" x="1096"/>
        <item h="1" x="14"/>
        <item h="1" x="1353"/>
        <item h="1" x="138"/>
        <item h="1" x="17"/>
        <item h="1" x="1281"/>
        <item h="1" x="860"/>
        <item h="1" x="1054"/>
        <item h="1" x="82"/>
        <item h="1" x="1271"/>
        <item h="1" x="1215"/>
        <item h="1" x="935"/>
        <item h="1" x="872"/>
        <item h="1" x="953"/>
        <item h="1" x="322"/>
        <item h="1" x="471"/>
        <item h="1" x="49"/>
        <item h="1" x="508"/>
        <item h="1" x="649"/>
        <item h="1" x="1088"/>
        <item h="1" x="1514"/>
        <item h="1" x="16"/>
        <item h="1" x="987"/>
        <item h="1" x="930"/>
        <item h="1" x="150"/>
        <item h="1" x="180"/>
        <item h="1" x="143"/>
        <item h="1" x="694"/>
        <item h="1" x="39"/>
        <item h="1" x="326"/>
        <item h="1" x="1435"/>
        <item h="1" x="932"/>
        <item h="1" x="557"/>
        <item h="1" x="755"/>
        <item h="1" x="128"/>
        <item h="1" x="26"/>
        <item h="1" x="132"/>
        <item h="1" x="211"/>
        <item h="1" x="752"/>
        <item h="1" x="1242"/>
        <item h="1" x="402"/>
        <item h="1" x="46"/>
        <item h="1" x="1416"/>
        <item h="1" x="1438"/>
        <item h="1" x="366"/>
        <item h="1" x="1028"/>
        <item h="1" x="28"/>
        <item h="1" x="136"/>
        <item h="1" x="1333"/>
        <item h="1" x="1072"/>
        <item h="1" x="7"/>
        <item h="1" x="845"/>
        <item h="1" x="1209"/>
        <item h="1" x="1367"/>
        <item h="1" x="614"/>
        <item h="1" x="154"/>
        <item h="1" x="4"/>
        <item h="1" x="33"/>
        <item h="1" x="478"/>
        <item h="1" x="695"/>
        <item h="1" x="817"/>
        <item h="1" x="119"/>
        <item h="1" x="241"/>
        <item h="1" x="75"/>
        <item h="1" x="52"/>
        <item h="1" x="477"/>
        <item h="1" x="816"/>
        <item h="1" x="183"/>
        <item h="1" x="396"/>
        <item h="1" x="141"/>
        <item h="1" x="492"/>
        <item h="1" x="58"/>
        <item h="1" x="445"/>
        <item h="1" x="22"/>
        <item h="1" x="722"/>
        <item h="1" x="1432"/>
        <item h="1" x="763"/>
        <item h="1" x="1370"/>
        <item h="1" x="188"/>
        <item h="1" x="126"/>
        <item t="default"/>
      </items>
    </pivotField>
    <pivotField axis="axisRow" compact="0" sortType="descending" showAll="0">
      <items count="13">
        <item x="7"/>
        <item x="0"/>
        <item x="11"/>
        <item x="8"/>
        <item x="1"/>
        <item x="9"/>
        <item x="2"/>
        <item h="1" x="3"/>
        <item x="10"/>
        <item x="4"/>
        <item x="5"/>
        <item x="6"/>
        <item t="default"/>
      </items>
      <autoSortScope>
        <pivotArea fieldPosition="0">
          <references count="1">
            <reference field="4294967294" count="1" selected="0">
              <x v="0"/>
            </reference>
          </references>
        </pivotArea>
      </autoSortScope>
    </pivotField>
    <pivotField compact="0" showAll="0">
      <items count="4">
        <item x="0"/>
        <item x="1"/>
        <item x="2"/>
        <item t="default"/>
      </items>
    </pivotField>
  </pivotFields>
  <rowFields count="1">
    <field x="12"/>
  </rowFields>
  <rowItems count="12">
    <i>
      <x v="6"/>
    </i>
    <i>
      <x v="5"/>
    </i>
    <i>
      <x v="3"/>
    </i>
    <i>
      <x v="2"/>
    </i>
    <i>
      <x v="1"/>
    </i>
    <i>
      <x v="11"/>
    </i>
    <i>
      <x v="9"/>
    </i>
    <i>
      <x v="10"/>
    </i>
    <i>
      <x/>
    </i>
    <i>
      <x v="4"/>
    </i>
    <i>
      <x v="8"/>
    </i>
    <i t="grand">
      <x/>
    </i>
  </rowItems>
  <colItems count="1">
    <i/>
  </colItems>
  <dataFields count="1">
    <dataField name="Average of REVENUE" fld="11" subtotal="average" baseField="0" baseItem="0" numFmtId="181"/>
  </dataFields>
  <pivotTableStyleInfo name="PivotStylePreset3_Accent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7" firstHeaderRow="1" firstDataRow="1" firstDataCol="1"/>
  <pivotFields count="14">
    <pivotField compact="0" showAll="0">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pivotField>
    <pivotField dataField="1" compact="0" numFmtId="178" showAll="0">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compact="0" numFmtId="178"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compact="0" numFmtId="8" showAll="0">
      <items count="1017">
        <item x="466"/>
        <item x="453"/>
        <item x="539"/>
        <item x="460"/>
        <item x="456"/>
        <item x="459"/>
        <item x="540"/>
        <item x="244"/>
        <item x="533"/>
        <item x="462"/>
        <item x="500"/>
        <item x="572"/>
        <item x="538"/>
        <item x="449"/>
        <item x="546"/>
        <item x="454"/>
        <item x="537"/>
        <item x="499"/>
        <item x="571"/>
        <item x="139"/>
        <item x="765"/>
        <item x="541"/>
        <item x="762"/>
        <item x="452"/>
        <item x="585"/>
        <item x="543"/>
        <item x="458"/>
        <item x="583"/>
        <item x="695"/>
        <item x="698"/>
        <item x="10"/>
        <item x="463"/>
        <item x="704"/>
        <item x="837"/>
        <item x="759"/>
        <item x="576"/>
        <item x="450"/>
        <item x="70"/>
        <item x="758"/>
        <item x="573"/>
        <item x="542"/>
        <item x="93"/>
        <item x="438"/>
        <item x="464"/>
        <item x="164"/>
        <item x="766"/>
        <item x="578"/>
        <item x="832"/>
        <item x="489"/>
        <item x="455"/>
        <item x="700"/>
        <item x="575"/>
        <item x="547"/>
        <item x="457"/>
        <item x="655"/>
        <item x="706"/>
        <item x="163"/>
        <item x="531"/>
        <item x="497"/>
        <item x="451"/>
        <item x="838"/>
        <item x="491"/>
        <item x="461"/>
        <item x="534"/>
        <item x="767"/>
        <item x="835"/>
        <item x="183"/>
        <item x="587"/>
        <item x="581"/>
        <item x="549"/>
        <item x="696"/>
        <item x="496"/>
        <item x="763"/>
        <item x="532"/>
        <item x="582"/>
        <item x="270"/>
        <item x="760"/>
        <item x="830"/>
        <item x="703"/>
        <item x="1001"/>
        <item x="757"/>
        <item x="81"/>
        <item x="536"/>
        <item x="580"/>
        <item x="702"/>
        <item x="545"/>
        <item x="833"/>
        <item x="697"/>
        <item x="488"/>
        <item x="630"/>
        <item x="448"/>
        <item x="544"/>
        <item x="701"/>
        <item x="584"/>
        <item x="586"/>
        <item x="436"/>
        <item x="535"/>
        <item x="117"/>
        <item x="574"/>
        <item x="368"/>
        <item x="141"/>
        <item x="99"/>
        <item x="367"/>
        <item x="776"/>
        <item x="577"/>
        <item x="755"/>
        <item x="708"/>
        <item x="841"/>
        <item x="1004"/>
        <item x="999"/>
        <item x="781"/>
        <item x="699"/>
        <item x="102"/>
        <item x="1005"/>
        <item x="486"/>
        <item x="16"/>
        <item x="579"/>
        <item x="756"/>
        <item x="992"/>
        <item x="369"/>
        <item x="997"/>
        <item x="226"/>
        <item x="371"/>
        <item x="839"/>
        <item x="784"/>
        <item x="761"/>
        <item x="993"/>
        <item x="494"/>
        <item x="258"/>
        <item x="772"/>
        <item x="836"/>
        <item x="782"/>
        <item x="416"/>
        <item x="25"/>
        <item x="269"/>
        <item x="215"/>
        <item x="364"/>
        <item x="422"/>
        <item x="495"/>
        <item x="842"/>
        <item x="769"/>
        <item x="492"/>
        <item x="20"/>
        <item x="990"/>
        <item x="764"/>
        <item x="434"/>
        <item x="493"/>
        <item x="840"/>
        <item x="208"/>
        <item x="106"/>
        <item x="1006"/>
        <item x="182"/>
        <item x="780"/>
        <item x="624"/>
        <item x="156"/>
        <item x="97"/>
        <item x="991"/>
        <item x="848"/>
        <item x="176"/>
        <item x="487"/>
        <item x="159"/>
        <item x="82"/>
        <item x="198"/>
        <item x="1010"/>
        <item x="794"/>
        <item x="316"/>
        <item x="849"/>
        <item x="365"/>
        <item x="231"/>
        <item x="96"/>
        <item x="94"/>
        <item x="831"/>
        <item x="618"/>
        <item x="1007"/>
        <item x="144"/>
        <item x="425"/>
        <item x="716"/>
        <item x="711"/>
        <item x="484"/>
        <item x="317"/>
        <item x="242"/>
        <item x="490"/>
        <item x="446"/>
        <item x="1011"/>
        <item x="153"/>
        <item x="789"/>
        <item x="15"/>
        <item x="101"/>
        <item x="435"/>
        <item x="199"/>
        <item x="107"/>
        <item x="374"/>
        <item x="235"/>
        <item x="834"/>
        <item x="771"/>
        <item x="209"/>
        <item x="855"/>
        <item x="323"/>
        <item x="218"/>
        <item x="33"/>
        <item x="417"/>
        <item x="989"/>
        <item x="626"/>
        <item x="213"/>
        <item x="210"/>
        <item x="792"/>
        <item x="114"/>
        <item x="324"/>
        <item x="179"/>
        <item x="420"/>
        <item x="678"/>
        <item x="212"/>
        <item x="847"/>
        <item x="370"/>
        <item x="104"/>
        <item x="790"/>
        <item x="330"/>
        <item x="178"/>
        <item x="998"/>
        <item x="233"/>
        <item x="418"/>
        <item x="485"/>
        <item x="366"/>
        <item x="145"/>
        <item x="642"/>
        <item x="873"/>
        <item x="166"/>
        <item x="779"/>
        <item x="38"/>
        <item x="103"/>
        <item x="120"/>
        <item x="22"/>
        <item x="325"/>
        <item x="941"/>
        <item x="802"/>
        <item x="98"/>
        <item x="857"/>
        <item x="778"/>
        <item x="39"/>
        <item x="409"/>
        <item x="987"/>
        <item x="1013"/>
        <item x="205"/>
        <item x="770"/>
        <item x="634"/>
        <item x="327"/>
        <item x="566"/>
        <item x="109"/>
        <item x="514"/>
        <item x="1002"/>
        <item x="811"/>
        <item x="116"/>
        <item x="791"/>
        <item x="686"/>
        <item x="1003"/>
        <item x="856"/>
        <item x="405"/>
        <item x="275"/>
        <item x="158"/>
        <item x="629"/>
        <item x="815"/>
        <item x="995"/>
        <item x="326"/>
        <item x="32"/>
        <item x="602"/>
        <item x="850"/>
        <item x="227"/>
        <item x="148"/>
        <item x="363"/>
        <item x="119"/>
        <item x="994"/>
        <item x="108"/>
        <item x="177"/>
        <item x="927"/>
        <item x="985"/>
        <item x="783"/>
        <item x="239"/>
        <item x="196"/>
        <item x="376"/>
        <item x="100"/>
        <item x="373"/>
        <item x="68"/>
        <item x="322"/>
        <item x="933"/>
        <item x="361"/>
        <item x="996"/>
        <item x="237"/>
        <item x="206"/>
        <item x="628"/>
        <item x="804"/>
        <item x="501"/>
        <item x="564"/>
        <item x="111"/>
        <item x="328"/>
        <item x="297"/>
        <item x="818"/>
        <item x="632"/>
        <item x="974"/>
        <item x="150"/>
        <item x="675"/>
        <item x="433"/>
        <item x="1012"/>
        <item x="406"/>
        <item x="175"/>
        <item x="512"/>
        <item x="551"/>
        <item x="796"/>
        <item x="372"/>
        <item x="246"/>
        <item x="871"/>
        <item x="623"/>
        <item x="687"/>
        <item x="777"/>
        <item x="414"/>
        <item x="171"/>
        <item x="391"/>
        <item x="798"/>
        <item x="299"/>
        <item x="676"/>
        <item x="407"/>
        <item x="335"/>
        <item x="889"/>
        <item x="204"/>
        <item x="385"/>
        <item x="785"/>
        <item x="411"/>
        <item x="423"/>
        <item x="728"/>
        <item x="793"/>
        <item x="503"/>
        <item x="552"/>
        <item x="149"/>
        <item x="200"/>
        <item x="180"/>
        <item x="821"/>
        <item x="518"/>
        <item x="377"/>
        <item x="174"/>
        <item x="807"/>
        <item x="689"/>
        <item x="973"/>
        <item x="858"/>
        <item x="273"/>
        <item x="502"/>
        <item x="567"/>
        <item x="473"/>
        <item x="155"/>
        <item x="197"/>
        <item x="419"/>
        <item x="23"/>
        <item x="877"/>
        <item x="805"/>
        <item x="46"/>
        <item x="211"/>
        <item x="980"/>
        <item x="1015"/>
        <item x="725"/>
        <item x="146"/>
        <item x="625"/>
        <item x="476"/>
        <item x="396"/>
        <item x="875"/>
        <item x="801"/>
        <item x="344"/>
        <item x="775"/>
        <item x="152"/>
        <item x="617"/>
        <item x="240"/>
        <item x="635"/>
        <item x="125"/>
        <item x="36"/>
        <item x="480"/>
        <item x="774"/>
        <item x="730"/>
        <item x="808"/>
        <item x="45"/>
        <item x="388"/>
        <item x="160"/>
        <item x="207"/>
        <item x="105"/>
        <item x="978"/>
        <item x="238"/>
        <item x="508"/>
        <item x="647"/>
        <item x="49"/>
        <item x="773"/>
        <item x="1009"/>
        <item x="752"/>
        <item x="823"/>
        <item x="31"/>
        <item x="69"/>
        <item x="201"/>
        <item x="228"/>
        <item x="982"/>
        <item x="1008"/>
        <item x="852"/>
        <item x="795"/>
        <item x="53"/>
        <item x="319"/>
        <item x="408"/>
        <item x="130"/>
        <item x="140"/>
        <item x="74"/>
        <item x="203"/>
        <item x="679"/>
        <item x="217"/>
        <item x="19"/>
        <item x="243"/>
        <item x="260"/>
        <item x="168"/>
        <item x="560"/>
        <item x="510"/>
        <item x="519"/>
        <item x="412"/>
        <item x="878"/>
        <item x="202"/>
        <item x="136"/>
        <item x="479"/>
        <item x="622"/>
        <item x="955"/>
        <item x="853"/>
        <item x="24"/>
        <item x="923"/>
        <item x="509"/>
        <item x="786"/>
        <item x="646"/>
        <item x="819"/>
        <item x="619"/>
        <item x="401"/>
        <item x="682"/>
        <item x="734"/>
        <item x="415"/>
        <item x="513"/>
        <item x="935"/>
        <item x="71"/>
        <item x="881"/>
        <item x="864"/>
        <item x="946"/>
        <item x="298"/>
        <item x="851"/>
        <item x="129"/>
        <item x="468"/>
        <item x="733"/>
        <item x="318"/>
        <item x="949"/>
        <item x="826"/>
        <item x="236"/>
        <item x="797"/>
        <item x="137"/>
        <item x="315"/>
        <item x="143"/>
        <item x="557"/>
        <item x="64"/>
        <item x="312"/>
        <item x="662"/>
        <item x="627"/>
        <item x="234"/>
        <item x="984"/>
        <item x="694"/>
        <item x="866"/>
        <item x="284"/>
        <item x="645"/>
        <item x="320"/>
        <item x="613"/>
        <item x="800"/>
        <item x="854"/>
        <item x="470"/>
        <item x="620"/>
        <item x="167"/>
        <item x="241"/>
        <item x="413"/>
        <item x="944"/>
        <item x="14"/>
        <item x="637"/>
        <item x="34"/>
        <item x="421"/>
        <item x="556"/>
        <item x="186"/>
        <item x="169"/>
        <item x="474"/>
        <item x="410"/>
        <item x="61"/>
        <item x="685"/>
        <item x="147"/>
        <item x="329"/>
        <item x="640"/>
        <item x="621"/>
        <item x="395"/>
        <item x="381"/>
        <item x="554"/>
        <item x="173"/>
        <item x="232"/>
        <item x="478"/>
        <item x="925"/>
        <item x="892"/>
        <item x="349"/>
        <item x="65"/>
        <item x="680"/>
        <item x="903"/>
        <item x="735"/>
        <item x="639"/>
        <item x="565"/>
        <item x="172"/>
        <item x="404"/>
        <item x="465"/>
        <item x="245"/>
        <item x="517"/>
        <item x="870"/>
        <item x="289"/>
        <item x="868"/>
        <item x="597"/>
        <item x="314"/>
        <item x="787"/>
        <item x="195"/>
        <item x="188"/>
        <item x="721"/>
        <item x="829"/>
        <item x="612"/>
        <item x="981"/>
        <item x="357"/>
        <item x="170"/>
        <item x="731"/>
        <item x="230"/>
        <item x="562"/>
        <item x="876"/>
        <item x="846"/>
        <item x="151"/>
        <item x="26"/>
        <item x="862"/>
        <item x="690"/>
        <item x="638"/>
        <item x="447"/>
        <item x="810"/>
        <item x="185"/>
        <item x="900"/>
        <item x="483"/>
        <item x="380"/>
        <item x="402"/>
        <item x="506"/>
        <item x="664"/>
        <item x="814"/>
        <item x="263"/>
        <item x="641"/>
        <item x="44"/>
        <item x="112"/>
        <item x="945"/>
        <item x="726"/>
        <item x="9"/>
        <item x="588"/>
        <item x="553"/>
        <item x="154"/>
        <item x="387"/>
        <item x="321"/>
        <item x="392"/>
        <item x="609"/>
        <item x="813"/>
        <item x="671"/>
        <item x="631"/>
        <item x="692"/>
        <item x="684"/>
        <item x="806"/>
        <item x="310"/>
        <item x="251"/>
        <item x="285"/>
        <item x="693"/>
        <item x="386"/>
        <item x="51"/>
        <item x="521"/>
        <item x="817"/>
        <item x="604"/>
        <item x="636"/>
        <item x="812"/>
        <item x="229"/>
        <item x="351"/>
        <item x="472"/>
        <item x="126"/>
        <item x="255"/>
        <item x="561"/>
        <item x="979"/>
        <item x="121"/>
        <item x="505"/>
        <item x="57"/>
        <item x="394"/>
        <item x="594"/>
        <item x="947"/>
        <item x="929"/>
        <item x="614"/>
        <item x="522"/>
        <item x="788"/>
        <item x="352"/>
        <item x="722"/>
        <item x="874"/>
        <item x="550"/>
        <item x="132"/>
        <item x="194"/>
        <item x="249"/>
        <item x="859"/>
        <item x="400"/>
        <item x="803"/>
        <item x="50"/>
        <item x="688"/>
        <item x="934"/>
        <item x="737"/>
        <item x="75"/>
        <item x="872"/>
        <item x="724"/>
        <item x="563"/>
        <item x="469"/>
        <item x="339"/>
        <item x="21"/>
        <item x="356"/>
        <item x="511"/>
        <item x="986"/>
        <item x="384"/>
        <item x="799"/>
        <item x="393"/>
        <item x="932"/>
        <item x="29"/>
        <item x="190"/>
        <item x="507"/>
        <item x="902"/>
        <item x="977"/>
        <item x="382"/>
        <item x="668"/>
        <item x="11"/>
        <item x="293"/>
        <item x="398"/>
        <item x="59"/>
        <item x="926"/>
        <item x="17"/>
        <item x="189"/>
        <item x="643"/>
        <item x="606"/>
        <item x="683"/>
        <item x="672"/>
        <item x="353"/>
        <item x="865"/>
        <item x="880"/>
        <item x="56"/>
        <item x="718"/>
        <item x="809"/>
        <item x="633"/>
        <item x="882"/>
        <item x="820"/>
        <item x="691"/>
        <item x="390"/>
        <item x="660"/>
        <item x="286"/>
        <item x="216"/>
        <item x="520"/>
        <item x="720"/>
        <item x="135"/>
        <item x="884"/>
        <item x="879"/>
        <item x="928"/>
        <item x="295"/>
        <item x="715"/>
        <item x="37"/>
        <item x="616"/>
        <item x="822"/>
        <item x="250"/>
        <item x="138"/>
        <item x="123"/>
        <item x="304"/>
        <item x="965"/>
        <item x="610"/>
        <item x="27"/>
        <item x="593"/>
        <item x="658"/>
        <item x="893"/>
        <item x="824"/>
        <item x="375"/>
        <item x="751"/>
        <item x="527"/>
        <item x="477"/>
        <item x="961"/>
        <item x="399"/>
        <item x="504"/>
        <item x="296"/>
        <item x="661"/>
        <item x="379"/>
        <item x="863"/>
        <item x="279"/>
        <item x="951"/>
        <item x="555"/>
        <item x="528"/>
        <item x="744"/>
        <item x="939"/>
        <item x="930"/>
        <item x="342"/>
        <item x="516"/>
        <item x="723"/>
        <item x="753"/>
        <item x="288"/>
        <item x="378"/>
        <item x="607"/>
        <item x="1"/>
        <item x="861"/>
        <item x="52"/>
        <item x="970"/>
        <item x="559"/>
        <item x="63"/>
        <item x="252"/>
        <item x="515"/>
        <item x="816"/>
        <item x="890"/>
        <item x="681"/>
        <item x="343"/>
        <item x="936"/>
        <item x="953"/>
        <item x="558"/>
        <item x="825"/>
        <item x="397"/>
        <item x="300"/>
        <item x="122"/>
        <item x="931"/>
        <item x="742"/>
        <item x="968"/>
        <item x="768"/>
        <item x="346"/>
        <item x="259"/>
        <item x="843"/>
        <item x="916"/>
        <item x="193"/>
        <item x="290"/>
        <item x="746"/>
        <item x="976"/>
        <item x="548"/>
        <item x="54"/>
        <item x="670"/>
        <item x="467"/>
        <item x="605"/>
        <item x="219"/>
        <item x="883"/>
        <item x="595"/>
        <item x="3"/>
        <item x="736"/>
        <item x="727"/>
        <item x="350"/>
        <item x="383"/>
        <item x="963"/>
        <item x="247"/>
        <item x="523"/>
        <item x="41"/>
        <item x="60"/>
        <item x="921"/>
        <item x="663"/>
        <item x="131"/>
        <item x="895"/>
        <item x="886"/>
        <item x="600"/>
        <item x="157"/>
        <item x="256"/>
        <item x="306"/>
        <item x="431"/>
        <item x="913"/>
        <item x="333"/>
        <item x="282"/>
        <item x="615"/>
        <item x="719"/>
        <item x="267"/>
        <item x="313"/>
        <item x="599"/>
        <item x="83"/>
        <item x="975"/>
        <item x="389"/>
        <item x="924"/>
        <item x="187"/>
        <item x="28"/>
        <item x="964"/>
        <item x="128"/>
        <item x="717"/>
        <item x="498"/>
        <item x="665"/>
        <item x="338"/>
        <item x="740"/>
        <item x="745"/>
        <item x="332"/>
        <item x="914"/>
        <item x="601"/>
        <item x="268"/>
        <item x="937"/>
        <item x="905"/>
        <item x="359"/>
        <item x="287"/>
        <item x="6"/>
        <item x="959"/>
        <item x="192"/>
        <item x="91"/>
        <item x="303"/>
        <item x="666"/>
        <item x="948"/>
        <item x="336"/>
        <item x="899"/>
        <item x="983"/>
        <item x="713"/>
        <item x="530"/>
        <item x="652"/>
        <item x="261"/>
        <item x="922"/>
        <item x="18"/>
        <item x="334"/>
        <item x="481"/>
        <item x="294"/>
        <item x="360"/>
        <item x="272"/>
        <item x="938"/>
        <item x="85"/>
        <item x="225"/>
        <item x="1000"/>
        <item x="952"/>
        <item x="669"/>
        <item x="526"/>
        <item x="305"/>
        <item x="732"/>
        <item x="89"/>
        <item x="988"/>
        <item x="403"/>
        <item x="896"/>
        <item x="441"/>
        <item x="475"/>
        <item x="589"/>
        <item x="747"/>
        <item x="891"/>
        <item x="253"/>
        <item x="917"/>
        <item x="354"/>
        <item x="430"/>
        <item x="915"/>
        <item x="650"/>
        <item x="437"/>
        <item x="142"/>
        <item x="738"/>
        <item x="223"/>
        <item x="957"/>
        <item x="897"/>
        <item x="76"/>
        <item x="124"/>
        <item x="888"/>
        <item x="439"/>
        <item x="869"/>
        <item x="909"/>
        <item x="278"/>
        <item x="919"/>
        <item x="266"/>
        <item x="331"/>
        <item x="221"/>
        <item x="337"/>
        <item x="307"/>
        <item x="48"/>
        <item x="596"/>
        <item x="248"/>
        <item x="867"/>
        <item x="887"/>
        <item x="355"/>
        <item x="667"/>
        <item x="283"/>
        <item x="827"/>
        <item x="110"/>
        <item x="729"/>
        <item x="654"/>
        <item x="265"/>
        <item x="960"/>
        <item x="428"/>
        <item x="58"/>
        <item x="341"/>
        <item x="969"/>
        <item x="184"/>
        <item x="358"/>
        <item x="908"/>
        <item x="659"/>
        <item x="920"/>
        <item x="127"/>
        <item x="649"/>
        <item x="956"/>
        <item x="592"/>
        <item x="220"/>
        <item x="309"/>
        <item x="429"/>
        <item x="885"/>
        <item x="971"/>
        <item x="471"/>
        <item x="673"/>
        <item x="906"/>
        <item x="88"/>
        <item x="714"/>
        <item x="134"/>
        <item x="280"/>
        <item x="901"/>
        <item x="950"/>
        <item x="962"/>
        <item x="651"/>
        <item x="348"/>
        <item x="674"/>
        <item x="133"/>
        <item x="55"/>
        <item x="8"/>
        <item x="748"/>
        <item x="598"/>
        <item x="345"/>
        <item x="262"/>
        <item x="281"/>
        <item x="95"/>
        <item x="222"/>
        <item x="912"/>
        <item x="73"/>
        <item x="78"/>
        <item x="966"/>
        <item x="274"/>
        <item x="427"/>
        <item x="62"/>
        <item x="529"/>
        <item x="86"/>
        <item x="749"/>
        <item x="712"/>
        <item x="568"/>
        <item x="440"/>
        <item x="904"/>
        <item x="608"/>
        <item x="271"/>
        <item x="301"/>
        <item x="954"/>
        <item x="898"/>
        <item x="482"/>
        <item x="525"/>
        <item x="677"/>
        <item x="254"/>
        <item x="590"/>
        <item x="2"/>
        <item x="214"/>
        <item x="291"/>
        <item x="754"/>
        <item x="844"/>
        <item x="707"/>
        <item x="92"/>
        <item x="445"/>
        <item x="302"/>
        <item x="967"/>
        <item x="47"/>
        <item x="741"/>
        <item x="972"/>
        <item x="90"/>
        <item x="292"/>
        <item x="0"/>
        <item x="276"/>
        <item x="656"/>
        <item x="42"/>
        <item x="910"/>
        <item x="860"/>
        <item x="943"/>
        <item x="958"/>
        <item x="308"/>
        <item x="224"/>
        <item x="443"/>
        <item x="570"/>
        <item x="743"/>
        <item x="524"/>
        <item x="13"/>
        <item x="653"/>
        <item x="311"/>
        <item x="5"/>
        <item x="43"/>
        <item x="611"/>
        <item x="79"/>
        <item x="181"/>
        <item x="432"/>
        <item x="709"/>
        <item x="894"/>
        <item x="739"/>
        <item x="1014"/>
        <item x="67"/>
        <item x="424"/>
        <item x="444"/>
        <item x="264"/>
        <item x="347"/>
        <item x="705"/>
        <item x="340"/>
        <item x="84"/>
        <item x="911"/>
        <item x="277"/>
        <item x="603"/>
        <item x="72"/>
        <item x="828"/>
        <item x="80"/>
        <item x="426"/>
        <item x="257"/>
        <item x="161"/>
        <item x="591"/>
        <item x="845"/>
        <item x="442"/>
        <item x="648"/>
        <item x="7"/>
        <item x="113"/>
        <item x="569"/>
        <item x="191"/>
        <item x="750"/>
        <item x="165"/>
        <item x="30"/>
        <item x="940"/>
        <item x="77"/>
        <item x="35"/>
        <item x="362"/>
        <item x="710"/>
        <item x="162"/>
        <item x="118"/>
        <item x="66"/>
        <item x="115"/>
        <item x="907"/>
        <item x="657"/>
        <item x="87"/>
        <item x="942"/>
        <item x="644"/>
        <item x="918"/>
        <item x="40"/>
        <item x="12"/>
        <item x="4"/>
        <item t="default"/>
      </items>
    </pivotField>
    <pivotField compact="0" numFmtId="179"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compact="0" showAll="0">
      <items count="7">
        <item x="3"/>
        <item x="1"/>
        <item x="2"/>
        <item x="4"/>
        <item x="5"/>
        <item x="0"/>
        <item t="default"/>
      </items>
    </pivotField>
    <pivotField compact="0" showAll="0">
      <items count="8">
        <item x="1"/>
        <item x="0"/>
        <item x="4"/>
        <item x="5"/>
        <item x="6"/>
        <item x="2"/>
        <item x="3"/>
        <item t="default"/>
      </items>
    </pivotField>
    <pivotField compact="0" numFmtId="178" showAll="0">
      <items count="5">
        <item x="0"/>
        <item x="1"/>
        <item x="2"/>
        <item x="3"/>
        <item t="default"/>
      </items>
    </pivotField>
    <pivotField compact="0" showAll="0">
      <items count="4">
        <item x="0"/>
        <item x="1"/>
        <item x="2"/>
        <item t="default"/>
      </items>
    </pivotField>
    <pivotField compact="0" showAll="0">
      <items count="4">
        <item x="2"/>
        <item x="1"/>
        <item x="0"/>
        <item t="default"/>
      </items>
    </pivotField>
    <pivotField compact="0" showAll="0">
      <items count="93">
        <item h="1" x="51"/>
        <item h="1" x="36"/>
        <item h="1" x="42"/>
        <item h="1" x="46"/>
        <item x="87"/>
        <item x="10"/>
        <item x="28"/>
        <item x="38"/>
        <item x="9"/>
        <item x="91"/>
        <item x="77"/>
        <item x="17"/>
        <item x="89"/>
        <item x="72"/>
        <item x="80"/>
        <item x="76"/>
        <item x="33"/>
        <item x="31"/>
        <item x="29"/>
        <item x="27"/>
        <item x="75"/>
        <item h="1" x="55"/>
        <item h="1" x="41"/>
        <item h="1" x="4"/>
        <item h="1" x="25"/>
        <item h="1" x="66"/>
        <item h="1" x="6"/>
        <item h="1" x="48"/>
        <item h="1" x="18"/>
        <item h="1" x="64"/>
        <item h="1" x="52"/>
        <item h="1" x="26"/>
        <item h="1" x="53"/>
        <item h="1" x="23"/>
        <item h="1" x="21"/>
        <item h="1" x="13"/>
        <item h="1" x="88"/>
        <item h="1" x="58"/>
        <item h="1" x="59"/>
        <item h="1" x="65"/>
        <item h="1" x="78"/>
        <item h="1" x="7"/>
        <item h="1" x="81"/>
        <item h="1" x="62"/>
        <item h="1" x="14"/>
        <item h="1" x="0"/>
        <item h="1" x="70"/>
        <item h="1" x="2"/>
        <item h="1" x="67"/>
        <item h="1" x="15"/>
        <item h="1" x="54"/>
        <item h="1" x="79"/>
        <item h="1" x="63"/>
        <item h="1" x="83"/>
        <item h="1" x="47"/>
        <item h="1" x="50"/>
        <item h="1" x="39"/>
        <item h="1" x="8"/>
        <item h="1" x="45"/>
        <item h="1" x="74"/>
        <item h="1" x="85"/>
        <item h="1" x="40"/>
        <item h="1" x="71"/>
        <item h="1" x="44"/>
        <item h="1" x="60"/>
        <item h="1" x="56"/>
        <item h="1" x="43"/>
        <item h="1" x="1"/>
        <item h="1" x="86"/>
        <item h="1" x="57"/>
        <item h="1" x="90"/>
        <item h="1" x="19"/>
        <item h="1" x="30"/>
        <item h="1" x="37"/>
        <item h="1" x="82"/>
        <item h="1" x="84"/>
        <item h="1" x="20"/>
        <item h="1" x="49"/>
        <item h="1" x="73"/>
        <item h="1" x="34"/>
        <item h="1" x="5"/>
        <item h="1" x="12"/>
        <item h="1" x="61"/>
        <item h="1" x="35"/>
        <item h="1" x="68"/>
        <item h="1" x="16"/>
        <item h="1" x="3"/>
        <item h="1" x="22"/>
        <item h="1" x="69"/>
        <item h="1" x="11"/>
        <item h="1" x="24"/>
        <item h="1" x="32"/>
        <item t="default"/>
      </items>
    </pivotField>
    <pivotField compact="0" numFmtId="180" showAll="0">
      <items count="1540">
        <item h="1" x="1144"/>
        <item h="1" x="491"/>
        <item h="1" x="1014"/>
        <item h="1" x="665"/>
        <item h="1" x="245"/>
        <item h="1" x="841"/>
        <item h="1" x="1109"/>
        <item h="1" x="1015"/>
        <item h="1" x="662"/>
        <item h="1" x="667"/>
        <item h="1" x="670"/>
        <item h="1" x="654"/>
        <item h="1" x="820"/>
        <item h="1" x="764"/>
        <item h="1" x="240"/>
        <item h="1" x="19"/>
        <item h="1" x="660"/>
        <item h="1" x="826"/>
        <item h="1" x="778"/>
        <item h="1" x="1221"/>
        <item h="1" x="718"/>
        <item h="1" x="671"/>
        <item h="1" x="626"/>
        <item h="1" x="773"/>
        <item h="1" x="719"/>
        <item h="1" x="768"/>
        <item h="1" x="715"/>
        <item h="1" x="1493"/>
        <item h="1" x="330"/>
        <item h="1" x="766"/>
        <item h="1" x="829"/>
        <item h="1" x="1001"/>
        <item h="1" x="771"/>
        <item h="1" x="707"/>
        <item h="1" x="825"/>
        <item h="1" x="1143"/>
        <item h="1" x="818"/>
        <item h="1" x="271"/>
        <item h="1" x="1506"/>
        <item h="1" x="1008"/>
        <item h="1" x="1000"/>
        <item h="1" x="1254"/>
        <item h="1" x="213"/>
        <item h="1" x="664"/>
        <item h="1" x="658"/>
        <item h="1" x="634"/>
        <item h="1" x="305"/>
        <item h="1" x="1110"/>
        <item h="1" x="316"/>
        <item h="1" x="701"/>
        <item h="1" x="85"/>
        <item h="1" x="657"/>
        <item h="1" x="706"/>
        <item h="1" x="997"/>
        <item h="1" x="1112"/>
        <item h="1" x="776"/>
        <item h="1" x="1248"/>
        <item h="1" x="1102"/>
        <item h="1" x="1107"/>
        <item h="1" x="1155"/>
        <item h="1" x="881"/>
        <item h="1" x="452"/>
        <item h="1" x="647"/>
        <item h="1" x="821"/>
        <item h="1" x="786"/>
        <item h="1" x="774"/>
        <item h="1" x="584"/>
        <item h="1" x="1355"/>
        <item h="1" x="1009"/>
        <item h="1" x="1324"/>
        <item h="1" x="1123"/>
        <item h="1" x="605"/>
        <item h="1" x="172"/>
        <item h="1" x="666"/>
        <item h="1" x="1114"/>
        <item h="1" x="1100"/>
        <item h="1" x="704"/>
        <item h="1" x="1223"/>
        <item h="1" x="524"/>
        <item h="1" x="1516"/>
        <item h="1" x="630"/>
        <item h="1" x="1295"/>
        <item h="1" x="705"/>
        <item x="837"/>
        <item h="1" x="310"/>
        <item h="1" x="374"/>
        <item h="1" x="769"/>
        <item x="668"/>
        <item h="1" x="937"/>
        <item h="1" x="709"/>
        <item x="999"/>
        <item h="1" x="167"/>
        <item h="1" x="133"/>
        <item h="1" x="779"/>
        <item h="1" x="311"/>
        <item h="1" x="1097"/>
        <item h="1" x="982"/>
        <item h="1" x="1004"/>
        <item h="1" x="661"/>
        <item h="1" x="246"/>
        <item h="1" x="1529"/>
        <item h="1" x="1166"/>
        <item h="1" x="656"/>
        <item h="1" x="1503"/>
        <item x="68"/>
        <item h="1" x="55"/>
        <item h="1" x="892"/>
        <item x="832"/>
        <item h="1" x="1119"/>
        <item h="1" x="819"/>
        <item h="1" x="511"/>
        <item h="1" x="767"/>
        <item h="1" x="1499"/>
        <item h="1" x="673"/>
        <item h="1" x="1321"/>
        <item h="1" x="583"/>
        <item x="895"/>
        <item h="1" x="350"/>
        <item x="782"/>
        <item h="1" x="619"/>
        <item h="1" x="663"/>
        <item h="1" x="1180"/>
        <item h="1" x="836"/>
        <item h="1" x="239"/>
        <item h="1" x="353"/>
        <item h="1" x="175"/>
        <item h="1" x="1101"/>
        <item x="339"/>
        <item x="1131"/>
        <item x="1220"/>
        <item x="772"/>
        <item h="1" x="566"/>
        <item x="928"/>
        <item h="1" x="518"/>
        <item h="1" x="528"/>
        <item h="1" x="1231"/>
        <item h="1" x="194"/>
        <item h="1" x="894"/>
        <item h="1" x="314"/>
        <item h="1" x="568"/>
        <item h="1" x="476"/>
        <item h="1" x="578"/>
        <item h="1" x="823"/>
        <item x="301"/>
        <item h="1" x="519"/>
        <item h="1" x="179"/>
        <item h="1" x="617"/>
        <item h="1" x="1002"/>
        <item h="1" x="576"/>
        <item h="1" x="319"/>
        <item h="1" x="594"/>
        <item h="1" x="178"/>
        <item h="1" x="1195"/>
        <item h="1" x="225"/>
        <item h="1" x="1099"/>
        <item h="1" x="540"/>
        <item h="1" x="1140"/>
        <item h="1" x="43"/>
        <item h="1" x="1181"/>
        <item h="1" x="234"/>
        <item h="1" x="770"/>
        <item h="1" x="783"/>
        <item h="1" x="731"/>
        <item h="1" x="198"/>
        <item h="1" x="1007"/>
        <item h="1" x="92"/>
        <item h="1" x="170"/>
        <item h="1" x="520"/>
        <item h="1" x="739"/>
        <item h="1" x="1492"/>
        <item h="1" x="762"/>
        <item h="1" x="993"/>
        <item h="1" x="627"/>
        <item h="1" x="1219"/>
        <item h="1" x="798"/>
        <item h="1" x="456"/>
        <item h="1" x="596"/>
        <item h="1" x="450"/>
        <item h="1" x="896"/>
        <item h="1" x="186"/>
        <item h="1" x="1279"/>
        <item h="1" x="1515"/>
        <item h="1" x="1302"/>
        <item h="1" x="831"/>
        <item h="1" x="650"/>
        <item h="1" x="1006"/>
        <item h="1" x="835"/>
        <item h="1" x="1098"/>
        <item h="1" x="1128"/>
        <item h="1" x="839"/>
        <item h="1" x="343"/>
        <item h="1" x="653"/>
        <item h="1" x="1266"/>
        <item h="1" x="1151"/>
        <item h="1" x="1019"/>
        <item h="1" x="1501"/>
        <item h="1" x="1518"/>
        <item h="1" x="1203"/>
        <item h="1" x="165"/>
        <item h="1" x="226"/>
        <item h="1" x="334"/>
        <item h="1" x="810"/>
        <item h="1" x="833"/>
        <item h="1" x="659"/>
        <item h="1" x="998"/>
        <item h="1" x="329"/>
        <item h="1" x="781"/>
        <item h="1" x="1226"/>
        <item h="1" x="182"/>
        <item h="1" x="912"/>
        <item h="1" x="18"/>
        <item h="1" x="620"/>
        <item h="1" x="465"/>
        <item h="1" x="591"/>
        <item h="1" x="906"/>
        <item h="1" x="1498"/>
        <item h="1" x="635"/>
        <item h="1" x="215"/>
        <item h="1" x="77"/>
        <item h="1" x="792"/>
        <item h="1" x="1530"/>
        <item h="1" x="678"/>
        <item h="1" x="827"/>
        <item h="1" x="393"/>
        <item h="1" x="258"/>
        <item h="1" x="809"/>
        <item h="1" x="289"/>
        <item h="1" x="1208"/>
        <item h="1" x="100"/>
        <item h="1" x="1508"/>
        <item h="1" x="1282"/>
        <item h="1" x="1296"/>
        <item h="1" x="765"/>
        <item h="1" x="293"/>
        <item h="1" x="276"/>
        <item h="1" x="1044"/>
        <item h="1" x="221"/>
        <item h="1" x="802"/>
        <item h="1" x="219"/>
        <item h="1" x="335"/>
        <item h="1" x="168"/>
        <item h="1" x="261"/>
        <item h="1" x="531"/>
        <item h="1" x="166"/>
        <item h="1" x="337"/>
        <item h="1" x="561"/>
        <item h="1" x="888"/>
        <item h="1" x="961"/>
        <item h="1" x="780"/>
        <item h="1" x="1115"/>
        <item h="1" x="947"/>
        <item h="1" x="151"/>
        <item h="1" x="1104"/>
        <item h="1" x="115"/>
        <item h="1" x="1111"/>
        <item h="1" x="794"/>
        <item h="1" x="419"/>
        <item h="1" x="996"/>
        <item h="1" x="1003"/>
        <item h="1" x="395"/>
        <item h="1" x="1139"/>
        <item h="1" x="408"/>
        <item h="1" x="828"/>
        <item h="1" x="878"/>
        <item h="1" x="1466"/>
        <item h="1" x="865"/>
        <item h="1" x="1060"/>
        <item h="1" x="748"/>
        <item h="1" x="1103"/>
        <item h="1" x="1113"/>
        <item h="1" x="306"/>
        <item h="1" x="367"/>
        <item h="1" x="822"/>
        <item h="1" x="536"/>
        <item h="1" x="169"/>
        <item h="1" x="625"/>
        <item h="1" x="604"/>
        <item h="1" x="348"/>
        <item h="1" x="1121"/>
        <item h="1" x="703"/>
        <item h="1" x="1051"/>
        <item h="1" x="1217"/>
        <item h="1" x="526"/>
        <item h="1" x="286"/>
        <item h="1" x="228"/>
        <item h="1" x="551"/>
        <item h="1" x="838"/>
        <item h="1" x="1168"/>
        <item h="1" x="921"/>
        <item h="1" x="824"/>
        <item h="1" x="482"/>
        <item h="1" x="628"/>
        <item h="1" x="777"/>
        <item h="1" x="1165"/>
        <item h="1" x="1210"/>
        <item h="1" x="899"/>
        <item h="1" x="388"/>
        <item h="1" x="176"/>
        <item h="1" x="847"/>
        <item h="1" x="815"/>
        <item h="1" x="296"/>
        <item h="1" x="217"/>
        <item h="1" x="799"/>
        <item h="1" x="185"/>
        <item h="1" x="1233"/>
        <item h="1" x="1129"/>
        <item h="1" x="1265"/>
        <item h="1" x="1513"/>
        <item h="1" x="195"/>
        <item h="1" x="110"/>
        <item h="1" x="95"/>
        <item h="1" x="537"/>
        <item h="1" x="1169"/>
        <item h="1" x="905"/>
        <item h="1" x="585"/>
        <item h="1" x="1192"/>
        <item h="1" x="457"/>
        <item h="1" x="749"/>
        <item h="1" x="510"/>
        <item h="1" x="224"/>
        <item h="1" x="726"/>
        <item h="1" x="790"/>
        <item h="1" x="555"/>
        <item h="1" x="834"/>
        <item h="1" x="1314"/>
        <item h="1" x="995"/>
        <item h="1" x="1029"/>
        <item h="1" x="466"/>
        <item h="1" x="1033"/>
        <item h="1" x="392"/>
        <item h="1" x="1485"/>
        <item h="1" x="459"/>
        <item h="1" x="356"/>
        <item h="1" x="1045"/>
        <item h="1" x="1120"/>
        <item h="1" x="256"/>
        <item h="1" x="1411"/>
        <item h="1" x="514"/>
        <item h="1" x="1496"/>
        <item h="1" x="427"/>
        <item h="1" x="791"/>
        <item h="1" x="1495"/>
        <item h="1" x="920"/>
        <item h="1" x="553"/>
        <item h="1" x="260"/>
        <item h="1" x="554"/>
        <item h="1" x="532"/>
        <item h="1" x="1149"/>
        <item h="1" x="569"/>
        <item h="1" x="1043"/>
        <item h="1" x="496"/>
        <item h="1" x="105"/>
        <item h="1" x="318"/>
        <item h="1" x="552"/>
        <item h="1" x="994"/>
        <item h="1" x="711"/>
        <item h="1" x="1532"/>
        <item h="1" x="269"/>
        <item h="1" x="1106"/>
        <item h="1" x="300"/>
        <item h="1" x="1531"/>
        <item h="1" x="956"/>
        <item h="1" x="1005"/>
        <item h="1" x="1170"/>
        <item h="1" x="268"/>
        <item h="1" x="1141"/>
        <item h="1" x="655"/>
        <item h="1" x="1132"/>
        <item h="1" x="411"/>
        <item h="1" x="1247"/>
        <item h="1" x="830"/>
        <item h="1" x="884"/>
        <item h="1" x="1134"/>
        <item h="1" x="697"/>
        <item h="1" x="1146"/>
        <item h="1" x="1230"/>
        <item h="1" x="560"/>
        <item h="1" x="907"/>
        <item h="1" x="1039"/>
        <item h="1" x="1012"/>
        <item h="1" x="615"/>
        <item h="1" x="1229"/>
        <item h="1" x="1521"/>
        <item h="1" x="577"/>
        <item h="1" x="1137"/>
        <item h="1" x="229"/>
        <item h="1" x="700"/>
        <item h="1" x="1105"/>
        <item h="1" x="259"/>
        <item h="1" x="586"/>
        <item h="1" x="714"/>
        <item h="1" x="62"/>
        <item h="1" x="918"/>
        <item h="1" x="1108"/>
        <item h="1" x="1424"/>
        <item h="1" x="447"/>
        <item h="1" x="162"/>
        <item h="1" x="916"/>
        <item h="1" x="159"/>
        <item h="1" x="214"/>
        <item h="1" x="1419"/>
        <item h="1" x="1452"/>
        <item h="1" x="117"/>
        <item h="1" x="1339"/>
        <item h="1" x="1133"/>
        <item h="1" x="952"/>
        <item h="1" x="967"/>
        <item h="1" x="633"/>
        <item h="1" x="93"/>
        <item h="1" x="1224"/>
        <item h="1" x="710"/>
        <item h="1" x="1234"/>
        <item h="1" x="442"/>
        <item h="1" x="775"/>
        <item h="1" x="307"/>
        <item h="1" x="302"/>
        <item h="1" x="407"/>
        <item h="1" x="1425"/>
        <item h="1" x="1251"/>
        <item h="1" x="1205"/>
        <item h="1" x="391"/>
        <item h="1" x="885"/>
        <item h="1" x="725"/>
        <item h="1" x="851"/>
        <item h="1" x="785"/>
        <item h="1" x="505"/>
        <item h="1" x="1199"/>
        <item h="1" x="171"/>
        <item h="1" x="1239"/>
        <item h="1" x="263"/>
        <item h="1" x="1246"/>
        <item h="1" x="91"/>
        <item h="1" x="383"/>
        <item h="1" x="332"/>
        <item h="1" x="672"/>
        <item h="1" x="1525"/>
        <item h="1" x="1153"/>
        <item h="1" x="1042"/>
        <item h="1" x="84"/>
        <item h="1" x="1022"/>
        <item h="1" x="341"/>
        <item h="1" x="51"/>
        <item h="1" x="897"/>
        <item h="1" x="1507"/>
        <item h="1" x="1294"/>
        <item h="1" x="278"/>
        <item h="1" x="1118"/>
        <item h="1" x="721"/>
        <item h="1" x="621"/>
        <item h="1" x="1426"/>
        <item h="1" x="206"/>
        <item h="1" x="497"/>
        <item h="1" x="231"/>
        <item h="1" x="523"/>
        <item h="1" x="1502"/>
        <item h="1" x="959"/>
        <item h="1" x="720"/>
        <item h="1" x="1523"/>
        <item h="1" x="682"/>
        <item h="1" x="683"/>
        <item h="1" x="944"/>
        <item h="1" x="971"/>
        <item h="1" x="292"/>
        <item h="1" x="401"/>
        <item h="1" x="587"/>
        <item h="1" x="1086"/>
        <item h="1" x="813"/>
        <item h="1" x="257"/>
        <item h="1" x="1290"/>
        <item h="1" x="1228"/>
        <item h="1" x="1312"/>
        <item h="1" x="472"/>
        <item h="1" x="588"/>
        <item h="1" x="1405"/>
        <item h="1" x="309"/>
        <item h="1" x="806"/>
        <item h="1" x="1187"/>
        <item h="1" x="1227"/>
        <item h="1" x="347"/>
        <item h="1" x="1494"/>
        <item h="1" x="440"/>
        <item h="1" x="1504"/>
        <item h="1" x="358"/>
        <item h="1" x="220"/>
        <item h="1" x="468"/>
        <item h="1" x="349"/>
        <item h="1" x="1351"/>
        <item h="1" x="1091"/>
        <item h="1" x="803"/>
        <item h="1" x="70"/>
        <item h="1" x="340"/>
        <item h="1" x="936"/>
        <item h="1" x="859"/>
        <item h="1" x="1343"/>
        <item h="1" x="883"/>
        <item h="1" x="1225"/>
        <item h="1" x="59"/>
        <item h="1" x="909"/>
        <item h="1" x="949"/>
        <item h="1" x="1431"/>
        <item h="1" x="479"/>
        <item h="1" x="545"/>
        <item h="1" x="377"/>
        <item h="1" x="1369"/>
        <item h="1" x="902"/>
        <item h="1" x="1185"/>
        <item h="1" x="534"/>
        <item h="1" x="1289"/>
        <item h="1" x="498"/>
        <item h="1" x="1093"/>
        <item h="1" x="680"/>
        <item h="1" x="1241"/>
        <item h="1" x="1533"/>
        <item h="1" x="1262"/>
        <item h="1" x="201"/>
        <item h="1" x="1361"/>
        <item h="1" x="1130"/>
        <item h="1" x="1308"/>
        <item h="1" x="913"/>
        <item h="1" x="515"/>
        <item h="1" x="96"/>
        <item h="1" x="1441"/>
        <item h="1" x="1016"/>
        <item h="1" x="581"/>
        <item h="1" x="1298"/>
        <item h="1" x="298"/>
        <item h="1" x="573"/>
        <item h="1" x="1204"/>
        <item h="1" x="866"/>
        <item h="1" x="592"/>
        <item h="1" x="1304"/>
        <item h="1" x="122"/>
        <item h="1" x="130"/>
        <item h="1" x="1030"/>
        <item h="1" x="56"/>
        <item h="1" x="1084"/>
        <item h="1" x="1275"/>
        <item h="1" x="969"/>
        <item h="1" x="1256"/>
        <item h="1" x="973"/>
        <item h="1" x="522"/>
        <item h="1" x="1020"/>
        <item h="1" x="950"/>
        <item h="1" x="389"/>
        <item h="1" x="1240"/>
        <item h="1" x="978"/>
        <item h="1" x="299"/>
        <item h="1" x="373"/>
        <item h="1" x="579"/>
        <item h="1" x="862"/>
        <item h="1" x="911"/>
        <item h="1" x="1157"/>
        <item h="1" x="939"/>
        <item h="1" x="1062"/>
        <item h="1" x="1318"/>
        <item h="1" x="303"/>
        <item h="1" x="41"/>
        <item h="1" x="1397"/>
        <item h="1" x="1059"/>
        <item h="1" x="853"/>
        <item h="1" x="1058"/>
        <item h="1" x="648"/>
        <item h="1" x="1524"/>
        <item h="1" x="549"/>
        <item h="1" x="957"/>
        <item h="1" x="331"/>
        <item h="1" x="397"/>
        <item h="1" x="542"/>
        <item h="1" x="1412"/>
        <item h="1" x="976"/>
        <item h="1" x="345"/>
        <item h="1" x="988"/>
        <item h="1" x="603"/>
        <item h="1" x="464"/>
        <item h="1" x="910"/>
        <item h="1" x="1390"/>
        <item h="1" x="371"/>
        <item h="1" x="379"/>
        <item h="1" x="1235"/>
        <item h="1" x="1064"/>
        <item h="1" x="632"/>
        <item h="1" x="317"/>
        <item h="1" x="1489"/>
        <item h="1" x="129"/>
        <item h="1" x="1326"/>
        <item h="1" x="1371"/>
        <item h="1" x="90"/>
        <item h="1" x="1232"/>
        <item h="1" x="1263"/>
        <item h="1" x="1422"/>
        <item h="1" x="1147"/>
        <item h="1" x="290"/>
        <item h="1" x="155"/>
        <item h="1" x="1257"/>
        <item h="1" x="886"/>
        <item h="1" x="503"/>
        <item h="1" x="370"/>
        <item h="1" x="1510"/>
        <item h="1" x="723"/>
        <item h="1" x="1479"/>
        <item h="1" x="1066"/>
        <item h="1" x="1057"/>
        <item h="1" x="283"/>
        <item h="1" x="733"/>
        <item h="1" x="1127"/>
        <item h="1" x="876"/>
        <item h="1" x="558"/>
        <item h="1" x="1520"/>
        <item h="1" x="857"/>
        <item h="1" x="273"/>
        <item h="1" x="1534"/>
        <item h="1" x="525"/>
        <item h="1" x="134"/>
        <item h="1" x="547"/>
        <item h="1" x="1337"/>
        <item h="1" x="265"/>
        <item h="1" x="696"/>
        <item h="1" x="1250"/>
        <item h="1" x="297"/>
        <item h="1" x="814"/>
        <item h="1" x="840"/>
        <item h="1" x="1190"/>
        <item h="1" x="535"/>
        <item h="1" x="690"/>
        <item h="1" x="1160"/>
        <item h="1" x="27"/>
        <item h="1" x="209"/>
        <item h="1" x="1325"/>
        <item h="1" x="1301"/>
        <item h="1" x="1526"/>
        <item h="1" x="1428"/>
        <item h="1" x="158"/>
        <item h="1" x="871"/>
        <item h="1" x="1538"/>
        <item h="1" x="575"/>
        <item h="1" x="1176"/>
        <item h="1" x="405"/>
        <item h="1" x="1287"/>
        <item h="1" x="934"/>
        <item h="1" x="161"/>
        <item h="1" x="1056"/>
        <item h="1" x="118"/>
        <item h="1" x="267"/>
        <item h="1" x="548"/>
        <item h="1" x="712"/>
        <item h="1" x="192"/>
        <item h="1" x="264"/>
        <item h="1" x="1175"/>
        <item h="1" x="1011"/>
        <item h="1" x="1500"/>
        <item h="1" x="1159"/>
        <item h="1" x="255"/>
        <item h="1" x="870"/>
        <item h="1" x="597"/>
        <item h="1" x="745"/>
        <item h="1" x="398"/>
        <item h="1" x="1360"/>
        <item h="1" x="406"/>
        <item h="1" x="237"/>
        <item h="1" x="294"/>
        <item h="1" x="898"/>
        <item h="1" x="804"/>
        <item h="1" x="929"/>
        <item h="1" x="1211"/>
        <item h="1" x="8"/>
        <item h="1" x="727"/>
        <item h="1" x="974"/>
        <item h="1" x="424"/>
        <item h="1" x="1347"/>
        <item h="1" x="460"/>
        <item h="1" x="1173"/>
        <item h="1" x="713"/>
        <item h="1" x="1082"/>
        <item h="1" x="760"/>
        <item h="1" x="461"/>
        <item h="1" x="808"/>
        <item h="1" x="144"/>
        <item h="1" x="1519"/>
        <item h="1" x="513"/>
        <item h="1" x="1392"/>
        <item h="1" x="679"/>
        <item h="1" x="1512"/>
        <item h="1" x="1178"/>
        <item h="1" x="262"/>
        <item h="1" x="738"/>
        <item h="1" x="521"/>
        <item h="1" x="38"/>
        <item h="1" x="1216"/>
        <item h="1" x="313"/>
        <item h="1" x="1439"/>
        <item h="1" x="250"/>
        <item h="1" x="890"/>
        <item h="1" x="1125"/>
        <item h="1" x="351"/>
        <item h="1" x="1032"/>
        <item h="1" x="1467"/>
        <item h="1" x="308"/>
        <item h="1" x="642"/>
        <item h="1" x="533"/>
        <item h="1" x="631"/>
        <item h="1" x="355"/>
        <item h="1" x="1273"/>
        <item h="1" x="801"/>
        <item h="1" x="455"/>
        <item h="1" x="716"/>
        <item h="1" x="45"/>
        <item h="1" x="282"/>
        <item h="1" x="1535"/>
        <item h="1" x="1334"/>
        <item h="1" x="926"/>
        <item h="1" x="386"/>
        <item h="1" x="637"/>
        <item h="1" x="1201"/>
        <item h="1" x="284"/>
        <item h="1" x="494"/>
        <item h="1" x="623"/>
        <item h="1" x="1258"/>
        <item h="1" x="320"/>
        <item h="1" x="380"/>
        <item h="1" x="426"/>
        <item h="1" x="861"/>
        <item h="1" x="1478"/>
        <item h="1" x="1021"/>
        <item h="1" x="610"/>
        <item h="1" x="101"/>
        <item h="1" x="1378"/>
        <item h="1" x="698"/>
        <item h="1" x="230"/>
        <item h="1" x="692"/>
        <item h="1" x="387"/>
        <item h="1" x="1142"/>
        <item h="1" x="218"/>
        <item h="1" x="737"/>
        <item h="1" x="243"/>
        <item h="1" x="412"/>
        <item h="1" x="448"/>
        <item h="1" x="444"/>
        <item h="1" x="1061"/>
        <item h="1" x="574"/>
        <item h="1" x="600"/>
        <item h="1" x="233"/>
        <item h="1" x="613"/>
        <item h="1" x="744"/>
        <item h="1" x="1528"/>
        <item h="1" x="72"/>
        <item h="1" x="1193"/>
        <item h="1" x="864"/>
        <item h="1" x="1267"/>
        <item h="1" x="236"/>
        <item h="1" x="983"/>
        <item h="1" x="590"/>
        <item h="1" x="1183"/>
        <item h="1" x="1335"/>
        <item h="1" x="61"/>
        <item h="1" x="94"/>
        <item h="1" x="11"/>
        <item h="1" x="1497"/>
        <item h="1" x="160"/>
        <item h="1" x="958"/>
        <item h="1" x="1194"/>
        <item h="1" x="157"/>
        <item h="1" x="687"/>
        <item h="1" x="717"/>
        <item h="1" x="375"/>
        <item h="1" x="1398"/>
        <item h="1" x="593"/>
        <item h="1" x="517"/>
        <item h="1" x="1161"/>
        <item h="1" x="1375"/>
        <item h="1" x="1136"/>
        <item h="1" x="1116"/>
        <item h="1" x="1402"/>
        <item h="1" x="436"/>
        <item h="1" x="222"/>
        <item h="1" x="747"/>
        <item h="1" x="1135"/>
        <item h="1" x="1162"/>
        <item h="1" x="868"/>
        <item h="1" x="874"/>
        <item h="1" x="985"/>
        <item h="1" x="1264"/>
        <item h="1" x="1122"/>
        <item h="1" x="599"/>
        <item h="1" x="1306"/>
        <item h="1" x="483"/>
        <item h="1" x="933"/>
        <item h="1" x="873"/>
        <item h="1" x="506"/>
        <item h="1" x="811"/>
        <item h="1" x="708"/>
        <item h="1" x="789"/>
        <item h="1" x="891"/>
        <item h="1" x="1150"/>
        <item h="1" x="1394"/>
        <item h="1" x="304"/>
        <item h="1" x="156"/>
        <item h="1" x="541"/>
        <item h="1" x="1476"/>
        <item h="1" x="173"/>
        <item h="1" x="1083"/>
        <item h="1" x="645"/>
        <item h="1" x="572"/>
        <item h="1" x="1018"/>
        <item h="1" x="1382"/>
        <item h="1" x="1346"/>
        <item h="1" x="227"/>
        <item h="1" x="1446"/>
        <item h="1" x="571"/>
        <item h="1" x="688"/>
        <item h="1" x="624"/>
        <item h="1" x="21"/>
        <item h="1" x="1081"/>
        <item h="1" x="1408"/>
        <item h="1" x="1189"/>
        <item h="1" x="955"/>
        <item h="1" x="735"/>
        <item h="1" x="145"/>
        <item h="1" x="702"/>
        <item h="1" x="1517"/>
        <item h="1" x="1177"/>
        <item h="1" x="563"/>
        <item h="1" x="1138"/>
        <item h="1" x="174"/>
        <item h="1" x="1383"/>
        <item h="1" x="903"/>
        <item h="1" x="602"/>
        <item h="1" x="1186"/>
        <item h="1" x="946"/>
        <item h="1" x="927"/>
        <item h="1" x="1464"/>
        <item h="1" x="1260"/>
        <item h="1" x="788"/>
        <item h="1" x="434"/>
        <item h="1" x="1152"/>
        <item h="1" x="1253"/>
        <item h="1" x="1377"/>
        <item h="1" x="849"/>
        <item h="1" x="163"/>
        <item h="1" x="724"/>
        <item h="1" x="202"/>
        <item h="1" x="74"/>
        <item h="1" x="1475"/>
        <item h="1" x="137"/>
        <item h="1" x="1261"/>
        <item h="1" x="1075"/>
        <item h="1" x="699"/>
        <item h="1" x="1090"/>
        <item h="1" x="1505"/>
        <item h="1" x="1034"/>
        <item h="1" x="1218"/>
        <item h="1" x="638"/>
        <item h="1" x="484"/>
        <item h="1" x="512"/>
        <item h="1" x="1285"/>
        <item h="1" x="413"/>
        <item h="1" x="1357"/>
        <item h="1" x="1477"/>
        <item h="1" x="454"/>
        <item h="1" x="1437"/>
        <item h="1" x="516"/>
        <item h="1" x="223"/>
        <item h="1" x="1222"/>
        <item h="1" x="938"/>
        <item h="1" x="960"/>
        <item h="1" x="80"/>
        <item h="1" x="6"/>
        <item h="1" x="1372"/>
        <item h="1" x="480"/>
        <item h="1" x="53"/>
        <item h="1" x="437"/>
        <item h="1" x="1486"/>
        <item h="1" x="152"/>
        <item h="1" x="71"/>
        <item h="1" x="945"/>
        <item h="1" x="153"/>
        <item h="1" x="390"/>
        <item h="1" x="729"/>
        <item h="1" x="123"/>
        <item h="1" x="1491"/>
        <item h="1" x="111"/>
        <item h="1" x="622"/>
        <item h="1" x="1340"/>
        <item h="1" x="740"/>
        <item h="1" x="1252"/>
        <item h="1" x="433"/>
        <item h="1" x="266"/>
        <item h="1" x="1305"/>
        <item h="1" x="1299"/>
        <item h="1" x="1154"/>
        <item h="1" x="1472"/>
        <item h="1" x="275"/>
        <item h="1" x="908"/>
        <item h="1" x="1450"/>
        <item h="1" x="529"/>
        <item h="1" x="1300"/>
        <item h="1" x="399"/>
        <item h="1" x="539"/>
        <item h="1" x="67"/>
        <item h="1" x="606"/>
        <item h="1" x="636"/>
        <item h="1" x="1387"/>
        <item h="1" x="1341"/>
        <item h="1" x="1511"/>
        <item h="1" x="565"/>
        <item h="1" x="254"/>
        <item h="1" x="372"/>
        <item h="1" x="1071"/>
        <item h="1" x="1462"/>
        <item h="1" x="98"/>
        <item h="1" x="1362"/>
        <item h="1" x="924"/>
        <item h="1" x="463"/>
        <item h="1" x="451"/>
        <item h="1" x="23"/>
        <item h="1" x="1309"/>
        <item h="1" x="800"/>
        <item h="1" x="856"/>
        <item h="1" x="797"/>
        <item h="1" x="324"/>
        <item h="1" x="1385"/>
        <item h="1" x="499"/>
        <item h="1" x="139"/>
        <item h="1" x="287"/>
        <item h="1" x="629"/>
        <item h="1" x="1048"/>
        <item h="1" x="1124"/>
        <item h="1" x="759"/>
        <item h="1" x="1291"/>
        <item h="1" x="57"/>
        <item h="1" x="1163"/>
        <item h="1" x="458"/>
        <item h="1" x="1184"/>
        <item h="1" x="344"/>
        <item h="1" x="743"/>
        <item h="1" x="612"/>
        <item h="1" x="684"/>
        <item h="1" x="530"/>
        <item h="1" x="203"/>
        <item h="1" x="1310"/>
        <item h="1" x="1196"/>
        <item h="1" x="1374"/>
        <item h="1" x="252"/>
        <item h="1" x="750"/>
        <item h="1" x="1404"/>
        <item h="1" x="338"/>
        <item h="1" x="1481"/>
        <item h="1" x="1243"/>
        <item h="1" x="1320"/>
        <item h="1" x="421"/>
        <item h="1" x="641"/>
        <item h="1" x="279"/>
        <item h="1" x="1276"/>
        <item h="1" x="1443"/>
        <item h="1" x="1074"/>
        <item h="1" x="618"/>
        <item h="1" x="601"/>
        <item h="1" x="1490"/>
        <item h="1" x="291"/>
        <item h="1" x="986"/>
        <item h="1" x="807"/>
        <item h="1" x="1418"/>
        <item h="1" x="102"/>
        <item h="1" x="1527"/>
        <item h="1" x="469"/>
        <item h="1" x="69"/>
        <item h="1" x="1407"/>
        <item h="1" x="1172"/>
        <item h="1" x="562"/>
        <item h="1" x="1212"/>
        <item h="1" x="527"/>
        <item h="1" x="116"/>
        <item h="1" x="490"/>
        <item h="1" x="368"/>
        <item h="1" x="36"/>
        <item h="1" x="1356"/>
        <item h="1" x="249"/>
        <item h="1" x="1188"/>
        <item h="1" x="78"/>
        <item h="1" x="1330"/>
        <item h="1" x="1245"/>
        <item h="1" x="977"/>
        <item h="1" x="550"/>
        <item h="1" x="354"/>
        <item h="1" x="1237"/>
        <item h="1" x="1399"/>
        <item h="1" x="416"/>
        <item h="1" x="1342"/>
        <item h="1" x="689"/>
        <item h="1" x="1482"/>
        <item h="1" x="1331"/>
        <item h="1" x="1080"/>
        <item h="1" x="643"/>
        <item h="1" x="901"/>
        <item h="1" x="793"/>
        <item h="1" x="42"/>
        <item h="1" x="181"/>
        <item h="1" x="384"/>
        <item h="1" x="1041"/>
        <item h="1" x="431"/>
        <item h="1" x="812"/>
        <item h="1" x="1"/>
        <item h="1" x="1445"/>
        <item h="1" x="428"/>
        <item h="1" x="109"/>
        <item h="1" x="1292"/>
        <item h="1" x="598"/>
        <item h="1" x="107"/>
        <item h="1" x="1182"/>
        <item h="1" x="914"/>
        <item h="1" x="376"/>
        <item h="1" x="35"/>
        <item h="1" x="919"/>
        <item h="1" x="1319"/>
        <item h="1" x="321"/>
        <item h="1" x="248"/>
        <item h="1" x="1036"/>
        <item h="1" x="991"/>
        <item h="1" x="1191"/>
        <item h="1" x="12"/>
        <item h="1" x="1156"/>
        <item h="1" x="686"/>
        <item h="1" x="543"/>
        <item h="1" x="295"/>
        <item h="1" x="728"/>
        <item h="1" x="65"/>
        <item h="1" x="1454"/>
        <item h="1" x="462"/>
        <item h="1" x="1269"/>
        <item h="1" x="846"/>
        <item h="1" x="805"/>
        <item h="1" x="758"/>
        <item h="1" x="1315"/>
        <item h="1" x="1332"/>
        <item h="1" x="487"/>
        <item h="1" x="1297"/>
        <item h="1" x="120"/>
        <item h="1" x="415"/>
        <item h="1" x="1038"/>
        <item h="1" x="251"/>
        <item h="1" x="280"/>
        <item h="1" x="975"/>
        <item h="1" x="104"/>
        <item h="1" x="989"/>
        <item h="1" x="432"/>
        <item h="1" x="675"/>
        <item h="1" x="1171"/>
        <item h="1" x="60"/>
        <item h="1" x="467"/>
        <item h="1" x="1255"/>
        <item h="1" x="364"/>
        <item h="1" x="99"/>
        <item h="1" x="1317"/>
        <item h="1" x="1463"/>
        <item h="1" x="342"/>
        <item h="1" x="0"/>
        <item h="1" x="1094"/>
        <item h="1" x="889"/>
        <item h="1" x="1393"/>
        <item h="1" x="1442"/>
        <item h="1" x="1456"/>
        <item h="1" x="923"/>
        <item h="1" x="1484"/>
        <item h="1" x="904"/>
        <item h="1" x="742"/>
        <item h="1" x="1288"/>
        <item h="1" x="24"/>
        <item h="1" x="207"/>
        <item h="1" x="1158"/>
        <item h="1" x="285"/>
        <item h="1" x="595"/>
        <item h="1" x="270"/>
        <item h="1" x="446"/>
        <item h="1" x="1381"/>
        <item h="1" x="1047"/>
        <item h="1" x="1063"/>
        <item h="1" x="1468"/>
        <item h="1" x="611"/>
        <item h="1" x="382"/>
        <item h="1" x="589"/>
        <item h="1" x="1344"/>
        <item h="1" x="1348"/>
        <item h="1" x="63"/>
        <item h="1" x="966"/>
        <item h="1" x="893"/>
        <item h="1" x="1420"/>
        <item h="1" x="980"/>
        <item h="1" x="1465"/>
        <item h="1" x="1473"/>
        <item h="1" x="346"/>
        <item h="1" x="1455"/>
        <item h="1" x="1421"/>
        <item h="1" x="691"/>
        <item h="1" x="732"/>
        <item h="1" x="1403"/>
        <item h="1" x="327"/>
        <item h="1" x="784"/>
        <item h="1" x="1164"/>
        <item h="1" x="50"/>
        <item h="1" x="394"/>
        <item h="1" x="616"/>
        <item h="1" x="1365"/>
        <item h="1" x="900"/>
        <item h="1" x="418"/>
        <item h="1" x="32"/>
        <item h="1" x="979"/>
        <item h="1" x="1522"/>
        <item h="1" x="990"/>
        <item h="1" x="438"/>
        <item h="1" x="114"/>
        <item h="1" x="1430"/>
        <item h="1" x="1384"/>
        <item h="1" x="475"/>
        <item h="1" x="915"/>
        <item h="1" x="1327"/>
        <item h="1" x="1322"/>
        <item h="1" x="315"/>
        <item h="1" x="435"/>
        <item h="1" x="925"/>
        <item h="1" x="1202"/>
        <item h="1" x="199"/>
        <item h="1" x="87"/>
        <item h="1" x="422"/>
        <item h="1" x="1179"/>
        <item h="1" x="235"/>
        <item h="1" x="54"/>
        <item h="1" x="164"/>
        <item h="1" x="1197"/>
        <item h="1" x="964"/>
        <item h="1" x="312"/>
        <item h="1" x="112"/>
        <item h="1" x="843"/>
        <item h="1" x="244"/>
        <item h="1" x="559"/>
        <item h="1" x="1359"/>
        <item h="1" x="544"/>
        <item h="1" x="272"/>
        <item h="1" x="1283"/>
        <item h="1" x="948"/>
        <item h="1" x="481"/>
        <item h="1" x="247"/>
        <item h="1" x="1386"/>
        <item h="1" x="1272"/>
        <item h="1" x="734"/>
        <item h="1" x="410"/>
        <item h="1" x="1087"/>
        <item h="1" x="47"/>
        <item h="1" x="1368"/>
        <item h="1" x="1328"/>
        <item h="1" x="86"/>
        <item h="1" x="1366"/>
        <item h="1" x="867"/>
        <item h="1" x="190"/>
        <item h="1" x="453"/>
        <item h="1" x="1259"/>
        <item h="1" x="429"/>
        <item h="1" x="189"/>
        <item h="1" x="1417"/>
        <item h="1" x="1148"/>
        <item h="1" x="385"/>
        <item h="1" x="1488"/>
        <item h="1" x="1050"/>
        <item h="1" x="685"/>
        <item h="1" x="674"/>
        <item h="1" x="449"/>
        <item h="1" x="177"/>
        <item h="1" x="854"/>
        <item h="1" x="1457"/>
        <item h="1" x="281"/>
        <item h="1" x="1198"/>
        <item h="1" x="1433"/>
        <item h="1" x="1423"/>
        <item h="1" x="962"/>
        <item h="1" x="1126"/>
        <item h="1" x="1010"/>
        <item h="1" x="1052"/>
        <item h="1" x="1174"/>
        <item h="1" x="942"/>
        <item h="1" x="504"/>
        <item h="1" x="253"/>
        <item h="1" x="1249"/>
        <item h="1" x="1474"/>
        <item h="1" x="103"/>
        <item h="1" x="869"/>
        <item h="1" x="1410"/>
        <item h="1" x="288"/>
        <item h="1" x="842"/>
        <item h="1" x="1395"/>
        <item h="1" x="730"/>
        <item h="1" x="30"/>
        <item h="1" x="232"/>
        <item h="1" x="570"/>
        <item h="1" x="1461"/>
        <item h="1" x="20"/>
        <item h="1" x="1536"/>
        <item h="1" x="1024"/>
        <item h="1" x="1277"/>
        <item h="1" x="1238"/>
        <item h="1" x="1376"/>
        <item h="1" x="1145"/>
        <item h="1" x="121"/>
        <item h="1" x="1388"/>
        <item h="1" x="1470"/>
        <item h="1" x="1065"/>
        <item h="1" x="917"/>
        <item h="1" x="1293"/>
        <item h="1" x="968"/>
        <item h="1" x="88"/>
        <item h="1" x="1451"/>
        <item h="1" x="1040"/>
        <item h="1" x="1363"/>
        <item h="1" x="146"/>
        <item h="1" x="381"/>
        <item h="1" x="795"/>
        <item h="1" x="1268"/>
        <item h="1" x="187"/>
        <item h="1" x="582"/>
        <item h="1" x="848"/>
        <item h="1" x="1453"/>
        <item h="1" x="1414"/>
        <item h="1" x="212"/>
        <item h="1" x="1413"/>
        <item h="1" x="608"/>
        <item h="1" x="73"/>
        <item h="1" x="1447"/>
        <item h="1" x="984"/>
        <item h="1" x="1236"/>
        <item h="1" x="439"/>
        <item h="1" x="142"/>
        <item h="1" x="83"/>
        <item h="1" x="538"/>
        <item h="1" x="1345"/>
        <item h="1" x="1270"/>
        <item h="1" x="1117"/>
        <item h="1" x="323"/>
        <item h="1" x="48"/>
        <item h="1" x="1409"/>
        <item h="1" x="877"/>
        <item h="1" x="644"/>
        <item h="1" x="756"/>
        <item h="1" x="1067"/>
        <item h="1" x="1352"/>
        <item h="1" x="852"/>
        <item h="1" x="1214"/>
        <item h="1" x="369"/>
        <item h="1" x="325"/>
        <item h="1" x="1244"/>
        <item h="1" x="1483"/>
        <item h="1" x="363"/>
        <item h="1" x="963"/>
        <item h="1" x="981"/>
        <item h="1" x="336"/>
        <item h="1" x="489"/>
        <item h="1" x="746"/>
        <item h="1" x="1316"/>
        <item h="1" x="362"/>
        <item h="1" x="193"/>
        <item h="1" x="108"/>
        <item h="1" x="1364"/>
        <item h="1" x="567"/>
        <item h="1" x="140"/>
        <item h="1" x="238"/>
        <item h="1" x="1460"/>
        <item h="1" x="761"/>
        <item h="1" x="493"/>
        <item h="1" x="113"/>
        <item h="1" x="882"/>
        <item h="1" x="216"/>
        <item h="1" x="333"/>
        <item h="1" x="1049"/>
        <item h="1" x="488"/>
        <item h="1" x="972"/>
        <item h="1" x="274"/>
        <item h="1" x="1459"/>
        <item h="1" x="13"/>
        <item h="1" x="200"/>
        <item h="1" x="425"/>
        <item h="1" x="741"/>
        <item h="1" x="1167"/>
        <item h="1" x="414"/>
        <item h="1" x="66"/>
        <item h="1" x="357"/>
        <item h="1" x="1380"/>
        <item h="1" x="1471"/>
        <item h="1" x="546"/>
        <item h="1" x="607"/>
        <item h="1" x="1444"/>
        <item h="1" x="378"/>
        <item h="1" x="360"/>
        <item h="1" x="1440"/>
        <item h="1" x="352"/>
        <item h="1" x="1026"/>
        <item h="1" x="736"/>
        <item h="1" x="1280"/>
        <item h="1" x="1031"/>
        <item h="1" x="1286"/>
        <item h="1" x="880"/>
        <item h="1" x="5"/>
        <item h="1" x="361"/>
        <item h="1" x="89"/>
        <item h="1" x="564"/>
        <item h="1" x="1338"/>
        <item h="1" x="887"/>
        <item h="1" x="502"/>
        <item h="1" x="693"/>
        <item h="1" x="29"/>
        <item h="1" x="640"/>
        <item h="1" x="409"/>
        <item h="1" x="858"/>
        <item h="1" x="1053"/>
        <item h="1" x="1429"/>
        <item h="1" x="1070"/>
        <item h="1" x="507"/>
        <item h="1" x="1307"/>
        <item h="1" x="1025"/>
        <item h="1" x="796"/>
        <item h="1" x="147"/>
        <item h="1" x="1303"/>
        <item h="1" x="417"/>
        <item h="1" x="1206"/>
        <item h="1" x="1284"/>
        <item h="1" x="1085"/>
        <item h="1" x="509"/>
        <item h="1" x="1035"/>
        <item h="1" x="127"/>
        <item h="1" x="676"/>
        <item h="1" x="328"/>
        <item h="1" x="1389"/>
        <item h="1" x="875"/>
        <item h="1" x="1055"/>
        <item h="1" x="64"/>
        <item h="1" x="1077"/>
        <item h="1" x="208"/>
        <item h="1" x="15"/>
        <item h="1" x="1213"/>
        <item h="1" x="485"/>
        <item h="1" x="1069"/>
        <item h="1" x="1427"/>
        <item h="1" x="1396"/>
        <item h="1" x="1329"/>
        <item h="1" x="922"/>
        <item h="1" x="1207"/>
        <item h="1" x="204"/>
        <item h="1" x="1027"/>
        <item h="1" x="500"/>
        <item h="1" x="1400"/>
        <item h="1" x="97"/>
        <item h="1" x="681"/>
        <item h="1" x="1092"/>
        <item h="1" x="651"/>
        <item h="1" x="787"/>
        <item h="1" x="37"/>
        <item h="1" x="879"/>
        <item h="1" x="1046"/>
        <item h="1" x="403"/>
        <item h="1" x="1089"/>
        <item h="1" x="1073"/>
        <item h="1" x="669"/>
        <item h="1" x="79"/>
        <item h="1" x="10"/>
        <item h="1" x="951"/>
        <item h="1" x="149"/>
        <item h="1" x="1415"/>
        <item h="1" x="1391"/>
        <item h="1" x="1406"/>
        <item h="1" x="1336"/>
        <item h="1" x="940"/>
        <item h="1" x="1095"/>
        <item h="1" x="443"/>
        <item h="1" x="3"/>
        <item h="1" x="556"/>
        <item h="1" x="1449"/>
        <item h="1" x="1037"/>
        <item h="1" x="40"/>
        <item h="1" x="242"/>
        <item h="1" x="1469"/>
        <item h="1" x="1017"/>
        <item h="1" x="486"/>
        <item h="1" x="205"/>
        <item h="1" x="1509"/>
        <item h="1" x="25"/>
        <item h="1" x="1487"/>
        <item h="1" x="191"/>
        <item h="1" x="404"/>
        <item h="1" x="135"/>
        <item h="1" x="1434"/>
        <item h="1" x="1349"/>
        <item h="1" x="1373"/>
        <item h="1" x="992"/>
        <item h="1" x="148"/>
        <item h="1" x="277"/>
        <item h="1" x="1023"/>
        <item h="1" x="751"/>
        <item h="1" x="197"/>
        <item h="1" x="81"/>
        <item h="1" x="359"/>
        <item h="1" x="639"/>
        <item h="1" x="470"/>
        <item h="1" x="423"/>
        <item h="1" x="1311"/>
        <item h="1" x="1278"/>
        <item h="1" x="1274"/>
        <item h="1" x="76"/>
        <item h="1" x="580"/>
        <item h="1" x="184"/>
        <item h="1" x="210"/>
        <item h="1" x="844"/>
        <item h="1" x="2"/>
        <item h="1" x="965"/>
        <item h="1" x="34"/>
        <item h="1" x="943"/>
        <item h="1" x="44"/>
        <item h="1" x="1079"/>
        <item h="1" x="677"/>
        <item h="1" x="420"/>
        <item h="1" x="855"/>
        <item h="1" x="850"/>
        <item h="1" x="1068"/>
        <item h="1" x="757"/>
        <item h="1" x="1354"/>
        <item h="1" x="1379"/>
        <item h="1" x="501"/>
        <item h="1" x="400"/>
        <item h="1" x="430"/>
        <item h="1" x="495"/>
        <item h="1" x="1078"/>
        <item h="1" x="753"/>
        <item h="1" x="941"/>
        <item h="1" x="954"/>
        <item h="1" x="106"/>
        <item h="1" x="1313"/>
        <item h="1" x="31"/>
        <item h="1" x="365"/>
        <item h="1" x="1358"/>
        <item h="1" x="931"/>
        <item h="1" x="1401"/>
        <item h="1" x="1436"/>
        <item h="1" x="125"/>
        <item h="1" x="863"/>
        <item h="1" x="1480"/>
        <item h="1" x="1458"/>
        <item h="1" x="474"/>
        <item h="1" x="1537"/>
        <item h="1" x="1013"/>
        <item h="1" x="196"/>
        <item h="1" x="1200"/>
        <item h="1" x="970"/>
        <item h="1" x="9"/>
        <item h="1" x="646"/>
        <item h="1" x="609"/>
        <item h="1" x="1323"/>
        <item h="1" x="124"/>
        <item h="1" x="1076"/>
        <item h="1" x="1350"/>
        <item h="1" x="754"/>
        <item h="1" x="1448"/>
        <item h="1" x="441"/>
        <item h="1" x="131"/>
        <item h="1" x="652"/>
        <item h="1" x="473"/>
        <item h="1" x="1096"/>
        <item h="1" x="14"/>
        <item h="1" x="1353"/>
        <item h="1" x="138"/>
        <item h="1" x="17"/>
        <item h="1" x="1281"/>
        <item h="1" x="860"/>
        <item h="1" x="1054"/>
        <item h="1" x="82"/>
        <item h="1" x="1271"/>
        <item h="1" x="1215"/>
        <item h="1" x="935"/>
        <item h="1" x="872"/>
        <item h="1" x="953"/>
        <item h="1" x="322"/>
        <item h="1" x="471"/>
        <item h="1" x="49"/>
        <item h="1" x="508"/>
        <item h="1" x="649"/>
        <item h="1" x="1088"/>
        <item h="1" x="1514"/>
        <item h="1" x="16"/>
        <item h="1" x="987"/>
        <item h="1" x="930"/>
        <item h="1" x="150"/>
        <item h="1" x="180"/>
        <item h="1" x="143"/>
        <item h="1" x="694"/>
        <item h="1" x="39"/>
        <item h="1" x="326"/>
        <item h="1" x="1435"/>
        <item h="1" x="932"/>
        <item h="1" x="557"/>
        <item h="1" x="755"/>
        <item h="1" x="128"/>
        <item h="1" x="26"/>
        <item h="1" x="132"/>
        <item h="1" x="211"/>
        <item h="1" x="752"/>
        <item h="1" x="1242"/>
        <item h="1" x="402"/>
        <item h="1" x="46"/>
        <item h="1" x="1416"/>
        <item h="1" x="1438"/>
        <item h="1" x="366"/>
        <item h="1" x="1028"/>
        <item h="1" x="28"/>
        <item h="1" x="136"/>
        <item h="1" x="1333"/>
        <item h="1" x="1072"/>
        <item h="1" x="7"/>
        <item h="1" x="845"/>
        <item h="1" x="1209"/>
        <item h="1" x="1367"/>
        <item h="1" x="614"/>
        <item h="1" x="154"/>
        <item h="1" x="4"/>
        <item h="1" x="33"/>
        <item h="1" x="478"/>
        <item h="1" x="695"/>
        <item h="1" x="817"/>
        <item h="1" x="119"/>
        <item h="1" x="241"/>
        <item h="1" x="75"/>
        <item h="1" x="52"/>
        <item h="1" x="477"/>
        <item h="1" x="816"/>
        <item h="1" x="183"/>
        <item h="1" x="396"/>
        <item h="1" x="141"/>
        <item h="1" x="492"/>
        <item h="1" x="58"/>
        <item h="1" x="445"/>
        <item h="1" x="22"/>
        <item h="1" x="722"/>
        <item h="1" x="1432"/>
        <item h="1" x="763"/>
        <item h="1" x="1370"/>
        <item h="1" x="188"/>
        <item h="1" x="126"/>
        <item t="default"/>
      </items>
    </pivotField>
    <pivotField compact="0" showAll="0">
      <items count="13">
        <item x="7"/>
        <item x="0"/>
        <item x="11"/>
        <item x="8"/>
        <item x="1"/>
        <item x="9"/>
        <item x="2"/>
        <item h="1" x="3"/>
        <item x="10"/>
        <item x="4"/>
        <item x="5"/>
        <item x="6"/>
        <item t="default"/>
      </items>
    </pivotField>
    <pivotField axis="axisRow" compact="0" sortType="descending" showAll="0">
      <items count="4">
        <item x="0"/>
        <item x="1"/>
        <item x="2"/>
        <item t="default"/>
      </items>
      <autoSortScope>
        <pivotArea fieldPosition="0">
          <references count="1">
            <reference field="4294967294" count="1" selected="0">
              <x v="0"/>
            </reference>
          </references>
        </pivotArea>
      </autoSortScope>
    </pivotField>
  </pivotFields>
  <rowFields count="1">
    <field x="13"/>
  </rowFields>
  <rowItems count="4">
    <i>
      <x v="1"/>
    </i>
    <i>
      <x/>
    </i>
    <i>
      <x v="2"/>
    </i>
    <i t="grand">
      <x/>
    </i>
  </rowItems>
  <colItems count="1">
    <i/>
  </colItems>
  <dataFields count="1">
    <dataField name="Count of ORDER_NUMBER" fld="1" subtotal="count" baseField="0" baseItem="0" numFmtId="1"/>
  </dataFields>
  <pivotTableStyleInfo name="PivotStylePreset3_Accent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B21" firstHeaderRow="1" firstDataRow="1" firstDataCol="1"/>
  <pivotFields count="14">
    <pivotField axis="axisRow" compact="0" sortType="descending" showAll="0">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autoSortScope>
        <pivotArea fieldPosition="0">
          <references count="1">
            <reference field="4294967294" count="1" selected="0">
              <x v="0"/>
            </reference>
          </references>
        </pivotArea>
      </autoSortScope>
    </pivotField>
    <pivotField dataField="1" compact="0" numFmtId="178" showAll="0">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compact="0" numFmtId="178" showAll="0">
      <items count="59">
        <item x="44"/>
        <item x="37"/>
        <item x="54"/>
        <item x="35"/>
        <item x="51"/>
        <item x="45"/>
        <item x="49"/>
        <item x="52"/>
        <item x="34"/>
        <item x="14"/>
        <item x="15"/>
        <item x="8"/>
        <item x="10"/>
        <item x="16"/>
        <item x="32"/>
        <item x="18"/>
        <item x="26"/>
        <item x="11"/>
        <item x="6"/>
        <item x="0"/>
        <item x="28"/>
        <item x="22"/>
        <item x="29"/>
        <item x="1"/>
        <item x="21"/>
        <item x="5"/>
        <item x="9"/>
        <item x="19"/>
        <item x="25"/>
        <item x="23"/>
        <item x="2"/>
        <item x="13"/>
        <item x="30"/>
        <item x="27"/>
        <item x="3"/>
        <item x="12"/>
        <item x="20"/>
        <item x="7"/>
        <item x="4"/>
        <item x="24"/>
        <item x="41"/>
        <item x="53"/>
        <item x="38"/>
        <item x="36"/>
        <item x="31"/>
        <item x="48"/>
        <item x="42"/>
        <item x="46"/>
        <item x="40"/>
        <item x="55"/>
        <item x="33"/>
        <item x="47"/>
        <item x="17"/>
        <item x="50"/>
        <item x="43"/>
        <item x="57"/>
        <item x="56"/>
        <item x="39"/>
        <item t="default"/>
      </items>
    </pivotField>
    <pivotField compact="0" numFmtId="8" showAll="0">
      <items count="1017">
        <item x="466"/>
        <item x="453"/>
        <item x="539"/>
        <item x="460"/>
        <item x="456"/>
        <item x="459"/>
        <item x="540"/>
        <item x="244"/>
        <item x="533"/>
        <item x="462"/>
        <item x="500"/>
        <item x="572"/>
        <item x="538"/>
        <item x="449"/>
        <item x="546"/>
        <item x="454"/>
        <item x="537"/>
        <item x="499"/>
        <item x="571"/>
        <item x="139"/>
        <item x="765"/>
        <item x="541"/>
        <item x="762"/>
        <item x="452"/>
        <item x="585"/>
        <item x="543"/>
        <item x="458"/>
        <item x="583"/>
        <item x="695"/>
        <item x="698"/>
        <item x="10"/>
        <item x="463"/>
        <item x="704"/>
        <item x="837"/>
        <item x="759"/>
        <item x="576"/>
        <item x="450"/>
        <item x="70"/>
        <item x="758"/>
        <item x="573"/>
        <item x="542"/>
        <item x="93"/>
        <item x="438"/>
        <item x="464"/>
        <item x="164"/>
        <item x="766"/>
        <item x="578"/>
        <item x="832"/>
        <item x="489"/>
        <item x="455"/>
        <item x="700"/>
        <item x="575"/>
        <item x="547"/>
        <item x="457"/>
        <item x="655"/>
        <item x="706"/>
        <item x="163"/>
        <item x="531"/>
        <item x="497"/>
        <item x="451"/>
        <item x="838"/>
        <item x="491"/>
        <item x="461"/>
        <item x="534"/>
        <item x="767"/>
        <item x="835"/>
        <item x="183"/>
        <item x="587"/>
        <item x="581"/>
        <item x="549"/>
        <item x="696"/>
        <item x="496"/>
        <item x="763"/>
        <item x="532"/>
        <item x="582"/>
        <item x="270"/>
        <item x="760"/>
        <item x="830"/>
        <item x="703"/>
        <item x="1001"/>
        <item x="757"/>
        <item x="81"/>
        <item x="536"/>
        <item x="580"/>
        <item x="702"/>
        <item x="545"/>
        <item x="833"/>
        <item x="697"/>
        <item x="488"/>
        <item x="630"/>
        <item x="448"/>
        <item x="544"/>
        <item x="701"/>
        <item x="584"/>
        <item x="586"/>
        <item x="436"/>
        <item x="535"/>
        <item x="117"/>
        <item x="574"/>
        <item x="368"/>
        <item x="141"/>
        <item x="99"/>
        <item x="367"/>
        <item x="776"/>
        <item x="577"/>
        <item x="755"/>
        <item x="708"/>
        <item x="841"/>
        <item x="1004"/>
        <item x="999"/>
        <item x="781"/>
        <item x="699"/>
        <item x="102"/>
        <item x="1005"/>
        <item x="486"/>
        <item x="16"/>
        <item x="579"/>
        <item x="756"/>
        <item x="992"/>
        <item x="369"/>
        <item x="997"/>
        <item x="226"/>
        <item x="371"/>
        <item x="839"/>
        <item x="784"/>
        <item x="761"/>
        <item x="993"/>
        <item x="494"/>
        <item x="258"/>
        <item x="772"/>
        <item x="836"/>
        <item x="782"/>
        <item x="416"/>
        <item x="25"/>
        <item x="269"/>
        <item x="215"/>
        <item x="364"/>
        <item x="422"/>
        <item x="495"/>
        <item x="842"/>
        <item x="769"/>
        <item x="492"/>
        <item x="20"/>
        <item x="990"/>
        <item x="764"/>
        <item x="434"/>
        <item x="493"/>
        <item x="840"/>
        <item x="208"/>
        <item x="106"/>
        <item x="1006"/>
        <item x="182"/>
        <item x="780"/>
        <item x="624"/>
        <item x="156"/>
        <item x="97"/>
        <item x="991"/>
        <item x="848"/>
        <item x="176"/>
        <item x="487"/>
        <item x="159"/>
        <item x="82"/>
        <item x="198"/>
        <item x="1010"/>
        <item x="794"/>
        <item x="316"/>
        <item x="849"/>
        <item x="365"/>
        <item x="231"/>
        <item x="96"/>
        <item x="94"/>
        <item x="831"/>
        <item x="618"/>
        <item x="1007"/>
        <item x="144"/>
        <item x="425"/>
        <item x="716"/>
        <item x="711"/>
        <item x="484"/>
        <item x="317"/>
        <item x="242"/>
        <item x="490"/>
        <item x="446"/>
        <item x="1011"/>
        <item x="153"/>
        <item x="789"/>
        <item x="15"/>
        <item x="101"/>
        <item x="435"/>
        <item x="199"/>
        <item x="107"/>
        <item x="374"/>
        <item x="235"/>
        <item x="834"/>
        <item x="771"/>
        <item x="209"/>
        <item x="855"/>
        <item x="323"/>
        <item x="218"/>
        <item x="33"/>
        <item x="417"/>
        <item x="989"/>
        <item x="626"/>
        <item x="213"/>
        <item x="210"/>
        <item x="792"/>
        <item x="114"/>
        <item x="324"/>
        <item x="179"/>
        <item x="420"/>
        <item x="678"/>
        <item x="212"/>
        <item x="847"/>
        <item x="370"/>
        <item x="104"/>
        <item x="790"/>
        <item x="330"/>
        <item x="178"/>
        <item x="998"/>
        <item x="233"/>
        <item x="418"/>
        <item x="485"/>
        <item x="366"/>
        <item x="145"/>
        <item x="642"/>
        <item x="873"/>
        <item x="166"/>
        <item x="779"/>
        <item x="38"/>
        <item x="103"/>
        <item x="120"/>
        <item x="22"/>
        <item x="325"/>
        <item x="941"/>
        <item x="802"/>
        <item x="98"/>
        <item x="857"/>
        <item x="778"/>
        <item x="39"/>
        <item x="409"/>
        <item x="987"/>
        <item x="1013"/>
        <item x="205"/>
        <item x="770"/>
        <item x="634"/>
        <item x="327"/>
        <item x="566"/>
        <item x="109"/>
        <item x="514"/>
        <item x="1002"/>
        <item x="811"/>
        <item x="116"/>
        <item x="791"/>
        <item x="686"/>
        <item x="1003"/>
        <item x="856"/>
        <item x="405"/>
        <item x="275"/>
        <item x="158"/>
        <item x="629"/>
        <item x="815"/>
        <item x="995"/>
        <item x="326"/>
        <item x="32"/>
        <item x="602"/>
        <item x="850"/>
        <item x="227"/>
        <item x="148"/>
        <item x="363"/>
        <item x="119"/>
        <item x="994"/>
        <item x="108"/>
        <item x="177"/>
        <item x="927"/>
        <item x="985"/>
        <item x="783"/>
        <item x="239"/>
        <item x="196"/>
        <item x="376"/>
        <item x="100"/>
        <item x="373"/>
        <item x="68"/>
        <item x="322"/>
        <item x="933"/>
        <item x="361"/>
        <item x="996"/>
        <item x="237"/>
        <item x="206"/>
        <item x="628"/>
        <item x="804"/>
        <item x="501"/>
        <item x="564"/>
        <item x="111"/>
        <item x="328"/>
        <item x="297"/>
        <item x="818"/>
        <item x="632"/>
        <item x="974"/>
        <item x="150"/>
        <item x="675"/>
        <item x="433"/>
        <item x="1012"/>
        <item x="406"/>
        <item x="175"/>
        <item x="512"/>
        <item x="551"/>
        <item x="796"/>
        <item x="372"/>
        <item x="246"/>
        <item x="871"/>
        <item x="623"/>
        <item x="687"/>
        <item x="777"/>
        <item x="414"/>
        <item x="171"/>
        <item x="391"/>
        <item x="798"/>
        <item x="299"/>
        <item x="676"/>
        <item x="407"/>
        <item x="335"/>
        <item x="889"/>
        <item x="204"/>
        <item x="385"/>
        <item x="785"/>
        <item x="411"/>
        <item x="423"/>
        <item x="728"/>
        <item x="793"/>
        <item x="503"/>
        <item x="552"/>
        <item x="149"/>
        <item x="200"/>
        <item x="180"/>
        <item x="821"/>
        <item x="518"/>
        <item x="377"/>
        <item x="174"/>
        <item x="807"/>
        <item x="689"/>
        <item x="973"/>
        <item x="858"/>
        <item x="273"/>
        <item x="502"/>
        <item x="567"/>
        <item x="473"/>
        <item x="155"/>
        <item x="197"/>
        <item x="419"/>
        <item x="23"/>
        <item x="877"/>
        <item x="805"/>
        <item x="46"/>
        <item x="211"/>
        <item x="980"/>
        <item x="1015"/>
        <item x="725"/>
        <item x="146"/>
        <item x="625"/>
        <item x="476"/>
        <item x="396"/>
        <item x="875"/>
        <item x="801"/>
        <item x="344"/>
        <item x="775"/>
        <item x="152"/>
        <item x="617"/>
        <item x="240"/>
        <item x="635"/>
        <item x="125"/>
        <item x="36"/>
        <item x="480"/>
        <item x="774"/>
        <item x="730"/>
        <item x="808"/>
        <item x="45"/>
        <item x="388"/>
        <item x="160"/>
        <item x="207"/>
        <item x="105"/>
        <item x="978"/>
        <item x="238"/>
        <item x="508"/>
        <item x="647"/>
        <item x="49"/>
        <item x="773"/>
        <item x="1009"/>
        <item x="752"/>
        <item x="823"/>
        <item x="31"/>
        <item x="69"/>
        <item x="201"/>
        <item x="228"/>
        <item x="982"/>
        <item x="1008"/>
        <item x="852"/>
        <item x="795"/>
        <item x="53"/>
        <item x="319"/>
        <item x="408"/>
        <item x="130"/>
        <item x="140"/>
        <item x="74"/>
        <item x="203"/>
        <item x="679"/>
        <item x="217"/>
        <item x="19"/>
        <item x="243"/>
        <item x="260"/>
        <item x="168"/>
        <item x="560"/>
        <item x="510"/>
        <item x="519"/>
        <item x="412"/>
        <item x="878"/>
        <item x="202"/>
        <item x="136"/>
        <item x="479"/>
        <item x="622"/>
        <item x="955"/>
        <item x="853"/>
        <item x="24"/>
        <item x="923"/>
        <item x="509"/>
        <item x="786"/>
        <item x="646"/>
        <item x="819"/>
        <item x="619"/>
        <item x="401"/>
        <item x="682"/>
        <item x="734"/>
        <item x="415"/>
        <item x="513"/>
        <item x="935"/>
        <item x="71"/>
        <item x="881"/>
        <item x="864"/>
        <item x="946"/>
        <item x="298"/>
        <item x="851"/>
        <item x="129"/>
        <item x="468"/>
        <item x="733"/>
        <item x="318"/>
        <item x="949"/>
        <item x="826"/>
        <item x="236"/>
        <item x="797"/>
        <item x="137"/>
        <item x="315"/>
        <item x="143"/>
        <item x="557"/>
        <item x="64"/>
        <item x="312"/>
        <item x="662"/>
        <item x="627"/>
        <item x="234"/>
        <item x="984"/>
        <item x="694"/>
        <item x="866"/>
        <item x="284"/>
        <item x="645"/>
        <item x="320"/>
        <item x="613"/>
        <item x="800"/>
        <item x="854"/>
        <item x="470"/>
        <item x="620"/>
        <item x="167"/>
        <item x="241"/>
        <item x="413"/>
        <item x="944"/>
        <item x="14"/>
        <item x="637"/>
        <item x="34"/>
        <item x="421"/>
        <item x="556"/>
        <item x="186"/>
        <item x="169"/>
        <item x="474"/>
        <item x="410"/>
        <item x="61"/>
        <item x="685"/>
        <item x="147"/>
        <item x="329"/>
        <item x="640"/>
        <item x="621"/>
        <item x="395"/>
        <item x="381"/>
        <item x="554"/>
        <item x="173"/>
        <item x="232"/>
        <item x="478"/>
        <item x="925"/>
        <item x="892"/>
        <item x="349"/>
        <item x="65"/>
        <item x="680"/>
        <item x="903"/>
        <item x="735"/>
        <item x="639"/>
        <item x="565"/>
        <item x="172"/>
        <item x="404"/>
        <item x="465"/>
        <item x="245"/>
        <item x="517"/>
        <item x="870"/>
        <item x="289"/>
        <item x="868"/>
        <item x="597"/>
        <item x="314"/>
        <item x="787"/>
        <item x="195"/>
        <item x="188"/>
        <item x="721"/>
        <item x="829"/>
        <item x="612"/>
        <item x="981"/>
        <item x="357"/>
        <item x="170"/>
        <item x="731"/>
        <item x="230"/>
        <item x="562"/>
        <item x="876"/>
        <item x="846"/>
        <item x="151"/>
        <item x="26"/>
        <item x="862"/>
        <item x="690"/>
        <item x="638"/>
        <item x="447"/>
        <item x="810"/>
        <item x="185"/>
        <item x="900"/>
        <item x="483"/>
        <item x="380"/>
        <item x="402"/>
        <item x="506"/>
        <item x="664"/>
        <item x="814"/>
        <item x="263"/>
        <item x="641"/>
        <item x="44"/>
        <item x="112"/>
        <item x="945"/>
        <item x="726"/>
        <item x="9"/>
        <item x="588"/>
        <item x="553"/>
        <item x="154"/>
        <item x="387"/>
        <item x="321"/>
        <item x="392"/>
        <item x="609"/>
        <item x="813"/>
        <item x="671"/>
        <item x="631"/>
        <item x="692"/>
        <item x="684"/>
        <item x="806"/>
        <item x="310"/>
        <item x="251"/>
        <item x="285"/>
        <item x="693"/>
        <item x="386"/>
        <item x="51"/>
        <item x="521"/>
        <item x="817"/>
        <item x="604"/>
        <item x="636"/>
        <item x="812"/>
        <item x="229"/>
        <item x="351"/>
        <item x="472"/>
        <item x="126"/>
        <item x="255"/>
        <item x="561"/>
        <item x="979"/>
        <item x="121"/>
        <item x="505"/>
        <item x="57"/>
        <item x="394"/>
        <item x="594"/>
        <item x="947"/>
        <item x="929"/>
        <item x="614"/>
        <item x="522"/>
        <item x="788"/>
        <item x="352"/>
        <item x="722"/>
        <item x="874"/>
        <item x="550"/>
        <item x="132"/>
        <item x="194"/>
        <item x="249"/>
        <item x="859"/>
        <item x="400"/>
        <item x="803"/>
        <item x="50"/>
        <item x="688"/>
        <item x="934"/>
        <item x="737"/>
        <item x="75"/>
        <item x="872"/>
        <item x="724"/>
        <item x="563"/>
        <item x="469"/>
        <item x="339"/>
        <item x="21"/>
        <item x="356"/>
        <item x="511"/>
        <item x="986"/>
        <item x="384"/>
        <item x="799"/>
        <item x="393"/>
        <item x="932"/>
        <item x="29"/>
        <item x="190"/>
        <item x="507"/>
        <item x="902"/>
        <item x="977"/>
        <item x="382"/>
        <item x="668"/>
        <item x="11"/>
        <item x="293"/>
        <item x="398"/>
        <item x="59"/>
        <item x="926"/>
        <item x="17"/>
        <item x="189"/>
        <item x="643"/>
        <item x="606"/>
        <item x="683"/>
        <item x="672"/>
        <item x="353"/>
        <item x="865"/>
        <item x="880"/>
        <item x="56"/>
        <item x="718"/>
        <item x="809"/>
        <item x="633"/>
        <item x="882"/>
        <item x="820"/>
        <item x="691"/>
        <item x="390"/>
        <item x="660"/>
        <item x="286"/>
        <item x="216"/>
        <item x="520"/>
        <item x="720"/>
        <item x="135"/>
        <item x="884"/>
        <item x="879"/>
        <item x="928"/>
        <item x="295"/>
        <item x="715"/>
        <item x="37"/>
        <item x="616"/>
        <item x="822"/>
        <item x="250"/>
        <item x="138"/>
        <item x="123"/>
        <item x="304"/>
        <item x="965"/>
        <item x="610"/>
        <item x="27"/>
        <item x="593"/>
        <item x="658"/>
        <item x="893"/>
        <item x="824"/>
        <item x="375"/>
        <item x="751"/>
        <item x="527"/>
        <item x="477"/>
        <item x="961"/>
        <item x="399"/>
        <item x="504"/>
        <item x="296"/>
        <item x="661"/>
        <item x="379"/>
        <item x="863"/>
        <item x="279"/>
        <item x="951"/>
        <item x="555"/>
        <item x="528"/>
        <item x="744"/>
        <item x="939"/>
        <item x="930"/>
        <item x="342"/>
        <item x="516"/>
        <item x="723"/>
        <item x="753"/>
        <item x="288"/>
        <item x="378"/>
        <item x="607"/>
        <item x="1"/>
        <item x="861"/>
        <item x="52"/>
        <item x="970"/>
        <item x="559"/>
        <item x="63"/>
        <item x="252"/>
        <item x="515"/>
        <item x="816"/>
        <item x="890"/>
        <item x="681"/>
        <item x="343"/>
        <item x="936"/>
        <item x="953"/>
        <item x="558"/>
        <item x="825"/>
        <item x="397"/>
        <item x="300"/>
        <item x="122"/>
        <item x="931"/>
        <item x="742"/>
        <item x="968"/>
        <item x="768"/>
        <item x="346"/>
        <item x="259"/>
        <item x="843"/>
        <item x="916"/>
        <item x="193"/>
        <item x="290"/>
        <item x="746"/>
        <item x="976"/>
        <item x="548"/>
        <item x="54"/>
        <item x="670"/>
        <item x="467"/>
        <item x="605"/>
        <item x="219"/>
        <item x="883"/>
        <item x="595"/>
        <item x="3"/>
        <item x="736"/>
        <item x="727"/>
        <item x="350"/>
        <item x="383"/>
        <item x="963"/>
        <item x="247"/>
        <item x="523"/>
        <item x="41"/>
        <item x="60"/>
        <item x="921"/>
        <item x="663"/>
        <item x="131"/>
        <item x="895"/>
        <item x="886"/>
        <item x="600"/>
        <item x="157"/>
        <item x="256"/>
        <item x="306"/>
        <item x="431"/>
        <item x="913"/>
        <item x="333"/>
        <item x="282"/>
        <item x="615"/>
        <item x="719"/>
        <item x="267"/>
        <item x="313"/>
        <item x="599"/>
        <item x="83"/>
        <item x="975"/>
        <item x="389"/>
        <item x="924"/>
        <item x="187"/>
        <item x="28"/>
        <item x="964"/>
        <item x="128"/>
        <item x="717"/>
        <item x="498"/>
        <item x="665"/>
        <item x="338"/>
        <item x="740"/>
        <item x="745"/>
        <item x="332"/>
        <item x="914"/>
        <item x="601"/>
        <item x="268"/>
        <item x="937"/>
        <item x="905"/>
        <item x="359"/>
        <item x="287"/>
        <item x="6"/>
        <item x="959"/>
        <item x="192"/>
        <item x="91"/>
        <item x="303"/>
        <item x="666"/>
        <item x="948"/>
        <item x="336"/>
        <item x="899"/>
        <item x="983"/>
        <item x="713"/>
        <item x="530"/>
        <item x="652"/>
        <item x="261"/>
        <item x="922"/>
        <item x="18"/>
        <item x="334"/>
        <item x="481"/>
        <item x="294"/>
        <item x="360"/>
        <item x="272"/>
        <item x="938"/>
        <item x="85"/>
        <item x="225"/>
        <item x="1000"/>
        <item x="952"/>
        <item x="669"/>
        <item x="526"/>
        <item x="305"/>
        <item x="732"/>
        <item x="89"/>
        <item x="988"/>
        <item x="403"/>
        <item x="896"/>
        <item x="441"/>
        <item x="475"/>
        <item x="589"/>
        <item x="747"/>
        <item x="891"/>
        <item x="253"/>
        <item x="917"/>
        <item x="354"/>
        <item x="430"/>
        <item x="915"/>
        <item x="650"/>
        <item x="437"/>
        <item x="142"/>
        <item x="738"/>
        <item x="223"/>
        <item x="957"/>
        <item x="897"/>
        <item x="76"/>
        <item x="124"/>
        <item x="888"/>
        <item x="439"/>
        <item x="869"/>
        <item x="909"/>
        <item x="278"/>
        <item x="919"/>
        <item x="266"/>
        <item x="331"/>
        <item x="221"/>
        <item x="337"/>
        <item x="307"/>
        <item x="48"/>
        <item x="596"/>
        <item x="248"/>
        <item x="867"/>
        <item x="887"/>
        <item x="355"/>
        <item x="667"/>
        <item x="283"/>
        <item x="827"/>
        <item x="110"/>
        <item x="729"/>
        <item x="654"/>
        <item x="265"/>
        <item x="960"/>
        <item x="428"/>
        <item x="58"/>
        <item x="341"/>
        <item x="969"/>
        <item x="184"/>
        <item x="358"/>
        <item x="908"/>
        <item x="659"/>
        <item x="920"/>
        <item x="127"/>
        <item x="649"/>
        <item x="956"/>
        <item x="592"/>
        <item x="220"/>
        <item x="309"/>
        <item x="429"/>
        <item x="885"/>
        <item x="971"/>
        <item x="471"/>
        <item x="673"/>
        <item x="906"/>
        <item x="88"/>
        <item x="714"/>
        <item x="134"/>
        <item x="280"/>
        <item x="901"/>
        <item x="950"/>
        <item x="962"/>
        <item x="651"/>
        <item x="348"/>
        <item x="674"/>
        <item x="133"/>
        <item x="55"/>
        <item x="8"/>
        <item x="748"/>
        <item x="598"/>
        <item x="345"/>
        <item x="262"/>
        <item x="281"/>
        <item x="95"/>
        <item x="222"/>
        <item x="912"/>
        <item x="73"/>
        <item x="78"/>
        <item x="966"/>
        <item x="274"/>
        <item x="427"/>
        <item x="62"/>
        <item x="529"/>
        <item x="86"/>
        <item x="749"/>
        <item x="712"/>
        <item x="568"/>
        <item x="440"/>
        <item x="904"/>
        <item x="608"/>
        <item x="271"/>
        <item x="301"/>
        <item x="954"/>
        <item x="898"/>
        <item x="482"/>
        <item x="525"/>
        <item x="677"/>
        <item x="254"/>
        <item x="590"/>
        <item x="2"/>
        <item x="214"/>
        <item x="291"/>
        <item x="754"/>
        <item x="844"/>
        <item x="707"/>
        <item x="92"/>
        <item x="445"/>
        <item x="302"/>
        <item x="967"/>
        <item x="47"/>
        <item x="741"/>
        <item x="972"/>
        <item x="90"/>
        <item x="292"/>
        <item x="0"/>
        <item x="276"/>
        <item x="656"/>
        <item x="42"/>
        <item x="910"/>
        <item x="860"/>
        <item x="943"/>
        <item x="958"/>
        <item x="308"/>
        <item x="224"/>
        <item x="443"/>
        <item x="570"/>
        <item x="743"/>
        <item x="524"/>
        <item x="13"/>
        <item x="653"/>
        <item x="311"/>
        <item x="5"/>
        <item x="43"/>
        <item x="611"/>
        <item x="79"/>
        <item x="181"/>
        <item x="432"/>
        <item x="709"/>
        <item x="894"/>
        <item x="739"/>
        <item x="1014"/>
        <item x="67"/>
        <item x="424"/>
        <item x="444"/>
        <item x="264"/>
        <item x="347"/>
        <item x="705"/>
        <item x="340"/>
        <item x="84"/>
        <item x="911"/>
        <item x="277"/>
        <item x="603"/>
        <item x="72"/>
        <item x="828"/>
        <item x="80"/>
        <item x="426"/>
        <item x="257"/>
        <item x="161"/>
        <item x="591"/>
        <item x="845"/>
        <item x="442"/>
        <item x="648"/>
        <item x="7"/>
        <item x="113"/>
        <item x="569"/>
        <item x="191"/>
        <item x="750"/>
        <item x="165"/>
        <item x="30"/>
        <item x="940"/>
        <item x="77"/>
        <item x="35"/>
        <item x="362"/>
        <item x="710"/>
        <item x="162"/>
        <item x="118"/>
        <item x="66"/>
        <item x="115"/>
        <item x="907"/>
        <item x="657"/>
        <item x="87"/>
        <item x="942"/>
        <item x="644"/>
        <item x="918"/>
        <item x="40"/>
        <item x="12"/>
        <item x="4"/>
        <item t="default"/>
      </items>
    </pivotField>
    <pivotField compact="0" numFmtId="179"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compact="0" showAll="0">
      <items count="7">
        <item x="3"/>
        <item x="1"/>
        <item x="2"/>
        <item x="4"/>
        <item x="5"/>
        <item x="0"/>
        <item t="default"/>
      </items>
    </pivotField>
    <pivotField compact="0" showAll="0">
      <items count="8">
        <item x="1"/>
        <item x="0"/>
        <item x="4"/>
        <item x="5"/>
        <item x="6"/>
        <item x="2"/>
        <item x="3"/>
        <item t="default"/>
      </items>
    </pivotField>
    <pivotField compact="0" numFmtId="178" showAll="0">
      <items count="5">
        <item x="0"/>
        <item x="1"/>
        <item x="2"/>
        <item x="3"/>
        <item t="default"/>
      </items>
    </pivotField>
    <pivotField compact="0" showAll="0">
      <items count="4">
        <item x="0"/>
        <item x="1"/>
        <item x="2"/>
        <item t="default"/>
      </items>
    </pivotField>
    <pivotField compact="0" showAll="0">
      <items count="4">
        <item x="2"/>
        <item x="1"/>
        <item x="0"/>
        <item t="default"/>
      </items>
    </pivotField>
    <pivotField compact="0" showAll="0">
      <items count="93">
        <item h="1" x="51"/>
        <item h="1" x="36"/>
        <item h="1" x="42"/>
        <item h="1" x="46"/>
        <item x="87"/>
        <item x="10"/>
        <item x="28"/>
        <item x="38"/>
        <item x="9"/>
        <item x="91"/>
        <item x="77"/>
        <item x="17"/>
        <item x="89"/>
        <item x="72"/>
        <item x="80"/>
        <item x="76"/>
        <item x="33"/>
        <item x="31"/>
        <item x="29"/>
        <item x="27"/>
        <item x="75"/>
        <item h="1" x="55"/>
        <item h="1" x="41"/>
        <item h="1" x="4"/>
        <item h="1" x="25"/>
        <item h="1" x="66"/>
        <item h="1" x="6"/>
        <item h="1" x="48"/>
        <item h="1" x="18"/>
        <item h="1" x="64"/>
        <item h="1" x="52"/>
        <item h="1" x="26"/>
        <item h="1" x="53"/>
        <item h="1" x="23"/>
        <item h="1" x="21"/>
        <item h="1" x="13"/>
        <item h="1" x="88"/>
        <item h="1" x="58"/>
        <item h="1" x="59"/>
        <item h="1" x="65"/>
        <item h="1" x="78"/>
        <item h="1" x="7"/>
        <item h="1" x="81"/>
        <item h="1" x="62"/>
        <item h="1" x="14"/>
        <item h="1" x="0"/>
        <item h="1" x="70"/>
        <item h="1" x="2"/>
        <item h="1" x="67"/>
        <item h="1" x="15"/>
        <item h="1" x="54"/>
        <item h="1" x="79"/>
        <item h="1" x="63"/>
        <item h="1" x="83"/>
        <item h="1" x="47"/>
        <item h="1" x="50"/>
        <item h="1" x="39"/>
        <item h="1" x="8"/>
        <item h="1" x="45"/>
        <item h="1" x="74"/>
        <item h="1" x="85"/>
        <item h="1" x="40"/>
        <item h="1" x="71"/>
        <item h="1" x="44"/>
        <item h="1" x="60"/>
        <item h="1" x="56"/>
        <item h="1" x="43"/>
        <item h="1" x="1"/>
        <item h="1" x="86"/>
        <item h="1" x="57"/>
        <item h="1" x="90"/>
        <item h="1" x="19"/>
        <item h="1" x="30"/>
        <item h="1" x="37"/>
        <item h="1" x="82"/>
        <item h="1" x="84"/>
        <item h="1" x="20"/>
        <item h="1" x="49"/>
        <item h="1" x="73"/>
        <item h="1" x="34"/>
        <item h="1" x="5"/>
        <item h="1" x="12"/>
        <item h="1" x="61"/>
        <item h="1" x="35"/>
        <item h="1" x="68"/>
        <item h="1" x="16"/>
        <item h="1" x="3"/>
        <item h="1" x="22"/>
        <item h="1" x="69"/>
        <item h="1" x="11"/>
        <item h="1" x="24"/>
        <item h="1" x="32"/>
        <item t="default"/>
      </items>
    </pivotField>
    <pivotField compact="0" numFmtId="180" showAll="0">
      <items count="1540">
        <item h="1" x="1144"/>
        <item h="1" x="491"/>
        <item h="1" x="1014"/>
        <item h="1" x="665"/>
        <item h="1" x="245"/>
        <item h="1" x="841"/>
        <item h="1" x="1109"/>
        <item h="1" x="1015"/>
        <item h="1" x="662"/>
        <item h="1" x="667"/>
        <item h="1" x="670"/>
        <item h="1" x="654"/>
        <item h="1" x="820"/>
        <item h="1" x="764"/>
        <item h="1" x="240"/>
        <item h="1" x="19"/>
        <item h="1" x="660"/>
        <item h="1" x="826"/>
        <item h="1" x="778"/>
        <item h="1" x="1221"/>
        <item h="1" x="718"/>
        <item h="1" x="671"/>
        <item h="1" x="626"/>
        <item h="1" x="773"/>
        <item h="1" x="719"/>
        <item h="1" x="768"/>
        <item h="1" x="715"/>
        <item h="1" x="1493"/>
        <item h="1" x="330"/>
        <item h="1" x="766"/>
        <item h="1" x="829"/>
        <item h="1" x="1001"/>
        <item h="1" x="771"/>
        <item h="1" x="707"/>
        <item h="1" x="825"/>
        <item h="1" x="1143"/>
        <item h="1" x="818"/>
        <item h="1" x="271"/>
        <item h="1" x="1506"/>
        <item h="1" x="1008"/>
        <item h="1" x="1000"/>
        <item h="1" x="1254"/>
        <item h="1" x="213"/>
        <item h="1" x="664"/>
        <item h="1" x="658"/>
        <item h="1" x="634"/>
        <item h="1" x="305"/>
        <item h="1" x="1110"/>
        <item h="1" x="316"/>
        <item h="1" x="701"/>
        <item h="1" x="85"/>
        <item h="1" x="657"/>
        <item h="1" x="706"/>
        <item h="1" x="997"/>
        <item h="1" x="1112"/>
        <item h="1" x="776"/>
        <item h="1" x="1248"/>
        <item h="1" x="1102"/>
        <item h="1" x="1107"/>
        <item h="1" x="1155"/>
        <item h="1" x="881"/>
        <item h="1" x="452"/>
        <item h="1" x="647"/>
        <item h="1" x="821"/>
        <item h="1" x="786"/>
        <item h="1" x="774"/>
        <item h="1" x="584"/>
        <item h="1" x="1355"/>
        <item h="1" x="1009"/>
        <item h="1" x="1324"/>
        <item h="1" x="1123"/>
        <item h="1" x="605"/>
        <item h="1" x="172"/>
        <item h="1" x="666"/>
        <item h="1" x="1114"/>
        <item h="1" x="1100"/>
        <item h="1" x="704"/>
        <item h="1" x="1223"/>
        <item h="1" x="524"/>
        <item h="1" x="1516"/>
        <item h="1" x="630"/>
        <item h="1" x="1295"/>
        <item h="1" x="705"/>
        <item x="837"/>
        <item h="1" x="310"/>
        <item h="1" x="374"/>
        <item h="1" x="769"/>
        <item x="668"/>
        <item h="1" x="937"/>
        <item h="1" x="709"/>
        <item x="999"/>
        <item h="1" x="167"/>
        <item h="1" x="133"/>
        <item h="1" x="779"/>
        <item h="1" x="311"/>
        <item h="1" x="1097"/>
        <item h="1" x="982"/>
        <item h="1" x="1004"/>
        <item h="1" x="661"/>
        <item h="1" x="246"/>
        <item h="1" x="1529"/>
        <item h="1" x="1166"/>
        <item h="1" x="656"/>
        <item h="1" x="1503"/>
        <item x="68"/>
        <item h="1" x="55"/>
        <item h="1" x="892"/>
        <item x="832"/>
        <item h="1" x="1119"/>
        <item h="1" x="819"/>
        <item h="1" x="511"/>
        <item h="1" x="767"/>
        <item h="1" x="1499"/>
        <item h="1" x="673"/>
        <item h="1" x="1321"/>
        <item h="1" x="583"/>
        <item x="895"/>
        <item h="1" x="350"/>
        <item x="782"/>
        <item h="1" x="619"/>
        <item h="1" x="663"/>
        <item h="1" x="1180"/>
        <item h="1" x="836"/>
        <item h="1" x="239"/>
        <item h="1" x="353"/>
        <item h="1" x="175"/>
        <item h="1" x="1101"/>
        <item x="339"/>
        <item x="1131"/>
        <item x="1220"/>
        <item x="772"/>
        <item h="1" x="566"/>
        <item x="928"/>
        <item h="1" x="518"/>
        <item h="1" x="528"/>
        <item h="1" x="1231"/>
        <item h="1" x="194"/>
        <item h="1" x="894"/>
        <item h="1" x="314"/>
        <item h="1" x="568"/>
        <item h="1" x="476"/>
        <item h="1" x="578"/>
        <item h="1" x="823"/>
        <item x="301"/>
        <item h="1" x="519"/>
        <item h="1" x="179"/>
        <item h="1" x="617"/>
        <item h="1" x="1002"/>
        <item h="1" x="576"/>
        <item h="1" x="319"/>
        <item h="1" x="594"/>
        <item h="1" x="178"/>
        <item h="1" x="1195"/>
        <item h="1" x="225"/>
        <item h="1" x="1099"/>
        <item h="1" x="540"/>
        <item h="1" x="1140"/>
        <item h="1" x="43"/>
        <item h="1" x="1181"/>
        <item h="1" x="234"/>
        <item h="1" x="770"/>
        <item h="1" x="783"/>
        <item h="1" x="731"/>
        <item h="1" x="198"/>
        <item h="1" x="1007"/>
        <item h="1" x="92"/>
        <item h="1" x="170"/>
        <item h="1" x="520"/>
        <item h="1" x="739"/>
        <item h="1" x="1492"/>
        <item h="1" x="762"/>
        <item h="1" x="993"/>
        <item h="1" x="627"/>
        <item h="1" x="1219"/>
        <item h="1" x="798"/>
        <item h="1" x="456"/>
        <item h="1" x="596"/>
        <item h="1" x="450"/>
        <item h="1" x="896"/>
        <item h="1" x="186"/>
        <item h="1" x="1279"/>
        <item h="1" x="1515"/>
        <item h="1" x="1302"/>
        <item h="1" x="831"/>
        <item h="1" x="650"/>
        <item h="1" x="1006"/>
        <item h="1" x="835"/>
        <item h="1" x="1098"/>
        <item h="1" x="1128"/>
        <item h="1" x="839"/>
        <item h="1" x="343"/>
        <item h="1" x="653"/>
        <item h="1" x="1266"/>
        <item h="1" x="1151"/>
        <item h="1" x="1019"/>
        <item h="1" x="1501"/>
        <item h="1" x="1518"/>
        <item h="1" x="1203"/>
        <item h="1" x="165"/>
        <item h="1" x="226"/>
        <item h="1" x="334"/>
        <item h="1" x="810"/>
        <item h="1" x="833"/>
        <item h="1" x="659"/>
        <item h="1" x="998"/>
        <item h="1" x="329"/>
        <item h="1" x="781"/>
        <item h="1" x="1226"/>
        <item h="1" x="182"/>
        <item h="1" x="912"/>
        <item h="1" x="18"/>
        <item h="1" x="620"/>
        <item h="1" x="465"/>
        <item h="1" x="591"/>
        <item h="1" x="906"/>
        <item h="1" x="1498"/>
        <item h="1" x="635"/>
        <item h="1" x="215"/>
        <item h="1" x="77"/>
        <item h="1" x="792"/>
        <item h="1" x="1530"/>
        <item h="1" x="678"/>
        <item h="1" x="827"/>
        <item h="1" x="393"/>
        <item h="1" x="258"/>
        <item h="1" x="809"/>
        <item h="1" x="289"/>
        <item h="1" x="1208"/>
        <item h="1" x="100"/>
        <item h="1" x="1508"/>
        <item h="1" x="1282"/>
        <item h="1" x="1296"/>
        <item h="1" x="765"/>
        <item h="1" x="293"/>
        <item h="1" x="276"/>
        <item h="1" x="1044"/>
        <item h="1" x="221"/>
        <item h="1" x="802"/>
        <item h="1" x="219"/>
        <item h="1" x="335"/>
        <item h="1" x="168"/>
        <item h="1" x="261"/>
        <item h="1" x="531"/>
        <item h="1" x="166"/>
        <item h="1" x="337"/>
        <item h="1" x="561"/>
        <item h="1" x="888"/>
        <item h="1" x="961"/>
        <item h="1" x="780"/>
        <item h="1" x="1115"/>
        <item h="1" x="947"/>
        <item h="1" x="151"/>
        <item h="1" x="1104"/>
        <item h="1" x="115"/>
        <item h="1" x="1111"/>
        <item h="1" x="794"/>
        <item h="1" x="419"/>
        <item h="1" x="996"/>
        <item h="1" x="1003"/>
        <item h="1" x="395"/>
        <item h="1" x="1139"/>
        <item h="1" x="408"/>
        <item h="1" x="828"/>
        <item h="1" x="878"/>
        <item h="1" x="1466"/>
        <item h="1" x="865"/>
        <item h="1" x="1060"/>
        <item h="1" x="748"/>
        <item h="1" x="1103"/>
        <item h="1" x="1113"/>
        <item h="1" x="306"/>
        <item h="1" x="367"/>
        <item h="1" x="822"/>
        <item h="1" x="536"/>
        <item h="1" x="169"/>
        <item h="1" x="625"/>
        <item h="1" x="604"/>
        <item h="1" x="348"/>
        <item h="1" x="1121"/>
        <item h="1" x="703"/>
        <item h="1" x="1051"/>
        <item h="1" x="1217"/>
        <item h="1" x="526"/>
        <item h="1" x="286"/>
        <item h="1" x="228"/>
        <item h="1" x="551"/>
        <item h="1" x="838"/>
        <item h="1" x="1168"/>
        <item h="1" x="921"/>
        <item h="1" x="824"/>
        <item h="1" x="482"/>
        <item h="1" x="628"/>
        <item h="1" x="777"/>
        <item h="1" x="1165"/>
        <item h="1" x="1210"/>
        <item h="1" x="899"/>
        <item h="1" x="388"/>
        <item h="1" x="176"/>
        <item h="1" x="847"/>
        <item h="1" x="815"/>
        <item h="1" x="296"/>
        <item h="1" x="217"/>
        <item h="1" x="799"/>
        <item h="1" x="185"/>
        <item h="1" x="1233"/>
        <item h="1" x="1129"/>
        <item h="1" x="1265"/>
        <item h="1" x="1513"/>
        <item h="1" x="195"/>
        <item h="1" x="110"/>
        <item h="1" x="95"/>
        <item h="1" x="537"/>
        <item h="1" x="1169"/>
        <item h="1" x="905"/>
        <item h="1" x="585"/>
        <item h="1" x="1192"/>
        <item h="1" x="457"/>
        <item h="1" x="749"/>
        <item h="1" x="510"/>
        <item h="1" x="224"/>
        <item h="1" x="726"/>
        <item h="1" x="790"/>
        <item h="1" x="555"/>
        <item h="1" x="834"/>
        <item h="1" x="1314"/>
        <item h="1" x="995"/>
        <item h="1" x="1029"/>
        <item h="1" x="466"/>
        <item h="1" x="1033"/>
        <item h="1" x="392"/>
        <item h="1" x="1485"/>
        <item h="1" x="459"/>
        <item h="1" x="356"/>
        <item h="1" x="1045"/>
        <item h="1" x="1120"/>
        <item h="1" x="256"/>
        <item h="1" x="1411"/>
        <item h="1" x="514"/>
        <item h="1" x="1496"/>
        <item h="1" x="427"/>
        <item h="1" x="791"/>
        <item h="1" x="1495"/>
        <item h="1" x="920"/>
        <item h="1" x="553"/>
        <item h="1" x="260"/>
        <item h="1" x="554"/>
        <item h="1" x="532"/>
        <item h="1" x="1149"/>
        <item h="1" x="569"/>
        <item h="1" x="1043"/>
        <item h="1" x="496"/>
        <item h="1" x="105"/>
        <item h="1" x="318"/>
        <item h="1" x="552"/>
        <item h="1" x="994"/>
        <item h="1" x="711"/>
        <item h="1" x="1532"/>
        <item h="1" x="269"/>
        <item h="1" x="1106"/>
        <item h="1" x="300"/>
        <item h="1" x="1531"/>
        <item h="1" x="956"/>
        <item h="1" x="1005"/>
        <item h="1" x="1170"/>
        <item h="1" x="268"/>
        <item h="1" x="1141"/>
        <item h="1" x="655"/>
        <item h="1" x="1132"/>
        <item h="1" x="411"/>
        <item h="1" x="1247"/>
        <item h="1" x="830"/>
        <item h="1" x="884"/>
        <item h="1" x="1134"/>
        <item h="1" x="697"/>
        <item h="1" x="1146"/>
        <item h="1" x="1230"/>
        <item h="1" x="560"/>
        <item h="1" x="907"/>
        <item h="1" x="1039"/>
        <item h="1" x="1012"/>
        <item h="1" x="615"/>
        <item h="1" x="1229"/>
        <item h="1" x="1521"/>
        <item h="1" x="577"/>
        <item h="1" x="1137"/>
        <item h="1" x="229"/>
        <item h="1" x="700"/>
        <item h="1" x="1105"/>
        <item h="1" x="259"/>
        <item h="1" x="586"/>
        <item h="1" x="714"/>
        <item h="1" x="62"/>
        <item h="1" x="918"/>
        <item h="1" x="1108"/>
        <item h="1" x="1424"/>
        <item h="1" x="447"/>
        <item h="1" x="162"/>
        <item h="1" x="916"/>
        <item h="1" x="159"/>
        <item h="1" x="214"/>
        <item h="1" x="1419"/>
        <item h="1" x="1452"/>
        <item h="1" x="117"/>
        <item h="1" x="1339"/>
        <item h="1" x="1133"/>
        <item h="1" x="952"/>
        <item h="1" x="967"/>
        <item h="1" x="633"/>
        <item h="1" x="93"/>
        <item h="1" x="1224"/>
        <item h="1" x="710"/>
        <item h="1" x="1234"/>
        <item h="1" x="442"/>
        <item h="1" x="775"/>
        <item h="1" x="307"/>
        <item h="1" x="302"/>
        <item h="1" x="407"/>
        <item h="1" x="1425"/>
        <item h="1" x="1251"/>
        <item h="1" x="1205"/>
        <item h="1" x="391"/>
        <item h="1" x="885"/>
        <item h="1" x="725"/>
        <item h="1" x="851"/>
        <item h="1" x="785"/>
        <item h="1" x="505"/>
        <item h="1" x="1199"/>
        <item h="1" x="171"/>
        <item h="1" x="1239"/>
        <item h="1" x="263"/>
        <item h="1" x="1246"/>
        <item h="1" x="91"/>
        <item h="1" x="383"/>
        <item h="1" x="332"/>
        <item h="1" x="672"/>
        <item h="1" x="1525"/>
        <item h="1" x="1153"/>
        <item h="1" x="1042"/>
        <item h="1" x="84"/>
        <item h="1" x="1022"/>
        <item h="1" x="341"/>
        <item h="1" x="51"/>
        <item h="1" x="897"/>
        <item h="1" x="1507"/>
        <item h="1" x="1294"/>
        <item h="1" x="278"/>
        <item h="1" x="1118"/>
        <item h="1" x="721"/>
        <item h="1" x="621"/>
        <item h="1" x="1426"/>
        <item h="1" x="206"/>
        <item h="1" x="497"/>
        <item h="1" x="231"/>
        <item h="1" x="523"/>
        <item h="1" x="1502"/>
        <item h="1" x="959"/>
        <item h="1" x="720"/>
        <item h="1" x="1523"/>
        <item h="1" x="682"/>
        <item h="1" x="683"/>
        <item h="1" x="944"/>
        <item h="1" x="971"/>
        <item h="1" x="292"/>
        <item h="1" x="401"/>
        <item h="1" x="587"/>
        <item h="1" x="1086"/>
        <item h="1" x="813"/>
        <item h="1" x="257"/>
        <item h="1" x="1290"/>
        <item h="1" x="1228"/>
        <item h="1" x="1312"/>
        <item h="1" x="472"/>
        <item h="1" x="588"/>
        <item h="1" x="1405"/>
        <item h="1" x="309"/>
        <item h="1" x="806"/>
        <item h="1" x="1187"/>
        <item h="1" x="1227"/>
        <item h="1" x="347"/>
        <item h="1" x="1494"/>
        <item h="1" x="440"/>
        <item h="1" x="1504"/>
        <item h="1" x="358"/>
        <item h="1" x="220"/>
        <item h="1" x="468"/>
        <item h="1" x="349"/>
        <item h="1" x="1351"/>
        <item h="1" x="1091"/>
        <item h="1" x="803"/>
        <item h="1" x="70"/>
        <item h="1" x="340"/>
        <item h="1" x="936"/>
        <item h="1" x="859"/>
        <item h="1" x="1343"/>
        <item h="1" x="883"/>
        <item h="1" x="1225"/>
        <item h="1" x="59"/>
        <item h="1" x="909"/>
        <item h="1" x="949"/>
        <item h="1" x="1431"/>
        <item h="1" x="479"/>
        <item h="1" x="545"/>
        <item h="1" x="377"/>
        <item h="1" x="1369"/>
        <item h="1" x="902"/>
        <item h="1" x="1185"/>
        <item h="1" x="534"/>
        <item h="1" x="1289"/>
        <item h="1" x="498"/>
        <item h="1" x="1093"/>
        <item h="1" x="680"/>
        <item h="1" x="1241"/>
        <item h="1" x="1533"/>
        <item h="1" x="1262"/>
        <item h="1" x="201"/>
        <item h="1" x="1361"/>
        <item h="1" x="1130"/>
        <item h="1" x="1308"/>
        <item h="1" x="913"/>
        <item h="1" x="515"/>
        <item h="1" x="96"/>
        <item h="1" x="1441"/>
        <item h="1" x="1016"/>
        <item h="1" x="581"/>
        <item h="1" x="1298"/>
        <item h="1" x="298"/>
        <item h="1" x="573"/>
        <item h="1" x="1204"/>
        <item h="1" x="866"/>
        <item h="1" x="592"/>
        <item h="1" x="1304"/>
        <item h="1" x="122"/>
        <item h="1" x="130"/>
        <item h="1" x="1030"/>
        <item h="1" x="56"/>
        <item h="1" x="1084"/>
        <item h="1" x="1275"/>
        <item h="1" x="969"/>
        <item h="1" x="1256"/>
        <item h="1" x="973"/>
        <item h="1" x="522"/>
        <item h="1" x="1020"/>
        <item h="1" x="950"/>
        <item h="1" x="389"/>
        <item h="1" x="1240"/>
        <item h="1" x="978"/>
        <item h="1" x="299"/>
        <item h="1" x="373"/>
        <item h="1" x="579"/>
        <item h="1" x="862"/>
        <item h="1" x="911"/>
        <item h="1" x="1157"/>
        <item h="1" x="939"/>
        <item h="1" x="1062"/>
        <item h="1" x="1318"/>
        <item h="1" x="303"/>
        <item h="1" x="41"/>
        <item h="1" x="1397"/>
        <item h="1" x="1059"/>
        <item h="1" x="853"/>
        <item h="1" x="1058"/>
        <item h="1" x="648"/>
        <item h="1" x="1524"/>
        <item h="1" x="549"/>
        <item h="1" x="957"/>
        <item h="1" x="331"/>
        <item h="1" x="397"/>
        <item h="1" x="542"/>
        <item h="1" x="1412"/>
        <item h="1" x="976"/>
        <item h="1" x="345"/>
        <item h="1" x="988"/>
        <item h="1" x="603"/>
        <item h="1" x="464"/>
        <item h="1" x="910"/>
        <item h="1" x="1390"/>
        <item h="1" x="371"/>
        <item h="1" x="379"/>
        <item h="1" x="1235"/>
        <item h="1" x="1064"/>
        <item h="1" x="632"/>
        <item h="1" x="317"/>
        <item h="1" x="1489"/>
        <item h="1" x="129"/>
        <item h="1" x="1326"/>
        <item h="1" x="1371"/>
        <item h="1" x="90"/>
        <item h="1" x="1232"/>
        <item h="1" x="1263"/>
        <item h="1" x="1422"/>
        <item h="1" x="1147"/>
        <item h="1" x="290"/>
        <item h="1" x="155"/>
        <item h="1" x="1257"/>
        <item h="1" x="886"/>
        <item h="1" x="503"/>
        <item h="1" x="370"/>
        <item h="1" x="1510"/>
        <item h="1" x="723"/>
        <item h="1" x="1479"/>
        <item h="1" x="1066"/>
        <item h="1" x="1057"/>
        <item h="1" x="283"/>
        <item h="1" x="733"/>
        <item h="1" x="1127"/>
        <item h="1" x="876"/>
        <item h="1" x="558"/>
        <item h="1" x="1520"/>
        <item h="1" x="857"/>
        <item h="1" x="273"/>
        <item h="1" x="1534"/>
        <item h="1" x="525"/>
        <item h="1" x="134"/>
        <item h="1" x="547"/>
        <item h="1" x="1337"/>
        <item h="1" x="265"/>
        <item h="1" x="696"/>
        <item h="1" x="1250"/>
        <item h="1" x="297"/>
        <item h="1" x="814"/>
        <item h="1" x="840"/>
        <item h="1" x="1190"/>
        <item h="1" x="535"/>
        <item h="1" x="690"/>
        <item h="1" x="1160"/>
        <item h="1" x="27"/>
        <item h="1" x="209"/>
        <item h="1" x="1325"/>
        <item h="1" x="1301"/>
        <item h="1" x="1526"/>
        <item h="1" x="1428"/>
        <item h="1" x="158"/>
        <item h="1" x="871"/>
        <item h="1" x="1538"/>
        <item h="1" x="575"/>
        <item h="1" x="1176"/>
        <item h="1" x="405"/>
        <item h="1" x="1287"/>
        <item h="1" x="934"/>
        <item h="1" x="161"/>
        <item h="1" x="1056"/>
        <item h="1" x="118"/>
        <item h="1" x="267"/>
        <item h="1" x="548"/>
        <item h="1" x="712"/>
        <item h="1" x="192"/>
        <item h="1" x="264"/>
        <item h="1" x="1175"/>
        <item h="1" x="1011"/>
        <item h="1" x="1500"/>
        <item h="1" x="1159"/>
        <item h="1" x="255"/>
        <item h="1" x="870"/>
        <item h="1" x="597"/>
        <item h="1" x="745"/>
        <item h="1" x="398"/>
        <item h="1" x="1360"/>
        <item h="1" x="406"/>
        <item h="1" x="237"/>
        <item h="1" x="294"/>
        <item h="1" x="898"/>
        <item h="1" x="804"/>
        <item h="1" x="929"/>
        <item h="1" x="1211"/>
        <item h="1" x="8"/>
        <item h="1" x="727"/>
        <item h="1" x="974"/>
        <item h="1" x="424"/>
        <item h="1" x="1347"/>
        <item h="1" x="460"/>
        <item h="1" x="1173"/>
        <item h="1" x="713"/>
        <item h="1" x="1082"/>
        <item h="1" x="760"/>
        <item h="1" x="461"/>
        <item h="1" x="808"/>
        <item h="1" x="144"/>
        <item h="1" x="1519"/>
        <item h="1" x="513"/>
        <item h="1" x="1392"/>
        <item h="1" x="679"/>
        <item h="1" x="1512"/>
        <item h="1" x="1178"/>
        <item h="1" x="262"/>
        <item h="1" x="738"/>
        <item h="1" x="521"/>
        <item h="1" x="38"/>
        <item h="1" x="1216"/>
        <item h="1" x="313"/>
        <item h="1" x="1439"/>
        <item h="1" x="250"/>
        <item h="1" x="890"/>
        <item h="1" x="1125"/>
        <item h="1" x="351"/>
        <item h="1" x="1032"/>
        <item h="1" x="1467"/>
        <item h="1" x="308"/>
        <item h="1" x="642"/>
        <item h="1" x="533"/>
        <item h="1" x="631"/>
        <item h="1" x="355"/>
        <item h="1" x="1273"/>
        <item h="1" x="801"/>
        <item h="1" x="455"/>
        <item h="1" x="716"/>
        <item h="1" x="45"/>
        <item h="1" x="282"/>
        <item h="1" x="1535"/>
        <item h="1" x="1334"/>
        <item h="1" x="926"/>
        <item h="1" x="386"/>
        <item h="1" x="637"/>
        <item h="1" x="1201"/>
        <item h="1" x="284"/>
        <item h="1" x="494"/>
        <item h="1" x="623"/>
        <item h="1" x="1258"/>
        <item h="1" x="320"/>
        <item h="1" x="380"/>
        <item h="1" x="426"/>
        <item h="1" x="861"/>
        <item h="1" x="1478"/>
        <item h="1" x="1021"/>
        <item h="1" x="610"/>
        <item h="1" x="101"/>
        <item h="1" x="1378"/>
        <item h="1" x="698"/>
        <item h="1" x="230"/>
        <item h="1" x="692"/>
        <item h="1" x="387"/>
        <item h="1" x="1142"/>
        <item h="1" x="218"/>
        <item h="1" x="737"/>
        <item h="1" x="243"/>
        <item h="1" x="412"/>
        <item h="1" x="448"/>
        <item h="1" x="444"/>
        <item h="1" x="1061"/>
        <item h="1" x="574"/>
        <item h="1" x="600"/>
        <item h="1" x="233"/>
        <item h="1" x="613"/>
        <item h="1" x="744"/>
        <item h="1" x="1528"/>
        <item h="1" x="72"/>
        <item h="1" x="1193"/>
        <item h="1" x="864"/>
        <item h="1" x="1267"/>
        <item h="1" x="236"/>
        <item h="1" x="983"/>
        <item h="1" x="590"/>
        <item h="1" x="1183"/>
        <item h="1" x="1335"/>
        <item h="1" x="61"/>
        <item h="1" x="94"/>
        <item h="1" x="11"/>
        <item h="1" x="1497"/>
        <item h="1" x="160"/>
        <item h="1" x="958"/>
        <item h="1" x="1194"/>
        <item h="1" x="157"/>
        <item h="1" x="687"/>
        <item h="1" x="717"/>
        <item h="1" x="375"/>
        <item h="1" x="1398"/>
        <item h="1" x="593"/>
        <item h="1" x="517"/>
        <item h="1" x="1161"/>
        <item h="1" x="1375"/>
        <item h="1" x="1136"/>
        <item h="1" x="1116"/>
        <item h="1" x="1402"/>
        <item h="1" x="436"/>
        <item h="1" x="222"/>
        <item h="1" x="747"/>
        <item h="1" x="1135"/>
        <item h="1" x="1162"/>
        <item h="1" x="868"/>
        <item h="1" x="874"/>
        <item h="1" x="985"/>
        <item h="1" x="1264"/>
        <item h="1" x="1122"/>
        <item h="1" x="599"/>
        <item h="1" x="1306"/>
        <item h="1" x="483"/>
        <item h="1" x="933"/>
        <item h="1" x="873"/>
        <item h="1" x="506"/>
        <item h="1" x="811"/>
        <item h="1" x="708"/>
        <item h="1" x="789"/>
        <item h="1" x="891"/>
        <item h="1" x="1150"/>
        <item h="1" x="1394"/>
        <item h="1" x="304"/>
        <item h="1" x="156"/>
        <item h="1" x="541"/>
        <item h="1" x="1476"/>
        <item h="1" x="173"/>
        <item h="1" x="1083"/>
        <item h="1" x="645"/>
        <item h="1" x="572"/>
        <item h="1" x="1018"/>
        <item h="1" x="1382"/>
        <item h="1" x="1346"/>
        <item h="1" x="227"/>
        <item h="1" x="1446"/>
        <item h="1" x="571"/>
        <item h="1" x="688"/>
        <item h="1" x="624"/>
        <item h="1" x="21"/>
        <item h="1" x="1081"/>
        <item h="1" x="1408"/>
        <item h="1" x="1189"/>
        <item h="1" x="955"/>
        <item h="1" x="735"/>
        <item h="1" x="145"/>
        <item h="1" x="702"/>
        <item h="1" x="1517"/>
        <item h="1" x="1177"/>
        <item h="1" x="563"/>
        <item h="1" x="1138"/>
        <item h="1" x="174"/>
        <item h="1" x="1383"/>
        <item h="1" x="903"/>
        <item h="1" x="602"/>
        <item h="1" x="1186"/>
        <item h="1" x="946"/>
        <item h="1" x="927"/>
        <item h="1" x="1464"/>
        <item h="1" x="1260"/>
        <item h="1" x="788"/>
        <item h="1" x="434"/>
        <item h="1" x="1152"/>
        <item h="1" x="1253"/>
        <item h="1" x="1377"/>
        <item h="1" x="849"/>
        <item h="1" x="163"/>
        <item h="1" x="724"/>
        <item h="1" x="202"/>
        <item h="1" x="74"/>
        <item h="1" x="1475"/>
        <item h="1" x="137"/>
        <item h="1" x="1261"/>
        <item h="1" x="1075"/>
        <item h="1" x="699"/>
        <item h="1" x="1090"/>
        <item h="1" x="1505"/>
        <item h="1" x="1034"/>
        <item h="1" x="1218"/>
        <item h="1" x="638"/>
        <item h="1" x="484"/>
        <item h="1" x="512"/>
        <item h="1" x="1285"/>
        <item h="1" x="413"/>
        <item h="1" x="1357"/>
        <item h="1" x="1477"/>
        <item h="1" x="454"/>
        <item h="1" x="1437"/>
        <item h="1" x="516"/>
        <item h="1" x="223"/>
        <item h="1" x="1222"/>
        <item h="1" x="938"/>
        <item h="1" x="960"/>
        <item h="1" x="80"/>
        <item h="1" x="6"/>
        <item h="1" x="1372"/>
        <item h="1" x="480"/>
        <item h="1" x="53"/>
        <item h="1" x="437"/>
        <item h="1" x="1486"/>
        <item h="1" x="152"/>
        <item h="1" x="71"/>
        <item h="1" x="945"/>
        <item h="1" x="153"/>
        <item h="1" x="390"/>
        <item h="1" x="729"/>
        <item h="1" x="123"/>
        <item h="1" x="1491"/>
        <item h="1" x="111"/>
        <item h="1" x="622"/>
        <item h="1" x="1340"/>
        <item h="1" x="740"/>
        <item h="1" x="1252"/>
        <item h="1" x="433"/>
        <item h="1" x="266"/>
        <item h="1" x="1305"/>
        <item h="1" x="1299"/>
        <item h="1" x="1154"/>
        <item h="1" x="1472"/>
        <item h="1" x="275"/>
        <item h="1" x="908"/>
        <item h="1" x="1450"/>
        <item h="1" x="529"/>
        <item h="1" x="1300"/>
        <item h="1" x="399"/>
        <item h="1" x="539"/>
        <item h="1" x="67"/>
        <item h="1" x="606"/>
        <item h="1" x="636"/>
        <item h="1" x="1387"/>
        <item h="1" x="1341"/>
        <item h="1" x="1511"/>
        <item h="1" x="565"/>
        <item h="1" x="254"/>
        <item h="1" x="372"/>
        <item h="1" x="1071"/>
        <item h="1" x="1462"/>
        <item h="1" x="98"/>
        <item h="1" x="1362"/>
        <item h="1" x="924"/>
        <item h="1" x="463"/>
        <item h="1" x="451"/>
        <item h="1" x="23"/>
        <item h="1" x="1309"/>
        <item h="1" x="800"/>
        <item h="1" x="856"/>
        <item h="1" x="797"/>
        <item h="1" x="324"/>
        <item h="1" x="1385"/>
        <item h="1" x="499"/>
        <item h="1" x="139"/>
        <item h="1" x="287"/>
        <item h="1" x="629"/>
        <item h="1" x="1048"/>
        <item h="1" x="1124"/>
        <item h="1" x="759"/>
        <item h="1" x="1291"/>
        <item h="1" x="57"/>
        <item h="1" x="1163"/>
        <item h="1" x="458"/>
        <item h="1" x="1184"/>
        <item h="1" x="344"/>
        <item h="1" x="743"/>
        <item h="1" x="612"/>
        <item h="1" x="684"/>
        <item h="1" x="530"/>
        <item h="1" x="203"/>
        <item h="1" x="1310"/>
        <item h="1" x="1196"/>
        <item h="1" x="1374"/>
        <item h="1" x="252"/>
        <item h="1" x="750"/>
        <item h="1" x="1404"/>
        <item h="1" x="338"/>
        <item h="1" x="1481"/>
        <item h="1" x="1243"/>
        <item h="1" x="1320"/>
        <item h="1" x="421"/>
        <item h="1" x="641"/>
        <item h="1" x="279"/>
        <item h="1" x="1276"/>
        <item h="1" x="1443"/>
        <item h="1" x="1074"/>
        <item h="1" x="618"/>
        <item h="1" x="601"/>
        <item h="1" x="1490"/>
        <item h="1" x="291"/>
        <item h="1" x="986"/>
        <item h="1" x="807"/>
        <item h="1" x="1418"/>
        <item h="1" x="102"/>
        <item h="1" x="1527"/>
        <item h="1" x="469"/>
        <item h="1" x="69"/>
        <item h="1" x="1407"/>
        <item h="1" x="1172"/>
        <item h="1" x="562"/>
        <item h="1" x="1212"/>
        <item h="1" x="527"/>
        <item h="1" x="116"/>
        <item h="1" x="490"/>
        <item h="1" x="368"/>
        <item h="1" x="36"/>
        <item h="1" x="1356"/>
        <item h="1" x="249"/>
        <item h="1" x="1188"/>
        <item h="1" x="78"/>
        <item h="1" x="1330"/>
        <item h="1" x="1245"/>
        <item h="1" x="977"/>
        <item h="1" x="550"/>
        <item h="1" x="354"/>
        <item h="1" x="1237"/>
        <item h="1" x="1399"/>
        <item h="1" x="416"/>
        <item h="1" x="1342"/>
        <item h="1" x="689"/>
        <item h="1" x="1482"/>
        <item h="1" x="1331"/>
        <item h="1" x="1080"/>
        <item h="1" x="643"/>
        <item h="1" x="901"/>
        <item h="1" x="793"/>
        <item h="1" x="42"/>
        <item h="1" x="181"/>
        <item h="1" x="384"/>
        <item h="1" x="1041"/>
        <item h="1" x="431"/>
        <item h="1" x="812"/>
        <item h="1" x="1"/>
        <item h="1" x="1445"/>
        <item h="1" x="428"/>
        <item h="1" x="109"/>
        <item h="1" x="1292"/>
        <item h="1" x="598"/>
        <item h="1" x="107"/>
        <item h="1" x="1182"/>
        <item h="1" x="914"/>
        <item h="1" x="376"/>
        <item h="1" x="35"/>
        <item h="1" x="919"/>
        <item h="1" x="1319"/>
        <item h="1" x="321"/>
        <item h="1" x="248"/>
        <item h="1" x="1036"/>
        <item h="1" x="991"/>
        <item h="1" x="1191"/>
        <item h="1" x="12"/>
        <item h="1" x="1156"/>
        <item h="1" x="686"/>
        <item h="1" x="543"/>
        <item h="1" x="295"/>
        <item h="1" x="728"/>
        <item h="1" x="65"/>
        <item h="1" x="1454"/>
        <item h="1" x="462"/>
        <item h="1" x="1269"/>
        <item h="1" x="846"/>
        <item h="1" x="805"/>
        <item h="1" x="758"/>
        <item h="1" x="1315"/>
        <item h="1" x="1332"/>
        <item h="1" x="487"/>
        <item h="1" x="1297"/>
        <item h="1" x="120"/>
        <item h="1" x="415"/>
        <item h="1" x="1038"/>
        <item h="1" x="251"/>
        <item h="1" x="280"/>
        <item h="1" x="975"/>
        <item h="1" x="104"/>
        <item h="1" x="989"/>
        <item h="1" x="432"/>
        <item h="1" x="675"/>
        <item h="1" x="1171"/>
        <item h="1" x="60"/>
        <item h="1" x="467"/>
        <item h="1" x="1255"/>
        <item h="1" x="364"/>
        <item h="1" x="99"/>
        <item h="1" x="1317"/>
        <item h="1" x="1463"/>
        <item h="1" x="342"/>
        <item h="1" x="0"/>
        <item h="1" x="1094"/>
        <item h="1" x="889"/>
        <item h="1" x="1393"/>
        <item h="1" x="1442"/>
        <item h="1" x="1456"/>
        <item h="1" x="923"/>
        <item h="1" x="1484"/>
        <item h="1" x="904"/>
        <item h="1" x="742"/>
        <item h="1" x="1288"/>
        <item h="1" x="24"/>
        <item h="1" x="207"/>
        <item h="1" x="1158"/>
        <item h="1" x="285"/>
        <item h="1" x="595"/>
        <item h="1" x="270"/>
        <item h="1" x="446"/>
        <item h="1" x="1381"/>
        <item h="1" x="1047"/>
        <item h="1" x="1063"/>
        <item h="1" x="1468"/>
        <item h="1" x="611"/>
        <item h="1" x="382"/>
        <item h="1" x="589"/>
        <item h="1" x="1344"/>
        <item h="1" x="1348"/>
        <item h="1" x="63"/>
        <item h="1" x="966"/>
        <item h="1" x="893"/>
        <item h="1" x="1420"/>
        <item h="1" x="980"/>
        <item h="1" x="1465"/>
        <item h="1" x="1473"/>
        <item h="1" x="346"/>
        <item h="1" x="1455"/>
        <item h="1" x="1421"/>
        <item h="1" x="691"/>
        <item h="1" x="732"/>
        <item h="1" x="1403"/>
        <item h="1" x="327"/>
        <item h="1" x="784"/>
        <item h="1" x="1164"/>
        <item h="1" x="50"/>
        <item h="1" x="394"/>
        <item h="1" x="616"/>
        <item h="1" x="1365"/>
        <item h="1" x="900"/>
        <item h="1" x="418"/>
        <item h="1" x="32"/>
        <item h="1" x="979"/>
        <item h="1" x="1522"/>
        <item h="1" x="990"/>
        <item h="1" x="438"/>
        <item h="1" x="114"/>
        <item h="1" x="1430"/>
        <item h="1" x="1384"/>
        <item h="1" x="475"/>
        <item h="1" x="915"/>
        <item h="1" x="1327"/>
        <item h="1" x="1322"/>
        <item h="1" x="315"/>
        <item h="1" x="435"/>
        <item h="1" x="925"/>
        <item h="1" x="1202"/>
        <item h="1" x="199"/>
        <item h="1" x="87"/>
        <item h="1" x="422"/>
        <item h="1" x="1179"/>
        <item h="1" x="235"/>
        <item h="1" x="54"/>
        <item h="1" x="164"/>
        <item h="1" x="1197"/>
        <item h="1" x="964"/>
        <item h="1" x="312"/>
        <item h="1" x="112"/>
        <item h="1" x="843"/>
        <item h="1" x="244"/>
        <item h="1" x="559"/>
        <item h="1" x="1359"/>
        <item h="1" x="544"/>
        <item h="1" x="272"/>
        <item h="1" x="1283"/>
        <item h="1" x="948"/>
        <item h="1" x="481"/>
        <item h="1" x="247"/>
        <item h="1" x="1386"/>
        <item h="1" x="1272"/>
        <item h="1" x="734"/>
        <item h="1" x="410"/>
        <item h="1" x="1087"/>
        <item h="1" x="47"/>
        <item h="1" x="1368"/>
        <item h="1" x="1328"/>
        <item h="1" x="86"/>
        <item h="1" x="1366"/>
        <item h="1" x="867"/>
        <item h="1" x="190"/>
        <item h="1" x="453"/>
        <item h="1" x="1259"/>
        <item h="1" x="429"/>
        <item h="1" x="189"/>
        <item h="1" x="1417"/>
        <item h="1" x="1148"/>
        <item h="1" x="385"/>
        <item h="1" x="1488"/>
        <item h="1" x="1050"/>
        <item h="1" x="685"/>
        <item h="1" x="674"/>
        <item h="1" x="449"/>
        <item h="1" x="177"/>
        <item h="1" x="854"/>
        <item h="1" x="1457"/>
        <item h="1" x="281"/>
        <item h="1" x="1198"/>
        <item h="1" x="1433"/>
        <item h="1" x="1423"/>
        <item h="1" x="962"/>
        <item h="1" x="1126"/>
        <item h="1" x="1010"/>
        <item h="1" x="1052"/>
        <item h="1" x="1174"/>
        <item h="1" x="942"/>
        <item h="1" x="504"/>
        <item h="1" x="253"/>
        <item h="1" x="1249"/>
        <item h="1" x="1474"/>
        <item h="1" x="103"/>
        <item h="1" x="869"/>
        <item h="1" x="1410"/>
        <item h="1" x="288"/>
        <item h="1" x="842"/>
        <item h="1" x="1395"/>
        <item h="1" x="730"/>
        <item h="1" x="30"/>
        <item h="1" x="232"/>
        <item h="1" x="570"/>
        <item h="1" x="1461"/>
        <item h="1" x="20"/>
        <item h="1" x="1536"/>
        <item h="1" x="1024"/>
        <item h="1" x="1277"/>
        <item h="1" x="1238"/>
        <item h="1" x="1376"/>
        <item h="1" x="1145"/>
        <item h="1" x="121"/>
        <item h="1" x="1388"/>
        <item h="1" x="1470"/>
        <item h="1" x="1065"/>
        <item h="1" x="917"/>
        <item h="1" x="1293"/>
        <item h="1" x="968"/>
        <item h="1" x="88"/>
        <item h="1" x="1451"/>
        <item h="1" x="1040"/>
        <item h="1" x="1363"/>
        <item h="1" x="146"/>
        <item h="1" x="381"/>
        <item h="1" x="795"/>
        <item h="1" x="1268"/>
        <item h="1" x="187"/>
        <item h="1" x="582"/>
        <item h="1" x="848"/>
        <item h="1" x="1453"/>
        <item h="1" x="1414"/>
        <item h="1" x="212"/>
        <item h="1" x="1413"/>
        <item h="1" x="608"/>
        <item h="1" x="73"/>
        <item h="1" x="1447"/>
        <item h="1" x="984"/>
        <item h="1" x="1236"/>
        <item h="1" x="439"/>
        <item h="1" x="142"/>
        <item h="1" x="83"/>
        <item h="1" x="538"/>
        <item h="1" x="1345"/>
        <item h="1" x="1270"/>
        <item h="1" x="1117"/>
        <item h="1" x="323"/>
        <item h="1" x="48"/>
        <item h="1" x="1409"/>
        <item h="1" x="877"/>
        <item h="1" x="644"/>
        <item h="1" x="756"/>
        <item h="1" x="1067"/>
        <item h="1" x="1352"/>
        <item h="1" x="852"/>
        <item h="1" x="1214"/>
        <item h="1" x="369"/>
        <item h="1" x="325"/>
        <item h="1" x="1244"/>
        <item h="1" x="1483"/>
        <item h="1" x="363"/>
        <item h="1" x="963"/>
        <item h="1" x="981"/>
        <item h="1" x="336"/>
        <item h="1" x="489"/>
        <item h="1" x="746"/>
        <item h="1" x="1316"/>
        <item h="1" x="362"/>
        <item h="1" x="193"/>
        <item h="1" x="108"/>
        <item h="1" x="1364"/>
        <item h="1" x="567"/>
        <item h="1" x="140"/>
        <item h="1" x="238"/>
        <item h="1" x="1460"/>
        <item h="1" x="761"/>
        <item h="1" x="493"/>
        <item h="1" x="113"/>
        <item h="1" x="882"/>
        <item h="1" x="216"/>
        <item h="1" x="333"/>
        <item h="1" x="1049"/>
        <item h="1" x="488"/>
        <item h="1" x="972"/>
        <item h="1" x="274"/>
        <item h="1" x="1459"/>
        <item h="1" x="13"/>
        <item h="1" x="200"/>
        <item h="1" x="425"/>
        <item h="1" x="741"/>
        <item h="1" x="1167"/>
        <item h="1" x="414"/>
        <item h="1" x="66"/>
        <item h="1" x="357"/>
        <item h="1" x="1380"/>
        <item h="1" x="1471"/>
        <item h="1" x="546"/>
        <item h="1" x="607"/>
        <item h="1" x="1444"/>
        <item h="1" x="378"/>
        <item h="1" x="360"/>
        <item h="1" x="1440"/>
        <item h="1" x="352"/>
        <item h="1" x="1026"/>
        <item h="1" x="736"/>
        <item h="1" x="1280"/>
        <item h="1" x="1031"/>
        <item h="1" x="1286"/>
        <item h="1" x="880"/>
        <item h="1" x="5"/>
        <item h="1" x="361"/>
        <item h="1" x="89"/>
        <item h="1" x="564"/>
        <item h="1" x="1338"/>
        <item h="1" x="887"/>
        <item h="1" x="502"/>
        <item h="1" x="693"/>
        <item h="1" x="29"/>
        <item h="1" x="640"/>
        <item h="1" x="409"/>
        <item h="1" x="858"/>
        <item h="1" x="1053"/>
        <item h="1" x="1429"/>
        <item h="1" x="1070"/>
        <item h="1" x="507"/>
        <item h="1" x="1307"/>
        <item h="1" x="1025"/>
        <item h="1" x="796"/>
        <item h="1" x="147"/>
        <item h="1" x="1303"/>
        <item h="1" x="417"/>
        <item h="1" x="1206"/>
        <item h="1" x="1284"/>
        <item h="1" x="1085"/>
        <item h="1" x="509"/>
        <item h="1" x="1035"/>
        <item h="1" x="127"/>
        <item h="1" x="676"/>
        <item h="1" x="328"/>
        <item h="1" x="1389"/>
        <item h="1" x="875"/>
        <item h="1" x="1055"/>
        <item h="1" x="64"/>
        <item h="1" x="1077"/>
        <item h="1" x="208"/>
        <item h="1" x="15"/>
        <item h="1" x="1213"/>
        <item h="1" x="485"/>
        <item h="1" x="1069"/>
        <item h="1" x="1427"/>
        <item h="1" x="1396"/>
        <item h="1" x="1329"/>
        <item h="1" x="922"/>
        <item h="1" x="1207"/>
        <item h="1" x="204"/>
        <item h="1" x="1027"/>
        <item h="1" x="500"/>
        <item h="1" x="1400"/>
        <item h="1" x="97"/>
        <item h="1" x="681"/>
        <item h="1" x="1092"/>
        <item h="1" x="651"/>
        <item h="1" x="787"/>
        <item h="1" x="37"/>
        <item h="1" x="879"/>
        <item h="1" x="1046"/>
        <item h="1" x="403"/>
        <item h="1" x="1089"/>
        <item h="1" x="1073"/>
        <item h="1" x="669"/>
        <item h="1" x="79"/>
        <item h="1" x="10"/>
        <item h="1" x="951"/>
        <item h="1" x="149"/>
        <item h="1" x="1415"/>
        <item h="1" x="1391"/>
        <item h="1" x="1406"/>
        <item h="1" x="1336"/>
        <item h="1" x="940"/>
        <item h="1" x="1095"/>
        <item h="1" x="443"/>
        <item h="1" x="3"/>
        <item h="1" x="556"/>
        <item h="1" x="1449"/>
        <item h="1" x="1037"/>
        <item h="1" x="40"/>
        <item h="1" x="242"/>
        <item h="1" x="1469"/>
        <item h="1" x="1017"/>
        <item h="1" x="486"/>
        <item h="1" x="205"/>
        <item h="1" x="1509"/>
        <item h="1" x="25"/>
        <item h="1" x="1487"/>
        <item h="1" x="191"/>
        <item h="1" x="404"/>
        <item h="1" x="135"/>
        <item h="1" x="1434"/>
        <item h="1" x="1349"/>
        <item h="1" x="1373"/>
        <item h="1" x="992"/>
        <item h="1" x="148"/>
        <item h="1" x="277"/>
        <item h="1" x="1023"/>
        <item h="1" x="751"/>
        <item h="1" x="197"/>
        <item h="1" x="81"/>
        <item h="1" x="359"/>
        <item h="1" x="639"/>
        <item h="1" x="470"/>
        <item h="1" x="423"/>
        <item h="1" x="1311"/>
        <item h="1" x="1278"/>
        <item h="1" x="1274"/>
        <item h="1" x="76"/>
        <item h="1" x="580"/>
        <item h="1" x="184"/>
        <item h="1" x="210"/>
        <item h="1" x="844"/>
        <item h="1" x="2"/>
        <item h="1" x="965"/>
        <item h="1" x="34"/>
        <item h="1" x="943"/>
        <item h="1" x="44"/>
        <item h="1" x="1079"/>
        <item h="1" x="677"/>
        <item h="1" x="420"/>
        <item h="1" x="855"/>
        <item h="1" x="850"/>
        <item h="1" x="1068"/>
        <item h="1" x="757"/>
        <item h="1" x="1354"/>
        <item h="1" x="1379"/>
        <item h="1" x="501"/>
        <item h="1" x="400"/>
        <item h="1" x="430"/>
        <item h="1" x="495"/>
        <item h="1" x="1078"/>
        <item h="1" x="753"/>
        <item h="1" x="941"/>
        <item h="1" x="954"/>
        <item h="1" x="106"/>
        <item h="1" x="1313"/>
        <item h="1" x="31"/>
        <item h="1" x="365"/>
        <item h="1" x="1358"/>
        <item h="1" x="931"/>
        <item h="1" x="1401"/>
        <item h="1" x="1436"/>
        <item h="1" x="125"/>
        <item h="1" x="863"/>
        <item h="1" x="1480"/>
        <item h="1" x="1458"/>
        <item h="1" x="474"/>
        <item h="1" x="1537"/>
        <item h="1" x="1013"/>
        <item h="1" x="196"/>
        <item h="1" x="1200"/>
        <item h="1" x="970"/>
        <item h="1" x="9"/>
        <item h="1" x="646"/>
        <item h="1" x="609"/>
        <item h="1" x="1323"/>
        <item h="1" x="124"/>
        <item h="1" x="1076"/>
        <item h="1" x="1350"/>
        <item h="1" x="754"/>
        <item h="1" x="1448"/>
        <item h="1" x="441"/>
        <item h="1" x="131"/>
        <item h="1" x="652"/>
        <item h="1" x="473"/>
        <item h="1" x="1096"/>
        <item h="1" x="14"/>
        <item h="1" x="1353"/>
        <item h="1" x="138"/>
        <item h="1" x="17"/>
        <item h="1" x="1281"/>
        <item h="1" x="860"/>
        <item h="1" x="1054"/>
        <item h="1" x="82"/>
        <item h="1" x="1271"/>
        <item h="1" x="1215"/>
        <item h="1" x="935"/>
        <item h="1" x="872"/>
        <item h="1" x="953"/>
        <item h="1" x="322"/>
        <item h="1" x="471"/>
        <item h="1" x="49"/>
        <item h="1" x="508"/>
        <item h="1" x="649"/>
        <item h="1" x="1088"/>
        <item h="1" x="1514"/>
        <item h="1" x="16"/>
        <item h="1" x="987"/>
        <item h="1" x="930"/>
        <item h="1" x="150"/>
        <item h="1" x="180"/>
        <item h="1" x="143"/>
        <item h="1" x="694"/>
        <item h="1" x="39"/>
        <item h="1" x="326"/>
        <item h="1" x="1435"/>
        <item h="1" x="932"/>
        <item h="1" x="557"/>
        <item h="1" x="755"/>
        <item h="1" x="128"/>
        <item h="1" x="26"/>
        <item h="1" x="132"/>
        <item h="1" x="211"/>
        <item h="1" x="752"/>
        <item h="1" x="1242"/>
        <item h="1" x="402"/>
        <item h="1" x="46"/>
        <item h="1" x="1416"/>
        <item h="1" x="1438"/>
        <item h="1" x="366"/>
        <item h="1" x="1028"/>
        <item h="1" x="28"/>
        <item h="1" x="136"/>
        <item h="1" x="1333"/>
        <item h="1" x="1072"/>
        <item h="1" x="7"/>
        <item h="1" x="845"/>
        <item h="1" x="1209"/>
        <item h="1" x="1367"/>
        <item h="1" x="614"/>
        <item h="1" x="154"/>
        <item h="1" x="4"/>
        <item h="1" x="33"/>
        <item h="1" x="478"/>
        <item h="1" x="695"/>
        <item h="1" x="817"/>
        <item h="1" x="119"/>
        <item h="1" x="241"/>
        <item h="1" x="75"/>
        <item h="1" x="52"/>
        <item h="1" x="477"/>
        <item h="1" x="816"/>
        <item h="1" x="183"/>
        <item h="1" x="396"/>
        <item h="1" x="141"/>
        <item h="1" x="492"/>
        <item h="1" x="58"/>
        <item h="1" x="445"/>
        <item h="1" x="22"/>
        <item h="1" x="722"/>
        <item h="1" x="1432"/>
        <item h="1" x="763"/>
        <item h="1" x="1370"/>
        <item h="1" x="188"/>
        <item h="1" x="126"/>
        <item t="default"/>
      </items>
    </pivotField>
    <pivotField compact="0" showAll="0">
      <items count="13">
        <item x="7"/>
        <item x="0"/>
        <item x="11"/>
        <item x="8"/>
        <item x="1"/>
        <item x="9"/>
        <item x="2"/>
        <item h="1" x="3"/>
        <item x="10"/>
        <item x="4"/>
        <item x="5"/>
        <item x="6"/>
        <item t="default"/>
      </items>
    </pivotField>
    <pivotField compact="0" showAll="0">
      <items count="4">
        <item x="0"/>
        <item x="1"/>
        <item x="2"/>
        <item t="default"/>
      </items>
    </pivotField>
  </pivotFields>
  <rowFields count="1">
    <field x="0"/>
  </rowFields>
  <rowItems count="18">
    <i>
      <x v="68"/>
    </i>
    <i>
      <x v="86"/>
    </i>
    <i>
      <x v="31"/>
    </i>
    <i>
      <x v="15"/>
    </i>
    <i>
      <x v="73"/>
    </i>
    <i>
      <x v="91"/>
    </i>
    <i>
      <x v="70"/>
    </i>
    <i>
      <x v="20"/>
    </i>
    <i>
      <x v="49"/>
    </i>
    <i>
      <x v="12"/>
    </i>
    <i>
      <x v="13"/>
    </i>
    <i>
      <x v="80"/>
    </i>
    <i>
      <x v="59"/>
    </i>
    <i>
      <x v="30"/>
    </i>
    <i>
      <x v="43"/>
    </i>
    <i>
      <x v="47"/>
    </i>
    <i>
      <x v="48"/>
    </i>
    <i t="grand">
      <x/>
    </i>
  </rowItems>
  <colItems count="1">
    <i/>
  </colItems>
  <dataFields count="1">
    <dataField name="Count of ORDER_NUMBER" fld="1" subtotal="count" baseField="0" baseItem="0"/>
  </dataFields>
  <formats count="9">
    <format dxfId="1">
      <pivotArea field="0" type="button" dataOnly="0" labelOnly="1" outline="0" fieldPosition="0"/>
    </format>
    <format dxfId="2">
      <pivotArea field="0" type="button" dataOnly="0" labelOnly="1" outline="0" fieldPosition="0"/>
    </format>
    <format dxfId="3">
      <pivotArea field="0" type="button" dataOnly="0" labelOnly="1" outline="0" fieldPosition="0"/>
    </format>
    <format dxfId="4">
      <pivotArea field="0" type="button" dataOnly="0" labelOnly="1" outline="0" fieldPosition="0"/>
    </format>
    <format dxfId="5">
      <pivotArea field="0" type="button" dataOnly="0" labelOnly="1" outline="0" fieldPosition="0"/>
    </format>
    <format dxfId="6">
      <pivotArea field="0" type="button" dataOnly="0" labelOnly="1" outline="0" fieldPosition="0"/>
    </format>
    <format dxfId="7">
      <pivotArea field="0" type="button" dataOnly="0" labelOnly="1" outline="0" fieldPosition="0"/>
    </format>
    <format dxfId="8">
      <pivotArea field="0" type="button" dataOnly="0" labelOnly="1" outline="0" fieldPosition="0"/>
    </format>
    <format dxfId="9">
      <pivotArea field="0" type="button" dataOnly="0" labelOnly="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AL_SIZE" sourceName="DEAL_SIZE">
  <pivotTables>
    <pivotTable tabId="6" name="PivotTable1"/>
    <pivotTable tabId="4" name="PivotTable1"/>
    <pivotTable tabId="5" name="PivotTable1"/>
    <pivotTable tabId="7" name="PivotTable1"/>
    <pivotTable tabId="8" name="PivotTable2"/>
    <pivotTable tabId="10" name="PivotTable3"/>
  </pivotTables>
  <data>
    <tabular pivotCacheId="1">
      <items count="3">
        <i x="2" s="1"/>
        <i x="1" s="1"/>
        <i x="0"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8" name="PivotTable2"/>
    <pivotTable tabId="4" name="PivotTable1"/>
    <pivotTable tabId="5" name="PivotTable1"/>
    <pivotTable tabId="6" name="PivotTable1"/>
    <pivotTable tabId="7" name="PivotTable1"/>
    <pivotTable tabId="10" name="PivotTable3"/>
  </pivotTables>
  <data>
    <tabular pivotCacheId="1">
      <items count="3">
        <i x="0" s="1"/>
        <i x="1" s="1"/>
        <i x="2"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LINE" sourceName="PRODUCT_LINE">
  <pivotTables>
    <pivotTable tabId="4" name="PivotTable1"/>
    <pivotTable tabId="5" name="PivotTable1"/>
    <pivotTable tabId="6" name="PivotTable1"/>
    <pivotTable tabId="7" name="PivotTable1"/>
    <pivotTable tabId="8" name="PivotTable2"/>
    <pivotTable tabId="10" name="PivotTable3"/>
  </pivotTables>
  <data>
    <tabular pivotCacheId="1">
      <items count="7">
        <i x="1" s="1"/>
        <i x="0" s="1"/>
        <i x="4" s="1"/>
        <i x="5" s="1"/>
        <i x="6" s="1"/>
        <i x="2" s="1"/>
        <i x="3" s="1"/>
      </items>
    </tabular>
  </data>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1"/>
    <pivotTable tabId="5" name="PivotTable1"/>
    <pivotTable tabId="6" name="PivotTable1"/>
    <pivotTable tabId="7" name="PivotTable1"/>
    <pivotTable tabId="8" name="PivotTable2"/>
    <pivotTable tabId="10" name="PivotTable3"/>
  </pivotTables>
  <data>
    <tabular pivotCacheId="1">
      <items count="12">
        <i x="7" s="1"/>
        <i x="0" s="1"/>
        <i x="11" s="1"/>
        <i x="8" s="1"/>
        <i x="1" s="1"/>
        <i x="9" s="1"/>
        <i x="2" s="1"/>
        <i x="10" s="1"/>
        <i x="4" s="1"/>
        <i x="5" s="1"/>
        <i x="6" s="1"/>
        <i x="3" s="0" nd="1"/>
      </items>
    </tabular>
  </data>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OMPANIES" sourceName="COMPANIES">
  <pivotTables>
    <pivotTable tabId="4" name="PivotTable1"/>
    <pivotTable tabId="5" name="PivotTable1"/>
    <pivotTable tabId="6" name="PivotTable1"/>
    <pivotTable tabId="7" name="PivotTable1"/>
    <pivotTable tabId="8" name="PivotTable2"/>
    <pivotTable tabId="10" name="PivotTable3"/>
  </pivotTables>
  <data>
    <tabular pivotCacheId="1">
      <items count="92">
        <i x="51" s="0"/>
        <i x="36" s="0"/>
        <i x="42" s="0"/>
        <i x="46" s="0"/>
        <i x="87" s="1"/>
        <i x="10" s="1"/>
        <i x="28" s="1"/>
        <i x="38" s="1"/>
        <i x="9" s="1"/>
        <i x="91" s="1"/>
        <i x="77" s="1"/>
        <i x="17" s="1"/>
        <i x="89" s="1"/>
        <i x="72" s="1"/>
        <i x="80" s="1"/>
        <i x="76" s="1"/>
        <i x="33" s="1"/>
        <i x="31" s="1"/>
        <i x="29" s="1"/>
        <i x="27" s="1"/>
        <i x="75" s="1"/>
        <i x="55" s="0"/>
        <i x="41" s="0"/>
        <i x="4" s="0"/>
        <i x="25" s="0"/>
        <i x="66" s="0"/>
        <i x="6" s="0"/>
        <i x="48" s="0"/>
        <i x="18" s="0"/>
        <i x="64" s="0"/>
        <i x="52" s="0"/>
        <i x="26" s="0"/>
        <i x="53" s="0"/>
        <i x="23" s="0"/>
        <i x="21" s="0"/>
        <i x="13" s="0"/>
        <i x="88" s="0"/>
        <i x="58" s="0"/>
        <i x="59" s="0"/>
        <i x="65" s="0"/>
        <i x="78" s="0"/>
        <i x="7" s="0"/>
        <i x="81" s="0"/>
        <i x="62" s="0"/>
        <i x="14" s="0"/>
        <i x="0" s="0"/>
        <i x="70" s="0"/>
        <i x="2" s="0"/>
        <i x="67" s="0"/>
        <i x="15" s="0"/>
        <i x="54" s="0"/>
        <i x="79" s="0"/>
        <i x="63" s="0"/>
        <i x="83" s="0"/>
        <i x="47" s="0"/>
        <i x="50" s="0"/>
        <i x="39" s="0"/>
        <i x="8" s="0"/>
        <i x="45" s="0"/>
        <i x="74" s="0"/>
        <i x="85" s="0"/>
        <i x="40" s="0"/>
        <i x="71" s="0"/>
        <i x="44" s="0"/>
        <i x="60" s="0"/>
        <i x="56" s="0"/>
        <i x="43" s="0"/>
        <i x="1" s="0"/>
        <i x="86" s="0"/>
        <i x="57" s="0"/>
        <i x="90" s="0"/>
        <i x="19" s="0"/>
        <i x="30" s="0"/>
        <i x="37" s="0"/>
        <i x="82" s="0"/>
        <i x="84" s="0"/>
        <i x="20" s="0"/>
        <i x="49" s="0"/>
        <i x="73" s="0"/>
        <i x="34" s="0"/>
        <i x="5" s="0"/>
        <i x="12" s="0"/>
        <i x="61" s="0"/>
        <i x="35" s="0"/>
        <i x="68" s="0"/>
        <i x="16" s="0"/>
        <i x="3" s="0"/>
        <i x="22" s="0"/>
        <i x="69" s="0"/>
        <i x="11" s="0"/>
        <i x="24" s="0"/>
        <i x="32" s="0"/>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LINE" cache="Slicer_PRODUCT_LINE" caption="PRODUCT_LINE" showCaption="0" rowHeight="225425"/>
  <slicer name="MONTH" cache="Slicer_MONTH" caption="MONTH" showCaption="0" rowHeight="225425"/>
  <slicer name="COMPANIES" cache="Slicer_COMPANIES" caption="COMPANIES" startItem="4" showCaption="0" rowHeight="225425"/>
  <slicer name="YEAR" cache="Slicer_YEAR" caption="YEAR" showCaption="0" rowHeight="225425"/>
  <slicer name="DEAL_SIZE" cache="Slicer_DEAL_SIZE" caption="DEAL_SIZE" showCaption="0" rowHeight="225425"/>
</slicers>
</file>

<file path=xl/tables/table1.xml><?xml version="1.0" encoding="utf-8"?>
<table xmlns="http://schemas.openxmlformats.org/spreadsheetml/2006/main" id="2" name="Table2" displayName="Table2" ref="A1:N2782" totalsRowShown="0">
  <autoFilter xmlns:etc="http://www.wps.cn/officeDocument/2017/etCustomData" ref="A1:N2782" etc:filterBottomFollowUsedRange="0"/>
  <tableColumns count="14">
    <tableColumn id="1" name="CUSTOMERS FULL NAME" dataDxfId="10"/>
    <tableColumn id="2" name="ORDER_NUMBER" dataDxfId="11"/>
    <tableColumn id="3" name="QUANTITY_ORDERED" dataDxfId="12"/>
    <tableColumn id="4" name="UNIT PRICE" dataDxfId="13"/>
    <tableColumn id="5" name="ORDER_DATE" dataDxfId="14"/>
    <tableColumn id="6" name="ORDER_STATUS" dataDxfId="15"/>
    <tableColumn id="7" name="PRODUCT_LINE" dataDxfId="16"/>
    <tableColumn id="8" name="QUARTER_ID" dataDxfId="17"/>
    <tableColumn id="9" name="YEAR_ID" dataDxfId="18"/>
    <tableColumn id="10" name="DEAL_SIZE" dataDxfId="19"/>
    <tableColumn id="11" name="COMPANIES" dataDxfId="20"/>
    <tableColumn id="12" name="REVENUE" dataDxfId="21">
      <calculatedColumnFormula>PRODUCT(C2,D2)</calculatedColumnFormula>
    </tableColumn>
    <tableColumn id="13" name="MONTH" dataDxfId="22">
      <calculatedColumnFormula>TEXT(E2,"MMMM")</calculatedColumnFormula>
    </tableColumn>
    <tableColumn id="14" name="YEAR" dataDxfId="23">
      <calculatedColumnFormula>YEAR(E2)</calculatedColumnFormula>
    </tableColumn>
  </tableColumns>
  <tableStyleInfo name="TableStylePreset3_Dark" showFirstColumn="0" showLastColumn="0" showRowStripes="1" showColumnStripes="0"/>
</table>
</file>

<file path=xl/theme/theme1.xml><?xml version="1.0" encoding="utf-8"?>
<a:theme xmlns:a="http://schemas.openxmlformats.org/drawingml/2006/main" name="Composit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omposite">
      <a:majorFont>
        <a:latin typeface="Calibri"/>
        <a:ea typeface=""/>
        <a:cs typeface=""/>
        <a:font script="Jpan" typeface="ＭＳ Ｐゴシック"/>
        <a:font script="Hang" typeface="맑은 고딕"/>
        <a:font script="Hans" typeface="宋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omposite">
      <a:fillStyleLst>
        <a:solidFill>
          <a:schemeClr val="phClr"/>
        </a:solidFill>
        <a:gradFill rotWithShape="1">
          <a:gsLst>
            <a:gs pos="0">
              <a:schemeClr val="phClr">
                <a:tint val="50000"/>
                <a:shade val="95000"/>
                <a:satMod val="300000"/>
              </a:schemeClr>
            </a:gs>
            <a:gs pos="12000">
              <a:schemeClr val="phClr">
                <a:tint val="50000"/>
                <a:shade val="90000"/>
                <a:satMod val="250000"/>
              </a:schemeClr>
            </a:gs>
            <a:gs pos="100000">
              <a:schemeClr val="phClr">
                <a:tint val="85000"/>
                <a:shade val="75000"/>
                <a:satMod val="150000"/>
              </a:schemeClr>
            </a:gs>
          </a:gsLst>
          <a:lin ang="16200000" scaled="1"/>
        </a:gradFill>
        <a:gradFill rotWithShape="1">
          <a:gsLst>
            <a:gs pos="0">
              <a:schemeClr val="phClr">
                <a:tint val="75000"/>
                <a:shade val="95000"/>
                <a:satMod val="175000"/>
              </a:schemeClr>
            </a:gs>
            <a:gs pos="12000">
              <a:schemeClr val="phClr">
                <a:tint val="90000"/>
                <a:shade val="90000"/>
                <a:satMod val="150000"/>
              </a:schemeClr>
            </a:gs>
            <a:gs pos="100000">
              <a:schemeClr val="phClr">
                <a:tint val="100000"/>
                <a:shade val="75000"/>
                <a:satMod val="150000"/>
              </a:schemeClr>
            </a:gs>
          </a:gsLst>
          <a:lin ang="16200000" scaled="1"/>
        </a:gradFill>
      </a:fillStyleLst>
      <a:lnStyleLst>
        <a:ln w="9525" cap="flat" cmpd="sng" algn="ctr">
          <a:solidFill>
            <a:schemeClr val="phClr">
              <a:shade val="95000"/>
              <a:satMod val="105000"/>
            </a:scheme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scene3d>
            <a:camera prst="orthographicFront">
              <a:rot lat="0" lon="0" rev="0"/>
            </a:camera>
            <a:lightRig rig="freezing" dir="t">
              <a:rot lat="0" lon="0" rev="6000000"/>
            </a:lightRig>
          </a:scene3d>
          <a:sp3d contourW="12700" prstMaterial="dkEdge">
            <a:bevelT w="44450" h="25400"/>
            <a:contourClr>
              <a:schemeClr val="phClr">
                <a:shade val="30000"/>
              </a:schemeClr>
            </a:contourClr>
          </a:sp3d>
        </a:effectStyle>
      </a:effectStyleLst>
      <a:bgFillStyleLst>
        <a:solidFill>
          <a:schemeClr val="phClr"/>
        </a:solidFill>
        <a:gradFill rotWithShape="1">
          <a:gsLst>
            <a:gs pos="0">
              <a:schemeClr val="phClr">
                <a:tint val="100000"/>
                <a:shade val="80000"/>
                <a:satMod val="110000"/>
                <a:lumMod val="80000"/>
              </a:schemeClr>
            </a:gs>
            <a:gs pos="79000">
              <a:schemeClr val="phClr">
                <a:tint val="100000"/>
                <a:shade val="90000"/>
                <a:satMod val="105000"/>
                <a:lumMod val="100000"/>
              </a:schemeClr>
            </a:gs>
            <a:gs pos="100000">
              <a:schemeClr val="phClr">
                <a:tint val="95000"/>
                <a:shade val="100000"/>
                <a:satMod val="110000"/>
                <a:lumMod val="115000"/>
              </a:schemeClr>
            </a:gs>
          </a:gsLst>
          <a:lin ang="5400000" scaled="0"/>
        </a:gradFill>
        <a:gradFill rotWithShape="1">
          <a:gsLst>
            <a:gs pos="0">
              <a:schemeClr val="phClr">
                <a:tint val="90000"/>
                <a:shade val="100000"/>
                <a:satMod val="100000"/>
                <a:lumMod val="110000"/>
              </a:schemeClr>
            </a:gs>
            <a:gs pos="83000">
              <a:schemeClr val="phClr">
                <a:shade val="75000"/>
                <a:satMod val="200000"/>
              </a:schemeClr>
            </a:gs>
            <a:gs pos="100000">
              <a:schemeClr val="phClr">
                <a:shade val="90000"/>
                <a:satMod val="200000"/>
              </a:schemeClr>
            </a:gs>
          </a:gsLst>
          <a:path path="circle">
            <a:fillToRect l="75000" t="100000" b="30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24"/>
  <sheetViews>
    <sheetView zoomScale="75" zoomScaleNormal="75" workbookViewId="0">
      <selection activeCell="L10" sqref="L10"/>
    </sheetView>
  </sheetViews>
  <sheetFormatPr defaultColWidth="9" defaultRowHeight="14.5"/>
  <cols>
    <col min="1" max="1" width="23.3636363636364" customWidth="1"/>
    <col min="2" max="2" width="16.5454545454545" customWidth="1"/>
    <col min="3" max="3" width="20.4545454545455" customWidth="1"/>
    <col min="4" max="4" width="12" customWidth="1"/>
    <col min="5" max="5" width="13.1818181818182" customWidth="1"/>
    <col min="6" max="6" width="15.2727272727273" customWidth="1"/>
    <col min="7" max="7" width="16.5454545454545" customWidth="1"/>
    <col min="8" max="8" width="12.7272727272727" customWidth="1"/>
    <col min="9" max="9" width="8.63636363636364" customWidth="1"/>
    <col min="10" max="10" width="11.1818181818182" customWidth="1"/>
    <col min="11" max="11" width="32.3636363636364" customWidth="1"/>
    <col min="12" max="12" width="79.5454545454545" customWidth="1"/>
  </cols>
  <sheetData>
    <row r="1" ht="15.5" spans="1:12">
      <c r="A1" s="12" t="s">
        <v>0</v>
      </c>
      <c r="B1" s="12" t="s">
        <v>1</v>
      </c>
      <c r="C1" s="12" t="s">
        <v>2</v>
      </c>
      <c r="D1" s="20" t="s">
        <v>3</v>
      </c>
      <c r="E1" s="12" t="s">
        <v>4</v>
      </c>
      <c r="F1" s="12" t="s">
        <v>5</v>
      </c>
      <c r="G1" s="12" t="s">
        <v>6</v>
      </c>
      <c r="H1" s="12" t="s">
        <v>7</v>
      </c>
      <c r="I1" s="12" t="s">
        <v>8</v>
      </c>
      <c r="J1" s="12" t="s">
        <v>9</v>
      </c>
      <c r="K1" s="12" t="s">
        <v>10</v>
      </c>
      <c r="L1" s="12" t="s">
        <v>11</v>
      </c>
    </row>
    <row r="2" spans="1:12">
      <c r="A2" t="s">
        <v>12</v>
      </c>
      <c r="B2">
        <v>10107</v>
      </c>
      <c r="C2">
        <v>30</v>
      </c>
      <c r="D2" s="21">
        <v>95.7</v>
      </c>
      <c r="E2" s="22">
        <v>37676</v>
      </c>
      <c r="F2" t="s">
        <v>13</v>
      </c>
      <c r="G2" t="s">
        <v>14</v>
      </c>
      <c r="H2">
        <v>1</v>
      </c>
      <c r="I2">
        <v>2003</v>
      </c>
      <c r="J2" t="s">
        <v>15</v>
      </c>
      <c r="K2" t="s">
        <v>16</v>
      </c>
      <c r="L2" t="s">
        <v>17</v>
      </c>
    </row>
    <row r="3" spans="1:12">
      <c r="A3" t="s">
        <v>18</v>
      </c>
      <c r="B3">
        <v>10121</v>
      </c>
      <c r="C3">
        <v>34</v>
      </c>
      <c r="D3" s="21">
        <v>81.35</v>
      </c>
      <c r="E3" s="22">
        <v>37748</v>
      </c>
      <c r="F3" t="s">
        <v>13</v>
      </c>
      <c r="G3" t="s">
        <v>14</v>
      </c>
      <c r="H3">
        <v>2</v>
      </c>
      <c r="I3">
        <v>2003</v>
      </c>
      <c r="J3" t="s">
        <v>15</v>
      </c>
      <c r="K3" t="s">
        <v>19</v>
      </c>
      <c r="L3" t="s">
        <v>20</v>
      </c>
    </row>
    <row r="4" spans="1:12">
      <c r="A4" t="s">
        <v>21</v>
      </c>
      <c r="B4">
        <v>10134</v>
      </c>
      <c r="C4">
        <v>41</v>
      </c>
      <c r="D4" s="21">
        <v>94.74</v>
      </c>
      <c r="E4" s="22">
        <v>37803</v>
      </c>
      <c r="F4" t="s">
        <v>13</v>
      </c>
      <c r="G4" t="s">
        <v>14</v>
      </c>
      <c r="H4">
        <v>3</v>
      </c>
      <c r="I4">
        <v>2003</v>
      </c>
      <c r="J4" t="s">
        <v>22</v>
      </c>
      <c r="K4" t="s">
        <v>23</v>
      </c>
      <c r="L4" t="s">
        <v>24</v>
      </c>
    </row>
    <row r="5" spans="1:12">
      <c r="A5" t="s">
        <v>25</v>
      </c>
      <c r="B5">
        <v>10145</v>
      </c>
      <c r="C5">
        <v>45</v>
      </c>
      <c r="D5" s="21">
        <v>83.26</v>
      </c>
      <c r="E5" s="22">
        <v>37858</v>
      </c>
      <c r="F5" t="s">
        <v>13</v>
      </c>
      <c r="G5" t="s">
        <v>14</v>
      </c>
      <c r="H5">
        <v>3</v>
      </c>
      <c r="I5">
        <v>2003</v>
      </c>
      <c r="J5" t="s">
        <v>22</v>
      </c>
      <c r="K5" t="s">
        <v>26</v>
      </c>
      <c r="L5" t="s">
        <v>27</v>
      </c>
    </row>
    <row r="6" spans="1:12">
      <c r="A6" t="s">
        <v>28</v>
      </c>
      <c r="B6">
        <v>10159</v>
      </c>
      <c r="C6">
        <v>49</v>
      </c>
      <c r="D6" s="21">
        <v>100</v>
      </c>
      <c r="E6" s="22">
        <v>37904</v>
      </c>
      <c r="F6" t="s">
        <v>13</v>
      </c>
      <c r="G6" t="s">
        <v>14</v>
      </c>
      <c r="H6">
        <v>4</v>
      </c>
      <c r="I6">
        <v>2003</v>
      </c>
      <c r="J6" t="s">
        <v>22</v>
      </c>
      <c r="K6" t="s">
        <v>29</v>
      </c>
      <c r="L6" t="s">
        <v>30</v>
      </c>
    </row>
    <row r="7" spans="1:12">
      <c r="A7" t="s">
        <v>31</v>
      </c>
      <c r="B7">
        <v>10168</v>
      </c>
      <c r="C7">
        <v>36</v>
      </c>
      <c r="D7" s="21">
        <v>96.66</v>
      </c>
      <c r="E7" s="22">
        <v>37922</v>
      </c>
      <c r="F7" t="s">
        <v>13</v>
      </c>
      <c r="G7" t="s">
        <v>14</v>
      </c>
      <c r="H7">
        <v>4</v>
      </c>
      <c r="I7">
        <v>2003</v>
      </c>
      <c r="J7" t="s">
        <v>22</v>
      </c>
      <c r="K7" t="s">
        <v>32</v>
      </c>
      <c r="L7" t="s">
        <v>33</v>
      </c>
    </row>
    <row r="8" spans="1:11">
      <c r="A8" t="s">
        <v>34</v>
      </c>
      <c r="B8">
        <v>10180</v>
      </c>
      <c r="C8">
        <v>29</v>
      </c>
      <c r="D8" s="21">
        <v>86.13</v>
      </c>
      <c r="E8" s="22">
        <v>37936</v>
      </c>
      <c r="F8" t="s">
        <v>13</v>
      </c>
      <c r="G8" t="s">
        <v>14</v>
      </c>
      <c r="H8">
        <v>4</v>
      </c>
      <c r="I8">
        <v>2003</v>
      </c>
      <c r="J8" t="s">
        <v>15</v>
      </c>
      <c r="K8" t="s">
        <v>35</v>
      </c>
    </row>
    <row r="9" spans="1:11">
      <c r="A9" t="s">
        <v>36</v>
      </c>
      <c r="B9">
        <v>10188</v>
      </c>
      <c r="C9">
        <v>48</v>
      </c>
      <c r="D9" s="21">
        <v>100</v>
      </c>
      <c r="E9" s="22">
        <v>37943</v>
      </c>
      <c r="F9" t="s">
        <v>13</v>
      </c>
      <c r="G9" t="s">
        <v>14</v>
      </c>
      <c r="H9">
        <v>4</v>
      </c>
      <c r="I9">
        <v>2003</v>
      </c>
      <c r="J9" t="s">
        <v>22</v>
      </c>
      <c r="K9" t="s">
        <v>37</v>
      </c>
    </row>
    <row r="10" spans="1:11">
      <c r="A10" t="s">
        <v>38</v>
      </c>
      <c r="B10">
        <v>10201</v>
      </c>
      <c r="C10">
        <v>22</v>
      </c>
      <c r="D10" s="21">
        <v>98.57</v>
      </c>
      <c r="E10" s="22">
        <v>37956</v>
      </c>
      <c r="F10" t="s">
        <v>13</v>
      </c>
      <c r="G10" t="s">
        <v>14</v>
      </c>
      <c r="H10">
        <v>4</v>
      </c>
      <c r="I10">
        <v>2003</v>
      </c>
      <c r="J10" t="s">
        <v>15</v>
      </c>
      <c r="K10" t="s">
        <v>39</v>
      </c>
    </row>
    <row r="11" spans="1:11">
      <c r="A11" t="s">
        <v>40</v>
      </c>
      <c r="B11">
        <v>10211</v>
      </c>
      <c r="C11">
        <v>41</v>
      </c>
      <c r="D11" s="21">
        <v>100</v>
      </c>
      <c r="E11" s="22">
        <v>38001</v>
      </c>
      <c r="F11" t="s">
        <v>13</v>
      </c>
      <c r="G11" t="s">
        <v>14</v>
      </c>
      <c r="H11">
        <v>1</v>
      </c>
      <c r="I11">
        <v>2004</v>
      </c>
      <c r="J11" t="s">
        <v>22</v>
      </c>
      <c r="K11" t="s">
        <v>41</v>
      </c>
    </row>
    <row r="12" spans="1:11">
      <c r="A12" t="s">
        <v>42</v>
      </c>
      <c r="B12">
        <v>10223</v>
      </c>
      <c r="C12">
        <v>37</v>
      </c>
      <c r="D12" s="21">
        <v>100</v>
      </c>
      <c r="E12" s="22">
        <v>38037</v>
      </c>
      <c r="F12" t="s">
        <v>13</v>
      </c>
      <c r="G12" t="s">
        <v>14</v>
      </c>
      <c r="H12">
        <v>1</v>
      </c>
      <c r="I12">
        <v>2004</v>
      </c>
      <c r="J12" t="s">
        <v>22</v>
      </c>
      <c r="K12" t="s">
        <v>43</v>
      </c>
    </row>
    <row r="13" spans="1:11">
      <c r="A13" t="s">
        <v>44</v>
      </c>
      <c r="B13">
        <v>10237</v>
      </c>
      <c r="C13">
        <v>23</v>
      </c>
      <c r="D13" s="21">
        <v>100</v>
      </c>
      <c r="E13" s="22">
        <v>38082</v>
      </c>
      <c r="F13" t="s">
        <v>13</v>
      </c>
      <c r="G13" t="s">
        <v>14</v>
      </c>
      <c r="H13">
        <v>2</v>
      </c>
      <c r="I13">
        <v>2004</v>
      </c>
      <c r="J13" t="s">
        <v>15</v>
      </c>
      <c r="K13" t="s">
        <v>45</v>
      </c>
    </row>
    <row r="14" spans="1:11">
      <c r="A14" t="s">
        <v>46</v>
      </c>
      <c r="B14">
        <v>10251</v>
      </c>
      <c r="C14">
        <v>28</v>
      </c>
      <c r="D14" s="21">
        <v>100</v>
      </c>
      <c r="E14" s="22">
        <v>38125</v>
      </c>
      <c r="F14" t="s">
        <v>13</v>
      </c>
      <c r="G14" t="s">
        <v>14</v>
      </c>
      <c r="H14">
        <v>2</v>
      </c>
      <c r="I14">
        <v>2004</v>
      </c>
      <c r="J14" t="s">
        <v>22</v>
      </c>
      <c r="K14" t="s">
        <v>47</v>
      </c>
    </row>
    <row r="15" spans="1:11">
      <c r="A15" t="s">
        <v>48</v>
      </c>
      <c r="B15">
        <v>10263</v>
      </c>
      <c r="C15">
        <v>34</v>
      </c>
      <c r="D15" s="21">
        <v>100</v>
      </c>
      <c r="E15" s="22">
        <v>38166</v>
      </c>
      <c r="F15" t="s">
        <v>13</v>
      </c>
      <c r="G15" t="s">
        <v>14</v>
      </c>
      <c r="H15">
        <v>2</v>
      </c>
      <c r="I15">
        <v>2004</v>
      </c>
      <c r="J15" t="s">
        <v>22</v>
      </c>
      <c r="K15" t="s">
        <v>49</v>
      </c>
    </row>
    <row r="16" spans="1:11">
      <c r="A16" t="s">
        <v>50</v>
      </c>
      <c r="B16">
        <v>10275</v>
      </c>
      <c r="C16">
        <v>45</v>
      </c>
      <c r="D16" s="21">
        <v>92.83</v>
      </c>
      <c r="E16" s="22">
        <v>38191</v>
      </c>
      <c r="F16" t="s">
        <v>13</v>
      </c>
      <c r="G16" t="s">
        <v>14</v>
      </c>
      <c r="H16">
        <v>3</v>
      </c>
      <c r="I16">
        <v>2004</v>
      </c>
      <c r="J16" t="s">
        <v>22</v>
      </c>
      <c r="K16" t="s">
        <v>51</v>
      </c>
    </row>
    <row r="17" spans="1:11">
      <c r="A17" t="s">
        <v>52</v>
      </c>
      <c r="B17">
        <v>10285</v>
      </c>
      <c r="C17">
        <v>36</v>
      </c>
      <c r="D17" s="21">
        <v>100</v>
      </c>
      <c r="E17" s="22">
        <v>38226</v>
      </c>
      <c r="F17" t="s">
        <v>13</v>
      </c>
      <c r="G17" t="s">
        <v>14</v>
      </c>
      <c r="H17">
        <v>3</v>
      </c>
      <c r="I17">
        <v>2004</v>
      </c>
      <c r="J17" t="s">
        <v>22</v>
      </c>
      <c r="K17" t="s">
        <v>53</v>
      </c>
    </row>
    <row r="18" spans="1:11">
      <c r="A18" t="s">
        <v>54</v>
      </c>
      <c r="B18">
        <v>10299</v>
      </c>
      <c r="C18">
        <v>23</v>
      </c>
      <c r="D18" s="21">
        <v>100</v>
      </c>
      <c r="E18" s="22">
        <v>38260</v>
      </c>
      <c r="F18" t="s">
        <v>13</v>
      </c>
      <c r="G18" t="s">
        <v>14</v>
      </c>
      <c r="H18">
        <v>3</v>
      </c>
      <c r="I18">
        <v>2004</v>
      </c>
      <c r="J18" t="s">
        <v>15</v>
      </c>
      <c r="K18" t="s">
        <v>55</v>
      </c>
    </row>
    <row r="19" spans="1:11">
      <c r="A19" t="s">
        <v>56</v>
      </c>
      <c r="B19">
        <v>10309</v>
      </c>
      <c r="C19">
        <v>41</v>
      </c>
      <c r="D19" s="21">
        <v>100</v>
      </c>
      <c r="E19" s="22">
        <v>38275</v>
      </c>
      <c r="F19" t="s">
        <v>13</v>
      </c>
      <c r="G19" t="s">
        <v>14</v>
      </c>
      <c r="H19">
        <v>4</v>
      </c>
      <c r="I19">
        <v>2004</v>
      </c>
      <c r="J19" t="s">
        <v>22</v>
      </c>
      <c r="K19" t="s">
        <v>57</v>
      </c>
    </row>
    <row r="20" spans="1:11">
      <c r="A20" t="s">
        <v>58</v>
      </c>
      <c r="B20">
        <v>10318</v>
      </c>
      <c r="C20">
        <v>46</v>
      </c>
      <c r="D20" s="21">
        <v>94.74</v>
      </c>
      <c r="E20" s="22">
        <v>38293</v>
      </c>
      <c r="F20" t="s">
        <v>13</v>
      </c>
      <c r="G20" t="s">
        <v>14</v>
      </c>
      <c r="H20">
        <v>4</v>
      </c>
      <c r="I20">
        <v>2004</v>
      </c>
      <c r="J20" t="s">
        <v>22</v>
      </c>
      <c r="K20" t="s">
        <v>59</v>
      </c>
    </row>
    <row r="21" spans="1:11">
      <c r="A21" t="s">
        <v>12</v>
      </c>
      <c r="B21">
        <v>10329</v>
      </c>
      <c r="C21">
        <v>42</v>
      </c>
      <c r="D21" s="21">
        <v>100</v>
      </c>
      <c r="E21" s="22">
        <v>38306</v>
      </c>
      <c r="F21" t="s">
        <v>13</v>
      </c>
      <c r="G21" t="s">
        <v>14</v>
      </c>
      <c r="H21">
        <v>4</v>
      </c>
      <c r="I21">
        <v>2004</v>
      </c>
      <c r="J21" t="s">
        <v>22</v>
      </c>
      <c r="K21" t="s">
        <v>16</v>
      </c>
    </row>
    <row r="22" spans="1:11">
      <c r="A22" t="s">
        <v>60</v>
      </c>
      <c r="B22">
        <v>10341</v>
      </c>
      <c r="C22">
        <v>41</v>
      </c>
      <c r="D22" s="21">
        <v>100</v>
      </c>
      <c r="E22" s="22">
        <v>38315</v>
      </c>
      <c r="F22" t="s">
        <v>13</v>
      </c>
      <c r="G22" t="s">
        <v>14</v>
      </c>
      <c r="H22">
        <v>4</v>
      </c>
      <c r="I22">
        <v>2004</v>
      </c>
      <c r="J22" t="s">
        <v>61</v>
      </c>
      <c r="K22" t="s">
        <v>62</v>
      </c>
    </row>
    <row r="23" spans="1:11">
      <c r="A23" t="s">
        <v>63</v>
      </c>
      <c r="B23">
        <v>10361</v>
      </c>
      <c r="C23">
        <v>20</v>
      </c>
      <c r="D23" s="21">
        <v>72.55</v>
      </c>
      <c r="E23" s="22">
        <v>38338</v>
      </c>
      <c r="F23" t="s">
        <v>13</v>
      </c>
      <c r="G23" t="s">
        <v>14</v>
      </c>
      <c r="H23">
        <v>4</v>
      </c>
      <c r="I23">
        <v>2004</v>
      </c>
      <c r="J23" t="s">
        <v>15</v>
      </c>
      <c r="K23" t="s">
        <v>64</v>
      </c>
    </row>
    <row r="24" spans="1:11">
      <c r="A24" t="s">
        <v>50</v>
      </c>
      <c r="B24">
        <v>10375</v>
      </c>
      <c r="C24">
        <v>21</v>
      </c>
      <c r="D24" s="21">
        <v>34.91</v>
      </c>
      <c r="E24" s="22">
        <v>38386</v>
      </c>
      <c r="F24" t="s">
        <v>13</v>
      </c>
      <c r="G24" t="s">
        <v>14</v>
      </c>
      <c r="H24">
        <v>1</v>
      </c>
      <c r="I24">
        <v>2005</v>
      </c>
      <c r="J24" t="s">
        <v>15</v>
      </c>
      <c r="K24" t="s">
        <v>51</v>
      </c>
    </row>
    <row r="25" spans="1:11">
      <c r="A25" t="s">
        <v>65</v>
      </c>
      <c r="B25">
        <v>10388</v>
      </c>
      <c r="C25">
        <v>42</v>
      </c>
      <c r="D25" s="21">
        <v>76.36</v>
      </c>
      <c r="E25" s="22">
        <v>38414</v>
      </c>
      <c r="F25" t="s">
        <v>13</v>
      </c>
      <c r="G25" t="s">
        <v>14</v>
      </c>
      <c r="H25">
        <v>1</v>
      </c>
      <c r="I25">
        <v>2005</v>
      </c>
      <c r="J25" t="s">
        <v>22</v>
      </c>
      <c r="K25" t="s">
        <v>66</v>
      </c>
    </row>
    <row r="26" spans="1:11">
      <c r="A26" t="s">
        <v>67</v>
      </c>
      <c r="B26">
        <v>10403</v>
      </c>
      <c r="C26">
        <v>24</v>
      </c>
      <c r="D26" s="21">
        <v>100</v>
      </c>
      <c r="E26" s="22">
        <v>38450</v>
      </c>
      <c r="F26" t="s">
        <v>13</v>
      </c>
      <c r="G26" t="s">
        <v>14</v>
      </c>
      <c r="H26">
        <v>2</v>
      </c>
      <c r="I26">
        <v>2005</v>
      </c>
      <c r="J26" t="s">
        <v>15</v>
      </c>
      <c r="K26" t="s">
        <v>68</v>
      </c>
    </row>
    <row r="27" spans="1:11">
      <c r="A27" t="s">
        <v>69</v>
      </c>
      <c r="B27">
        <v>10417</v>
      </c>
      <c r="C27">
        <v>66</v>
      </c>
      <c r="D27" s="21">
        <v>100</v>
      </c>
      <c r="E27" s="22">
        <v>38485</v>
      </c>
      <c r="F27" t="s">
        <v>70</v>
      </c>
      <c r="G27" t="s">
        <v>14</v>
      </c>
      <c r="H27">
        <v>2</v>
      </c>
      <c r="I27">
        <v>2005</v>
      </c>
      <c r="J27" t="s">
        <v>61</v>
      </c>
      <c r="K27" t="s">
        <v>71</v>
      </c>
    </row>
    <row r="28" spans="1:11">
      <c r="A28" t="s">
        <v>56</v>
      </c>
      <c r="B28">
        <v>10103</v>
      </c>
      <c r="C28">
        <v>26</v>
      </c>
      <c r="D28" s="21">
        <v>100</v>
      </c>
      <c r="E28" s="22">
        <v>37650</v>
      </c>
      <c r="F28" t="s">
        <v>13</v>
      </c>
      <c r="G28" t="s">
        <v>72</v>
      </c>
      <c r="H28">
        <v>1</v>
      </c>
      <c r="I28">
        <v>2003</v>
      </c>
      <c r="J28" t="s">
        <v>22</v>
      </c>
      <c r="K28" t="s">
        <v>57</v>
      </c>
    </row>
    <row r="29" spans="1:11">
      <c r="A29" t="s">
        <v>73</v>
      </c>
      <c r="B29">
        <v>10112</v>
      </c>
      <c r="C29">
        <v>29</v>
      </c>
      <c r="D29" s="21">
        <v>100</v>
      </c>
      <c r="E29" s="22">
        <v>37704</v>
      </c>
      <c r="F29" t="s">
        <v>13</v>
      </c>
      <c r="G29" t="s">
        <v>72</v>
      </c>
      <c r="H29">
        <v>1</v>
      </c>
      <c r="I29">
        <v>2003</v>
      </c>
      <c r="J29" t="s">
        <v>61</v>
      </c>
      <c r="K29" t="s">
        <v>74</v>
      </c>
    </row>
    <row r="30" spans="1:11">
      <c r="A30" t="s">
        <v>75</v>
      </c>
      <c r="B30">
        <v>10126</v>
      </c>
      <c r="C30">
        <v>38</v>
      </c>
      <c r="D30" s="21">
        <v>100</v>
      </c>
      <c r="E30" s="22">
        <v>37769</v>
      </c>
      <c r="F30" t="s">
        <v>13</v>
      </c>
      <c r="G30" t="s">
        <v>72</v>
      </c>
      <c r="H30">
        <v>2</v>
      </c>
      <c r="I30">
        <v>2003</v>
      </c>
      <c r="J30" t="s">
        <v>61</v>
      </c>
      <c r="K30" t="s">
        <v>76</v>
      </c>
    </row>
    <row r="31" spans="1:11">
      <c r="A31" t="s">
        <v>31</v>
      </c>
      <c r="B31">
        <v>10140</v>
      </c>
      <c r="C31">
        <v>37</v>
      </c>
      <c r="D31" s="21">
        <v>100</v>
      </c>
      <c r="E31" s="22">
        <v>37826</v>
      </c>
      <c r="F31" t="s">
        <v>13</v>
      </c>
      <c r="G31" t="s">
        <v>72</v>
      </c>
      <c r="H31">
        <v>3</v>
      </c>
      <c r="I31">
        <v>2003</v>
      </c>
      <c r="J31" t="s">
        <v>61</v>
      </c>
      <c r="K31" t="s">
        <v>32</v>
      </c>
    </row>
    <row r="32" spans="1:11">
      <c r="A32" t="s">
        <v>77</v>
      </c>
      <c r="B32">
        <v>10150</v>
      </c>
      <c r="C32">
        <v>45</v>
      </c>
      <c r="D32" s="21">
        <v>100</v>
      </c>
      <c r="E32" s="22">
        <v>37883</v>
      </c>
      <c r="F32" t="s">
        <v>13</v>
      </c>
      <c r="G32" t="s">
        <v>72</v>
      </c>
      <c r="H32">
        <v>3</v>
      </c>
      <c r="I32">
        <v>2003</v>
      </c>
      <c r="J32" t="s">
        <v>61</v>
      </c>
      <c r="K32" t="s">
        <v>78</v>
      </c>
    </row>
    <row r="33" spans="1:11">
      <c r="A33" t="s">
        <v>79</v>
      </c>
      <c r="B33">
        <v>10163</v>
      </c>
      <c r="C33">
        <v>21</v>
      </c>
      <c r="D33" s="21">
        <v>100</v>
      </c>
      <c r="E33" s="22">
        <v>37914</v>
      </c>
      <c r="F33" t="s">
        <v>13</v>
      </c>
      <c r="G33" t="s">
        <v>72</v>
      </c>
      <c r="H33">
        <v>4</v>
      </c>
      <c r="I33">
        <v>2003</v>
      </c>
      <c r="J33" t="s">
        <v>22</v>
      </c>
      <c r="K33" t="s">
        <v>80</v>
      </c>
    </row>
    <row r="34" spans="1:11">
      <c r="A34" t="s">
        <v>81</v>
      </c>
      <c r="B34">
        <v>10174</v>
      </c>
      <c r="C34">
        <v>34</v>
      </c>
      <c r="D34" s="21">
        <v>100</v>
      </c>
      <c r="E34" s="22">
        <v>37931</v>
      </c>
      <c r="F34" t="s">
        <v>13</v>
      </c>
      <c r="G34" t="s">
        <v>72</v>
      </c>
      <c r="H34">
        <v>4</v>
      </c>
      <c r="I34">
        <v>2003</v>
      </c>
      <c r="J34" t="s">
        <v>61</v>
      </c>
      <c r="K34" t="s">
        <v>82</v>
      </c>
    </row>
    <row r="35" spans="1:11">
      <c r="A35" t="s">
        <v>83</v>
      </c>
      <c r="B35">
        <v>10183</v>
      </c>
      <c r="C35">
        <v>23</v>
      </c>
      <c r="D35" s="21">
        <v>100</v>
      </c>
      <c r="E35" s="22">
        <v>37938</v>
      </c>
      <c r="F35" t="s">
        <v>13</v>
      </c>
      <c r="G35" t="s">
        <v>72</v>
      </c>
      <c r="H35">
        <v>4</v>
      </c>
      <c r="I35">
        <v>2003</v>
      </c>
      <c r="J35" t="s">
        <v>22</v>
      </c>
      <c r="K35" t="s">
        <v>84</v>
      </c>
    </row>
    <row r="36" spans="1:11">
      <c r="A36" t="s">
        <v>85</v>
      </c>
      <c r="B36">
        <v>10194</v>
      </c>
      <c r="C36">
        <v>42</v>
      </c>
      <c r="D36" s="21">
        <v>100</v>
      </c>
      <c r="E36" s="22">
        <v>37950</v>
      </c>
      <c r="F36" t="s">
        <v>13</v>
      </c>
      <c r="G36" t="s">
        <v>72</v>
      </c>
      <c r="H36">
        <v>4</v>
      </c>
      <c r="I36">
        <v>2003</v>
      </c>
      <c r="J36" t="s">
        <v>61</v>
      </c>
      <c r="K36" t="s">
        <v>86</v>
      </c>
    </row>
    <row r="37" spans="1:11">
      <c r="A37" t="s">
        <v>87</v>
      </c>
      <c r="B37">
        <v>10206</v>
      </c>
      <c r="C37">
        <v>47</v>
      </c>
      <c r="D37" s="21">
        <v>100</v>
      </c>
      <c r="E37" s="22">
        <v>37960</v>
      </c>
      <c r="F37" t="s">
        <v>13</v>
      </c>
      <c r="G37" t="s">
        <v>72</v>
      </c>
      <c r="H37">
        <v>4</v>
      </c>
      <c r="I37">
        <v>2003</v>
      </c>
      <c r="J37" t="s">
        <v>61</v>
      </c>
      <c r="K37" t="s">
        <v>88</v>
      </c>
    </row>
    <row r="38" spans="1:11">
      <c r="A38" t="s">
        <v>89</v>
      </c>
      <c r="B38">
        <v>10215</v>
      </c>
      <c r="C38">
        <v>35</v>
      </c>
      <c r="D38" s="21">
        <v>100</v>
      </c>
      <c r="E38" s="22">
        <v>38015</v>
      </c>
      <c r="F38" t="s">
        <v>13</v>
      </c>
      <c r="G38" t="s">
        <v>72</v>
      </c>
      <c r="H38">
        <v>1</v>
      </c>
      <c r="I38">
        <v>2004</v>
      </c>
      <c r="J38" t="s">
        <v>22</v>
      </c>
      <c r="K38" t="s">
        <v>90</v>
      </c>
    </row>
    <row r="39" spans="1:11">
      <c r="A39" t="s">
        <v>91</v>
      </c>
      <c r="B39">
        <v>10228</v>
      </c>
      <c r="C39">
        <v>29</v>
      </c>
      <c r="D39" s="21">
        <v>100</v>
      </c>
      <c r="E39" s="22">
        <v>38056</v>
      </c>
      <c r="F39" t="s">
        <v>13</v>
      </c>
      <c r="G39" t="s">
        <v>72</v>
      </c>
      <c r="H39">
        <v>1</v>
      </c>
      <c r="I39">
        <v>2004</v>
      </c>
      <c r="J39" t="s">
        <v>22</v>
      </c>
      <c r="K39" t="s">
        <v>92</v>
      </c>
    </row>
    <row r="40" spans="1:11">
      <c r="A40" t="s">
        <v>93</v>
      </c>
      <c r="B40">
        <v>10245</v>
      </c>
      <c r="C40">
        <v>34</v>
      </c>
      <c r="D40" s="21">
        <v>100</v>
      </c>
      <c r="E40" s="22">
        <v>38111</v>
      </c>
      <c r="F40" t="s">
        <v>13</v>
      </c>
      <c r="G40" t="s">
        <v>72</v>
      </c>
      <c r="H40">
        <v>2</v>
      </c>
      <c r="I40">
        <v>2004</v>
      </c>
      <c r="J40" t="s">
        <v>22</v>
      </c>
      <c r="K40" t="s">
        <v>94</v>
      </c>
    </row>
    <row r="41" spans="1:11">
      <c r="A41" t="s">
        <v>95</v>
      </c>
      <c r="B41">
        <v>10258</v>
      </c>
      <c r="C41">
        <v>32</v>
      </c>
      <c r="D41" s="21">
        <v>100</v>
      </c>
      <c r="E41" s="22">
        <v>38153</v>
      </c>
      <c r="F41" t="s">
        <v>13</v>
      </c>
      <c r="G41" t="s">
        <v>72</v>
      </c>
      <c r="H41">
        <v>2</v>
      </c>
      <c r="I41">
        <v>2004</v>
      </c>
      <c r="J41" t="s">
        <v>61</v>
      </c>
      <c r="K41" t="s">
        <v>96</v>
      </c>
    </row>
    <row r="42" spans="1:11">
      <c r="A42" t="s">
        <v>63</v>
      </c>
      <c r="B42">
        <v>10270</v>
      </c>
      <c r="C42">
        <v>21</v>
      </c>
      <c r="D42" s="21">
        <v>100</v>
      </c>
      <c r="E42" s="22">
        <v>38187</v>
      </c>
      <c r="F42" t="s">
        <v>13</v>
      </c>
      <c r="G42" t="s">
        <v>72</v>
      </c>
      <c r="H42">
        <v>3</v>
      </c>
      <c r="I42">
        <v>2004</v>
      </c>
      <c r="J42" t="s">
        <v>22</v>
      </c>
      <c r="K42" t="s">
        <v>64</v>
      </c>
    </row>
    <row r="43" spans="1:11">
      <c r="A43" t="s">
        <v>97</v>
      </c>
      <c r="B43">
        <v>10280</v>
      </c>
      <c r="C43">
        <v>34</v>
      </c>
      <c r="D43" s="21">
        <v>100</v>
      </c>
      <c r="E43" s="22">
        <v>38216</v>
      </c>
      <c r="F43" t="s">
        <v>13</v>
      </c>
      <c r="G43" t="s">
        <v>72</v>
      </c>
      <c r="H43">
        <v>3</v>
      </c>
      <c r="I43">
        <v>2004</v>
      </c>
      <c r="J43" t="s">
        <v>61</v>
      </c>
      <c r="K43" t="s">
        <v>98</v>
      </c>
    </row>
    <row r="44" spans="1:11">
      <c r="A44" t="s">
        <v>99</v>
      </c>
      <c r="B44">
        <v>10291</v>
      </c>
      <c r="C44">
        <v>37</v>
      </c>
      <c r="D44" s="21">
        <v>100</v>
      </c>
      <c r="E44" s="22">
        <v>38238</v>
      </c>
      <c r="F44" t="s">
        <v>13</v>
      </c>
      <c r="G44" t="s">
        <v>72</v>
      </c>
      <c r="H44">
        <v>3</v>
      </c>
      <c r="I44">
        <v>2004</v>
      </c>
      <c r="J44" t="s">
        <v>61</v>
      </c>
      <c r="K44" t="s">
        <v>100</v>
      </c>
    </row>
    <row r="45" spans="1:11">
      <c r="A45" t="s">
        <v>101</v>
      </c>
      <c r="B45">
        <v>10304</v>
      </c>
      <c r="C45">
        <v>47</v>
      </c>
      <c r="D45" s="21">
        <v>100</v>
      </c>
      <c r="E45" s="22">
        <v>38271</v>
      </c>
      <c r="F45" t="s">
        <v>13</v>
      </c>
      <c r="G45" t="s">
        <v>72</v>
      </c>
      <c r="H45">
        <v>4</v>
      </c>
      <c r="I45">
        <v>2004</v>
      </c>
      <c r="J45" t="s">
        <v>61</v>
      </c>
      <c r="K45" t="s">
        <v>102</v>
      </c>
    </row>
    <row r="46" spans="1:11">
      <c r="A46" t="s">
        <v>103</v>
      </c>
      <c r="B46">
        <v>10312</v>
      </c>
      <c r="C46">
        <v>48</v>
      </c>
      <c r="D46" s="21">
        <v>100</v>
      </c>
      <c r="E46" s="22">
        <v>38281</v>
      </c>
      <c r="F46" t="s">
        <v>13</v>
      </c>
      <c r="G46" t="s">
        <v>72</v>
      </c>
      <c r="H46">
        <v>4</v>
      </c>
      <c r="I46">
        <v>2004</v>
      </c>
      <c r="J46" t="s">
        <v>61</v>
      </c>
      <c r="K46" t="s">
        <v>104</v>
      </c>
    </row>
    <row r="47" spans="1:11">
      <c r="A47" t="s">
        <v>105</v>
      </c>
      <c r="B47">
        <v>10322</v>
      </c>
      <c r="C47">
        <v>40</v>
      </c>
      <c r="D47" s="21">
        <v>100</v>
      </c>
      <c r="E47" s="22">
        <v>38295</v>
      </c>
      <c r="F47" t="s">
        <v>13</v>
      </c>
      <c r="G47" t="s">
        <v>72</v>
      </c>
      <c r="H47">
        <v>4</v>
      </c>
      <c r="I47">
        <v>2004</v>
      </c>
      <c r="J47" t="s">
        <v>22</v>
      </c>
      <c r="K47" t="s">
        <v>106</v>
      </c>
    </row>
    <row r="48" spans="1:11">
      <c r="A48" t="s">
        <v>38</v>
      </c>
      <c r="B48">
        <v>10333</v>
      </c>
      <c r="C48">
        <v>26</v>
      </c>
      <c r="D48" s="21">
        <v>100</v>
      </c>
      <c r="E48" s="22">
        <v>38309</v>
      </c>
      <c r="F48" t="s">
        <v>13</v>
      </c>
      <c r="G48" t="s">
        <v>72</v>
      </c>
      <c r="H48">
        <v>4</v>
      </c>
      <c r="I48">
        <v>2004</v>
      </c>
      <c r="J48" t="s">
        <v>22</v>
      </c>
      <c r="K48" t="s">
        <v>39</v>
      </c>
    </row>
    <row r="49" spans="1:11">
      <c r="A49" t="s">
        <v>42</v>
      </c>
      <c r="B49">
        <v>10347</v>
      </c>
      <c r="C49">
        <v>30</v>
      </c>
      <c r="D49" s="21">
        <v>100</v>
      </c>
      <c r="E49" s="22">
        <v>38320</v>
      </c>
      <c r="F49" t="s">
        <v>13</v>
      </c>
      <c r="G49" t="s">
        <v>72</v>
      </c>
      <c r="H49">
        <v>4</v>
      </c>
      <c r="I49">
        <v>2004</v>
      </c>
      <c r="J49" t="s">
        <v>22</v>
      </c>
      <c r="K49" t="s">
        <v>43</v>
      </c>
    </row>
    <row r="50" spans="1:11">
      <c r="A50" t="s">
        <v>103</v>
      </c>
      <c r="B50">
        <v>10357</v>
      </c>
      <c r="C50">
        <v>32</v>
      </c>
      <c r="D50" s="21">
        <v>100</v>
      </c>
      <c r="E50" s="22">
        <v>38331</v>
      </c>
      <c r="F50" t="s">
        <v>13</v>
      </c>
      <c r="G50" t="s">
        <v>72</v>
      </c>
      <c r="H50">
        <v>4</v>
      </c>
      <c r="I50">
        <v>2004</v>
      </c>
      <c r="J50" t="s">
        <v>22</v>
      </c>
      <c r="K50" t="s">
        <v>104</v>
      </c>
    </row>
    <row r="51" spans="1:11">
      <c r="A51" t="s">
        <v>107</v>
      </c>
      <c r="B51">
        <v>10369</v>
      </c>
      <c r="C51">
        <v>41</v>
      </c>
      <c r="D51" s="21">
        <v>100</v>
      </c>
      <c r="E51" s="22">
        <v>38372</v>
      </c>
      <c r="F51" t="s">
        <v>13</v>
      </c>
      <c r="G51" t="s">
        <v>72</v>
      </c>
      <c r="H51">
        <v>1</v>
      </c>
      <c r="I51">
        <v>2005</v>
      </c>
      <c r="J51" t="s">
        <v>22</v>
      </c>
      <c r="K51" t="s">
        <v>108</v>
      </c>
    </row>
    <row r="52" spans="1:11">
      <c r="A52" t="s">
        <v>28</v>
      </c>
      <c r="B52">
        <v>10381</v>
      </c>
      <c r="C52">
        <v>36</v>
      </c>
      <c r="D52" s="21">
        <v>100</v>
      </c>
      <c r="E52" s="22">
        <v>38400</v>
      </c>
      <c r="F52" t="s">
        <v>13</v>
      </c>
      <c r="G52" t="s">
        <v>72</v>
      </c>
      <c r="H52">
        <v>1</v>
      </c>
      <c r="I52">
        <v>2005</v>
      </c>
      <c r="J52" t="s">
        <v>61</v>
      </c>
      <c r="K52" t="s">
        <v>29</v>
      </c>
    </row>
    <row r="53" spans="1:11">
      <c r="A53" t="s">
        <v>109</v>
      </c>
      <c r="B53">
        <v>10391</v>
      </c>
      <c r="C53">
        <v>24</v>
      </c>
      <c r="D53" s="21">
        <v>100</v>
      </c>
      <c r="E53" s="22">
        <v>38420</v>
      </c>
      <c r="F53" t="s">
        <v>13</v>
      </c>
      <c r="G53" t="s">
        <v>72</v>
      </c>
      <c r="H53">
        <v>1</v>
      </c>
      <c r="I53">
        <v>2005</v>
      </c>
      <c r="J53" t="s">
        <v>15</v>
      </c>
      <c r="K53" t="s">
        <v>110</v>
      </c>
    </row>
    <row r="54" spans="1:11">
      <c r="A54" t="s">
        <v>111</v>
      </c>
      <c r="B54">
        <v>10411</v>
      </c>
      <c r="C54">
        <v>23</v>
      </c>
      <c r="D54" s="21">
        <v>100</v>
      </c>
      <c r="E54" s="22">
        <v>38473</v>
      </c>
      <c r="F54" t="s">
        <v>13</v>
      </c>
      <c r="G54" t="s">
        <v>72</v>
      </c>
      <c r="H54">
        <v>2</v>
      </c>
      <c r="I54">
        <v>2005</v>
      </c>
      <c r="J54" t="s">
        <v>22</v>
      </c>
      <c r="K54" t="s">
        <v>112</v>
      </c>
    </row>
    <row r="55" spans="1:11">
      <c r="A55" t="s">
        <v>69</v>
      </c>
      <c r="B55">
        <v>10424</v>
      </c>
      <c r="C55">
        <v>50</v>
      </c>
      <c r="D55" s="21">
        <v>100</v>
      </c>
      <c r="E55" s="22">
        <v>38503</v>
      </c>
      <c r="F55" t="s">
        <v>113</v>
      </c>
      <c r="G55" t="s">
        <v>72</v>
      </c>
      <c r="H55">
        <v>2</v>
      </c>
      <c r="I55">
        <v>2005</v>
      </c>
      <c r="J55" t="s">
        <v>61</v>
      </c>
      <c r="K55" t="s">
        <v>71</v>
      </c>
    </row>
    <row r="56" spans="1:11">
      <c r="A56" t="s">
        <v>12</v>
      </c>
      <c r="B56">
        <v>10107</v>
      </c>
      <c r="C56">
        <v>39</v>
      </c>
      <c r="D56" s="21">
        <v>99.91</v>
      </c>
      <c r="E56" s="22">
        <v>37676</v>
      </c>
      <c r="F56" t="s">
        <v>13</v>
      </c>
      <c r="G56" t="s">
        <v>14</v>
      </c>
      <c r="H56">
        <v>1</v>
      </c>
      <c r="I56">
        <v>2003</v>
      </c>
      <c r="J56" t="s">
        <v>22</v>
      </c>
      <c r="K56" t="s">
        <v>16</v>
      </c>
    </row>
    <row r="57" spans="1:11">
      <c r="A57" t="s">
        <v>42</v>
      </c>
      <c r="B57">
        <v>10120</v>
      </c>
      <c r="C57">
        <v>29</v>
      </c>
      <c r="D57" s="21">
        <v>96.34</v>
      </c>
      <c r="E57" s="22">
        <v>37740</v>
      </c>
      <c r="F57" t="s">
        <v>13</v>
      </c>
      <c r="G57" t="s">
        <v>14</v>
      </c>
      <c r="H57">
        <v>2</v>
      </c>
      <c r="I57">
        <v>2003</v>
      </c>
      <c r="J57" t="s">
        <v>15</v>
      </c>
      <c r="K57" t="s">
        <v>43</v>
      </c>
    </row>
    <row r="58" spans="1:11">
      <c r="A58" t="s">
        <v>21</v>
      </c>
      <c r="B58">
        <v>10134</v>
      </c>
      <c r="C58">
        <v>27</v>
      </c>
      <c r="D58" s="21">
        <v>100</v>
      </c>
      <c r="E58" s="22">
        <v>37803</v>
      </c>
      <c r="F58" t="s">
        <v>13</v>
      </c>
      <c r="G58" t="s">
        <v>14</v>
      </c>
      <c r="H58">
        <v>3</v>
      </c>
      <c r="I58">
        <v>2003</v>
      </c>
      <c r="J58" t="s">
        <v>22</v>
      </c>
      <c r="K58" t="s">
        <v>23</v>
      </c>
    </row>
    <row r="59" spans="1:11">
      <c r="A59" t="s">
        <v>25</v>
      </c>
      <c r="B59">
        <v>10145</v>
      </c>
      <c r="C59">
        <v>37</v>
      </c>
      <c r="D59" s="21">
        <v>100</v>
      </c>
      <c r="E59" s="22">
        <v>37858</v>
      </c>
      <c r="F59" t="s">
        <v>13</v>
      </c>
      <c r="G59" t="s">
        <v>14</v>
      </c>
      <c r="H59">
        <v>3</v>
      </c>
      <c r="I59">
        <v>2003</v>
      </c>
      <c r="J59" t="s">
        <v>22</v>
      </c>
      <c r="K59" t="s">
        <v>26</v>
      </c>
    </row>
    <row r="60" spans="1:11">
      <c r="A60" t="s">
        <v>28</v>
      </c>
      <c r="B60">
        <v>10159</v>
      </c>
      <c r="C60">
        <v>37</v>
      </c>
      <c r="D60" s="21">
        <v>100</v>
      </c>
      <c r="E60" s="22">
        <v>37904</v>
      </c>
      <c r="F60" t="s">
        <v>13</v>
      </c>
      <c r="G60" t="s">
        <v>14</v>
      </c>
      <c r="H60">
        <v>4</v>
      </c>
      <c r="I60">
        <v>2003</v>
      </c>
      <c r="J60" t="s">
        <v>22</v>
      </c>
      <c r="K60" t="s">
        <v>29</v>
      </c>
    </row>
    <row r="61" spans="1:11">
      <c r="A61" t="s">
        <v>31</v>
      </c>
      <c r="B61">
        <v>10168</v>
      </c>
      <c r="C61">
        <v>27</v>
      </c>
      <c r="D61" s="21">
        <v>100</v>
      </c>
      <c r="E61" s="22">
        <v>37922</v>
      </c>
      <c r="F61" t="s">
        <v>13</v>
      </c>
      <c r="G61" t="s">
        <v>14</v>
      </c>
      <c r="H61">
        <v>4</v>
      </c>
      <c r="I61">
        <v>2003</v>
      </c>
      <c r="J61" t="s">
        <v>22</v>
      </c>
      <c r="K61" t="s">
        <v>32</v>
      </c>
    </row>
    <row r="62" spans="1:11">
      <c r="A62" t="s">
        <v>34</v>
      </c>
      <c r="B62">
        <v>10180</v>
      </c>
      <c r="C62">
        <v>42</v>
      </c>
      <c r="D62" s="21">
        <v>100</v>
      </c>
      <c r="E62" s="22">
        <v>37936</v>
      </c>
      <c r="F62" t="s">
        <v>13</v>
      </c>
      <c r="G62" t="s">
        <v>14</v>
      </c>
      <c r="H62">
        <v>4</v>
      </c>
      <c r="I62">
        <v>2003</v>
      </c>
      <c r="J62" t="s">
        <v>22</v>
      </c>
      <c r="K62" t="s">
        <v>35</v>
      </c>
    </row>
    <row r="63" spans="1:11">
      <c r="A63" t="s">
        <v>36</v>
      </c>
      <c r="B63">
        <v>10188</v>
      </c>
      <c r="C63">
        <v>38</v>
      </c>
      <c r="D63" s="21">
        <v>96.34</v>
      </c>
      <c r="E63" s="22">
        <v>37943</v>
      </c>
      <c r="F63" t="s">
        <v>13</v>
      </c>
      <c r="G63" t="s">
        <v>14</v>
      </c>
      <c r="H63">
        <v>4</v>
      </c>
      <c r="I63">
        <v>2003</v>
      </c>
      <c r="J63" t="s">
        <v>22</v>
      </c>
      <c r="K63" t="s">
        <v>37</v>
      </c>
    </row>
    <row r="64" spans="1:11">
      <c r="A64" t="s">
        <v>38</v>
      </c>
      <c r="B64">
        <v>10201</v>
      </c>
      <c r="C64">
        <v>24</v>
      </c>
      <c r="D64" s="21">
        <v>100</v>
      </c>
      <c r="E64" s="22">
        <v>37956</v>
      </c>
      <c r="F64" t="s">
        <v>13</v>
      </c>
      <c r="G64" t="s">
        <v>14</v>
      </c>
      <c r="H64">
        <v>4</v>
      </c>
      <c r="I64">
        <v>2003</v>
      </c>
      <c r="J64" t="s">
        <v>22</v>
      </c>
      <c r="K64" t="s">
        <v>39</v>
      </c>
    </row>
    <row r="65" spans="1:11">
      <c r="A65" t="s">
        <v>114</v>
      </c>
      <c r="B65">
        <v>10210</v>
      </c>
      <c r="C65">
        <v>23</v>
      </c>
      <c r="D65" s="21">
        <v>100</v>
      </c>
      <c r="E65" s="22">
        <v>37998</v>
      </c>
      <c r="F65" t="s">
        <v>13</v>
      </c>
      <c r="G65" t="s">
        <v>14</v>
      </c>
      <c r="H65">
        <v>1</v>
      </c>
      <c r="I65">
        <v>2004</v>
      </c>
      <c r="J65" t="s">
        <v>22</v>
      </c>
      <c r="K65" t="s">
        <v>115</v>
      </c>
    </row>
    <row r="66" spans="1:11">
      <c r="A66" t="s">
        <v>42</v>
      </c>
      <c r="B66">
        <v>10223</v>
      </c>
      <c r="C66">
        <v>47</v>
      </c>
      <c r="D66" s="21">
        <v>100</v>
      </c>
      <c r="E66" s="22">
        <v>38037</v>
      </c>
      <c r="F66" t="s">
        <v>13</v>
      </c>
      <c r="G66" t="s">
        <v>14</v>
      </c>
      <c r="H66">
        <v>1</v>
      </c>
      <c r="I66">
        <v>2004</v>
      </c>
      <c r="J66" t="s">
        <v>22</v>
      </c>
      <c r="K66" t="s">
        <v>43</v>
      </c>
    </row>
    <row r="67" spans="1:11">
      <c r="A67" t="s">
        <v>116</v>
      </c>
      <c r="B67">
        <v>10236</v>
      </c>
      <c r="C67">
        <v>22</v>
      </c>
      <c r="D67" s="21">
        <v>100</v>
      </c>
      <c r="E67" s="22">
        <v>38080</v>
      </c>
      <c r="F67" t="s">
        <v>13</v>
      </c>
      <c r="G67" t="s">
        <v>14</v>
      </c>
      <c r="H67">
        <v>2</v>
      </c>
      <c r="I67">
        <v>2004</v>
      </c>
      <c r="J67" t="s">
        <v>15</v>
      </c>
      <c r="K67" t="s">
        <v>117</v>
      </c>
    </row>
    <row r="68" spans="1:11">
      <c r="A68" t="s">
        <v>46</v>
      </c>
      <c r="B68">
        <v>10251</v>
      </c>
      <c r="C68">
        <v>44</v>
      </c>
      <c r="D68" s="21">
        <v>100</v>
      </c>
      <c r="E68" s="22">
        <v>38125</v>
      </c>
      <c r="F68" t="s">
        <v>13</v>
      </c>
      <c r="G68" t="s">
        <v>14</v>
      </c>
      <c r="H68">
        <v>2</v>
      </c>
      <c r="I68">
        <v>2004</v>
      </c>
      <c r="J68" t="s">
        <v>22</v>
      </c>
      <c r="K68" t="s">
        <v>47</v>
      </c>
    </row>
    <row r="69" spans="1:11">
      <c r="A69" t="s">
        <v>48</v>
      </c>
      <c r="B69">
        <v>10263</v>
      </c>
      <c r="C69">
        <v>40</v>
      </c>
      <c r="D69" s="21">
        <v>100</v>
      </c>
      <c r="E69" s="22">
        <v>38166</v>
      </c>
      <c r="F69" t="s">
        <v>13</v>
      </c>
      <c r="G69" t="s">
        <v>14</v>
      </c>
      <c r="H69">
        <v>2</v>
      </c>
      <c r="I69">
        <v>2004</v>
      </c>
      <c r="J69" t="s">
        <v>22</v>
      </c>
      <c r="K69" t="s">
        <v>49</v>
      </c>
    </row>
    <row r="70" spans="1:11">
      <c r="A70" t="s">
        <v>50</v>
      </c>
      <c r="B70">
        <v>10275</v>
      </c>
      <c r="C70">
        <v>22</v>
      </c>
      <c r="D70" s="21">
        <v>100</v>
      </c>
      <c r="E70" s="22">
        <v>38191</v>
      </c>
      <c r="F70" t="s">
        <v>13</v>
      </c>
      <c r="G70" t="s">
        <v>14</v>
      </c>
      <c r="H70">
        <v>3</v>
      </c>
      <c r="I70">
        <v>2004</v>
      </c>
      <c r="J70" t="s">
        <v>15</v>
      </c>
      <c r="K70" t="s">
        <v>51</v>
      </c>
    </row>
    <row r="71" spans="1:11">
      <c r="A71" t="s">
        <v>52</v>
      </c>
      <c r="B71">
        <v>10285</v>
      </c>
      <c r="C71">
        <v>47</v>
      </c>
      <c r="D71" s="21">
        <v>100</v>
      </c>
      <c r="E71" s="22">
        <v>38226</v>
      </c>
      <c r="F71" t="s">
        <v>13</v>
      </c>
      <c r="G71" t="s">
        <v>14</v>
      </c>
      <c r="H71">
        <v>3</v>
      </c>
      <c r="I71">
        <v>2004</v>
      </c>
      <c r="J71" t="s">
        <v>22</v>
      </c>
      <c r="K71" t="s">
        <v>53</v>
      </c>
    </row>
    <row r="72" spans="1:11">
      <c r="A72" t="s">
        <v>118</v>
      </c>
      <c r="B72">
        <v>10298</v>
      </c>
      <c r="C72">
        <v>39</v>
      </c>
      <c r="D72" s="21">
        <v>96.34</v>
      </c>
      <c r="E72" s="22">
        <v>38257</v>
      </c>
      <c r="F72" t="s">
        <v>13</v>
      </c>
      <c r="G72" t="s">
        <v>14</v>
      </c>
      <c r="H72">
        <v>3</v>
      </c>
      <c r="I72">
        <v>2004</v>
      </c>
      <c r="J72" t="s">
        <v>22</v>
      </c>
      <c r="K72" t="s">
        <v>119</v>
      </c>
    </row>
    <row r="73" spans="1:11">
      <c r="A73" t="s">
        <v>120</v>
      </c>
      <c r="B73">
        <v>10308</v>
      </c>
      <c r="C73">
        <v>34</v>
      </c>
      <c r="D73" s="21">
        <v>100</v>
      </c>
      <c r="E73" s="22">
        <v>38275</v>
      </c>
      <c r="F73" t="s">
        <v>13</v>
      </c>
      <c r="G73" t="s">
        <v>14</v>
      </c>
      <c r="H73">
        <v>4</v>
      </c>
      <c r="I73">
        <v>2004</v>
      </c>
      <c r="J73" t="s">
        <v>22</v>
      </c>
      <c r="K73" t="s">
        <v>121</v>
      </c>
    </row>
    <row r="74" spans="1:11">
      <c r="A74" t="s">
        <v>58</v>
      </c>
      <c r="B74">
        <v>10318</v>
      </c>
      <c r="C74">
        <v>45</v>
      </c>
      <c r="D74" s="21">
        <v>100</v>
      </c>
      <c r="E74" s="22">
        <v>38293</v>
      </c>
      <c r="F74" t="s">
        <v>13</v>
      </c>
      <c r="G74" t="s">
        <v>14</v>
      </c>
      <c r="H74">
        <v>4</v>
      </c>
      <c r="I74">
        <v>2004</v>
      </c>
      <c r="J74" t="s">
        <v>22</v>
      </c>
      <c r="K74" t="s">
        <v>59</v>
      </c>
    </row>
    <row r="75" spans="1:11">
      <c r="A75" t="s">
        <v>12</v>
      </c>
      <c r="B75">
        <v>10329</v>
      </c>
      <c r="C75">
        <v>20</v>
      </c>
      <c r="D75" s="21">
        <v>100</v>
      </c>
      <c r="E75" s="22">
        <v>38306</v>
      </c>
      <c r="F75" t="s">
        <v>13</v>
      </c>
      <c r="G75" t="s">
        <v>14</v>
      </c>
      <c r="H75">
        <v>4</v>
      </c>
      <c r="I75">
        <v>2004</v>
      </c>
      <c r="J75" t="s">
        <v>22</v>
      </c>
      <c r="K75" t="s">
        <v>16</v>
      </c>
    </row>
    <row r="76" spans="1:11">
      <c r="A76" t="s">
        <v>95</v>
      </c>
      <c r="B76">
        <v>10339</v>
      </c>
      <c r="C76">
        <v>40</v>
      </c>
      <c r="D76" s="21">
        <v>68.92</v>
      </c>
      <c r="E76" s="22">
        <v>38314</v>
      </c>
      <c r="F76" t="s">
        <v>13</v>
      </c>
      <c r="G76" t="s">
        <v>14</v>
      </c>
      <c r="H76">
        <v>4</v>
      </c>
      <c r="I76">
        <v>2004</v>
      </c>
      <c r="J76" t="s">
        <v>15</v>
      </c>
      <c r="K76" t="s">
        <v>96</v>
      </c>
    </row>
    <row r="77" spans="1:11">
      <c r="A77" t="s">
        <v>63</v>
      </c>
      <c r="B77">
        <v>10361</v>
      </c>
      <c r="C77">
        <v>26</v>
      </c>
      <c r="D77" s="21">
        <v>51.15</v>
      </c>
      <c r="E77" s="22">
        <v>38338</v>
      </c>
      <c r="F77" t="s">
        <v>13</v>
      </c>
      <c r="G77" t="s">
        <v>14</v>
      </c>
      <c r="H77">
        <v>4</v>
      </c>
      <c r="I77">
        <v>2004</v>
      </c>
      <c r="J77" t="s">
        <v>15</v>
      </c>
      <c r="K77" t="s">
        <v>64</v>
      </c>
    </row>
    <row r="78" spans="1:11">
      <c r="A78" t="s">
        <v>81</v>
      </c>
      <c r="B78">
        <v>10374</v>
      </c>
      <c r="C78">
        <v>39</v>
      </c>
      <c r="D78" s="21">
        <v>100</v>
      </c>
      <c r="E78" s="22">
        <v>38385</v>
      </c>
      <c r="F78" t="s">
        <v>13</v>
      </c>
      <c r="G78" t="s">
        <v>14</v>
      </c>
      <c r="H78">
        <v>1</v>
      </c>
      <c r="I78">
        <v>2005</v>
      </c>
      <c r="J78" t="s">
        <v>22</v>
      </c>
      <c r="K78" t="s">
        <v>82</v>
      </c>
    </row>
    <row r="79" spans="1:11">
      <c r="A79" t="s">
        <v>65</v>
      </c>
      <c r="B79">
        <v>10388</v>
      </c>
      <c r="C79">
        <v>50</v>
      </c>
      <c r="D79" s="21">
        <v>44.51</v>
      </c>
      <c r="E79" s="22">
        <v>38414</v>
      </c>
      <c r="F79" t="s">
        <v>13</v>
      </c>
      <c r="G79" t="s">
        <v>14</v>
      </c>
      <c r="H79">
        <v>1</v>
      </c>
      <c r="I79">
        <v>2005</v>
      </c>
      <c r="J79" t="s">
        <v>15</v>
      </c>
      <c r="K79" t="s">
        <v>66</v>
      </c>
    </row>
    <row r="80" spans="1:11">
      <c r="A80" t="s">
        <v>40</v>
      </c>
      <c r="B80">
        <v>10402</v>
      </c>
      <c r="C80">
        <v>45</v>
      </c>
      <c r="D80" s="21">
        <v>100</v>
      </c>
      <c r="E80" s="22">
        <v>38449</v>
      </c>
      <c r="F80" t="s">
        <v>13</v>
      </c>
      <c r="G80" t="s">
        <v>14</v>
      </c>
      <c r="H80">
        <v>2</v>
      </c>
      <c r="I80">
        <v>2005</v>
      </c>
      <c r="J80" t="s">
        <v>22</v>
      </c>
      <c r="K80" t="s">
        <v>41</v>
      </c>
    </row>
    <row r="81" spans="1:11">
      <c r="A81" t="s">
        <v>69</v>
      </c>
      <c r="B81">
        <v>10417</v>
      </c>
      <c r="C81">
        <v>45</v>
      </c>
      <c r="D81" s="21">
        <v>100</v>
      </c>
      <c r="E81" s="22">
        <v>38485</v>
      </c>
      <c r="F81" t="s">
        <v>70</v>
      </c>
      <c r="G81" t="s">
        <v>14</v>
      </c>
      <c r="H81">
        <v>2</v>
      </c>
      <c r="I81">
        <v>2005</v>
      </c>
      <c r="J81" t="s">
        <v>22</v>
      </c>
      <c r="K81" t="s">
        <v>71</v>
      </c>
    </row>
    <row r="82" spans="1:11">
      <c r="A82" t="s">
        <v>12</v>
      </c>
      <c r="B82">
        <v>10107</v>
      </c>
      <c r="C82">
        <v>27</v>
      </c>
      <c r="D82" s="21">
        <v>100</v>
      </c>
      <c r="E82" s="22">
        <v>37676</v>
      </c>
      <c r="F82" t="s">
        <v>13</v>
      </c>
      <c r="G82" t="s">
        <v>14</v>
      </c>
      <c r="H82">
        <v>1</v>
      </c>
      <c r="I82">
        <v>2003</v>
      </c>
      <c r="J82" t="s">
        <v>22</v>
      </c>
      <c r="K82" t="s">
        <v>16</v>
      </c>
    </row>
    <row r="83" spans="1:11">
      <c r="A83" t="s">
        <v>42</v>
      </c>
      <c r="B83">
        <v>10120</v>
      </c>
      <c r="C83">
        <v>46</v>
      </c>
      <c r="D83" s="21">
        <v>100</v>
      </c>
      <c r="E83" s="22">
        <v>37740</v>
      </c>
      <c r="F83" t="s">
        <v>13</v>
      </c>
      <c r="G83" t="s">
        <v>14</v>
      </c>
      <c r="H83">
        <v>2</v>
      </c>
      <c r="I83">
        <v>2003</v>
      </c>
      <c r="J83" t="s">
        <v>61</v>
      </c>
      <c r="K83" t="s">
        <v>43</v>
      </c>
    </row>
    <row r="84" spans="1:11">
      <c r="A84" t="s">
        <v>21</v>
      </c>
      <c r="B84">
        <v>10134</v>
      </c>
      <c r="C84">
        <v>31</v>
      </c>
      <c r="D84" s="21">
        <v>100</v>
      </c>
      <c r="E84" s="22">
        <v>37803</v>
      </c>
      <c r="F84" t="s">
        <v>13</v>
      </c>
      <c r="G84" t="s">
        <v>14</v>
      </c>
      <c r="H84">
        <v>3</v>
      </c>
      <c r="I84">
        <v>2003</v>
      </c>
      <c r="J84" t="s">
        <v>61</v>
      </c>
      <c r="K84" t="s">
        <v>23</v>
      </c>
    </row>
    <row r="85" spans="1:11">
      <c r="A85" t="s">
        <v>25</v>
      </c>
      <c r="B85">
        <v>10145</v>
      </c>
      <c r="C85">
        <v>33</v>
      </c>
      <c r="D85" s="21">
        <v>100</v>
      </c>
      <c r="E85" s="22">
        <v>37858</v>
      </c>
      <c r="F85" t="s">
        <v>13</v>
      </c>
      <c r="G85" t="s">
        <v>14</v>
      </c>
      <c r="H85">
        <v>3</v>
      </c>
      <c r="I85">
        <v>2003</v>
      </c>
      <c r="J85" t="s">
        <v>22</v>
      </c>
      <c r="K85" t="s">
        <v>26</v>
      </c>
    </row>
    <row r="86" spans="1:11">
      <c r="A86" t="s">
        <v>28</v>
      </c>
      <c r="B86">
        <v>10159</v>
      </c>
      <c r="C86">
        <v>22</v>
      </c>
      <c r="D86" s="21">
        <v>100</v>
      </c>
      <c r="E86" s="22">
        <v>37904</v>
      </c>
      <c r="F86" t="s">
        <v>13</v>
      </c>
      <c r="G86" t="s">
        <v>14</v>
      </c>
      <c r="H86">
        <v>4</v>
      </c>
      <c r="I86">
        <v>2003</v>
      </c>
      <c r="J86" t="s">
        <v>22</v>
      </c>
      <c r="K86" t="s">
        <v>29</v>
      </c>
    </row>
    <row r="87" spans="1:11">
      <c r="A87" t="s">
        <v>31</v>
      </c>
      <c r="B87">
        <v>10168</v>
      </c>
      <c r="C87">
        <v>20</v>
      </c>
      <c r="D87" s="21">
        <v>100</v>
      </c>
      <c r="E87" s="22">
        <v>37922</v>
      </c>
      <c r="F87" t="s">
        <v>13</v>
      </c>
      <c r="G87" t="s">
        <v>14</v>
      </c>
      <c r="H87">
        <v>4</v>
      </c>
      <c r="I87">
        <v>2003</v>
      </c>
      <c r="J87" t="s">
        <v>22</v>
      </c>
      <c r="K87" t="s">
        <v>32</v>
      </c>
    </row>
    <row r="88" spans="1:11">
      <c r="A88" t="s">
        <v>34</v>
      </c>
      <c r="B88">
        <v>10180</v>
      </c>
      <c r="C88">
        <v>41</v>
      </c>
      <c r="D88" s="21">
        <v>100</v>
      </c>
      <c r="E88" s="22">
        <v>37936</v>
      </c>
      <c r="F88" t="s">
        <v>13</v>
      </c>
      <c r="G88" t="s">
        <v>14</v>
      </c>
      <c r="H88">
        <v>4</v>
      </c>
      <c r="I88">
        <v>2003</v>
      </c>
      <c r="J88" t="s">
        <v>61</v>
      </c>
      <c r="K88" t="s">
        <v>35</v>
      </c>
    </row>
    <row r="89" spans="1:11">
      <c r="A89" t="s">
        <v>36</v>
      </c>
      <c r="B89">
        <v>10188</v>
      </c>
      <c r="C89">
        <v>45</v>
      </c>
      <c r="D89" s="21">
        <v>100</v>
      </c>
      <c r="E89" s="22">
        <v>37943</v>
      </c>
      <c r="F89" t="s">
        <v>13</v>
      </c>
      <c r="G89" t="s">
        <v>14</v>
      </c>
      <c r="H89">
        <v>4</v>
      </c>
      <c r="I89">
        <v>2003</v>
      </c>
      <c r="J89" t="s">
        <v>61</v>
      </c>
      <c r="K89" t="s">
        <v>37</v>
      </c>
    </row>
    <row r="90" spans="1:11">
      <c r="A90" t="s">
        <v>38</v>
      </c>
      <c r="B90">
        <v>10201</v>
      </c>
      <c r="C90">
        <v>49</v>
      </c>
      <c r="D90" s="21">
        <v>100</v>
      </c>
      <c r="E90" s="22">
        <v>37956</v>
      </c>
      <c r="F90" t="s">
        <v>13</v>
      </c>
      <c r="G90" t="s">
        <v>14</v>
      </c>
      <c r="H90">
        <v>4</v>
      </c>
      <c r="I90">
        <v>2003</v>
      </c>
      <c r="J90" t="s">
        <v>61</v>
      </c>
      <c r="K90" t="s">
        <v>39</v>
      </c>
    </row>
    <row r="91" spans="1:11">
      <c r="A91" t="s">
        <v>114</v>
      </c>
      <c r="B91">
        <v>10210</v>
      </c>
      <c r="C91">
        <v>34</v>
      </c>
      <c r="D91" s="21">
        <v>100</v>
      </c>
      <c r="E91" s="22">
        <v>37998</v>
      </c>
      <c r="F91" t="s">
        <v>13</v>
      </c>
      <c r="G91" t="s">
        <v>14</v>
      </c>
      <c r="H91">
        <v>1</v>
      </c>
      <c r="I91">
        <v>2004</v>
      </c>
      <c r="J91" t="s">
        <v>22</v>
      </c>
      <c r="K91" t="s">
        <v>115</v>
      </c>
    </row>
    <row r="92" spans="1:11">
      <c r="A92" t="s">
        <v>42</v>
      </c>
      <c r="B92">
        <v>10223</v>
      </c>
      <c r="C92">
        <v>49</v>
      </c>
      <c r="D92" s="21">
        <v>100</v>
      </c>
      <c r="E92" s="22">
        <v>38037</v>
      </c>
      <c r="F92" t="s">
        <v>13</v>
      </c>
      <c r="G92" t="s">
        <v>14</v>
      </c>
      <c r="H92">
        <v>1</v>
      </c>
      <c r="I92">
        <v>2004</v>
      </c>
      <c r="J92" t="s">
        <v>61</v>
      </c>
      <c r="K92" t="s">
        <v>43</v>
      </c>
    </row>
    <row r="93" spans="1:11">
      <c r="A93" t="s">
        <v>44</v>
      </c>
      <c r="B93">
        <v>10237</v>
      </c>
      <c r="C93">
        <v>39</v>
      </c>
      <c r="D93" s="21">
        <v>100</v>
      </c>
      <c r="E93" s="22">
        <v>38082</v>
      </c>
      <c r="F93" t="s">
        <v>13</v>
      </c>
      <c r="G93" t="s">
        <v>14</v>
      </c>
      <c r="H93">
        <v>2</v>
      </c>
      <c r="I93">
        <v>2004</v>
      </c>
      <c r="J93" t="s">
        <v>61</v>
      </c>
      <c r="K93" t="s">
        <v>45</v>
      </c>
    </row>
    <row r="94" spans="1:11">
      <c r="A94" t="s">
        <v>46</v>
      </c>
      <c r="B94">
        <v>10251</v>
      </c>
      <c r="C94">
        <v>43</v>
      </c>
      <c r="D94" s="21">
        <v>100</v>
      </c>
      <c r="E94" s="22">
        <v>38125</v>
      </c>
      <c r="F94" t="s">
        <v>13</v>
      </c>
      <c r="G94" t="s">
        <v>14</v>
      </c>
      <c r="H94">
        <v>2</v>
      </c>
      <c r="I94">
        <v>2004</v>
      </c>
      <c r="J94" t="s">
        <v>61</v>
      </c>
      <c r="K94" t="s">
        <v>47</v>
      </c>
    </row>
    <row r="95" spans="1:11">
      <c r="A95" t="s">
        <v>48</v>
      </c>
      <c r="B95">
        <v>10263</v>
      </c>
      <c r="C95">
        <v>41</v>
      </c>
      <c r="D95" s="21">
        <v>100</v>
      </c>
      <c r="E95" s="22">
        <v>38166</v>
      </c>
      <c r="F95" t="s">
        <v>13</v>
      </c>
      <c r="G95" t="s">
        <v>14</v>
      </c>
      <c r="H95">
        <v>2</v>
      </c>
      <c r="I95">
        <v>2004</v>
      </c>
      <c r="J95" t="s">
        <v>61</v>
      </c>
      <c r="K95" t="s">
        <v>49</v>
      </c>
    </row>
    <row r="96" spans="1:11">
      <c r="A96" t="s">
        <v>50</v>
      </c>
      <c r="B96">
        <v>10275</v>
      </c>
      <c r="C96">
        <v>36</v>
      </c>
      <c r="D96" s="21">
        <v>100</v>
      </c>
      <c r="E96" s="22">
        <v>38191</v>
      </c>
      <c r="F96" t="s">
        <v>13</v>
      </c>
      <c r="G96" t="s">
        <v>14</v>
      </c>
      <c r="H96">
        <v>3</v>
      </c>
      <c r="I96">
        <v>2004</v>
      </c>
      <c r="J96" t="s">
        <v>22</v>
      </c>
      <c r="K96" t="s">
        <v>51</v>
      </c>
    </row>
    <row r="97" spans="1:11">
      <c r="A97" t="s">
        <v>52</v>
      </c>
      <c r="B97">
        <v>10285</v>
      </c>
      <c r="C97">
        <v>27</v>
      </c>
      <c r="D97" s="21">
        <v>100</v>
      </c>
      <c r="E97" s="22">
        <v>38226</v>
      </c>
      <c r="F97" t="s">
        <v>13</v>
      </c>
      <c r="G97" t="s">
        <v>14</v>
      </c>
      <c r="H97">
        <v>3</v>
      </c>
      <c r="I97">
        <v>2004</v>
      </c>
      <c r="J97" t="s">
        <v>22</v>
      </c>
      <c r="K97" t="s">
        <v>53</v>
      </c>
    </row>
    <row r="98" spans="1:11">
      <c r="A98" t="s">
        <v>54</v>
      </c>
      <c r="B98">
        <v>10299</v>
      </c>
      <c r="C98">
        <v>29</v>
      </c>
      <c r="D98" s="21">
        <v>100</v>
      </c>
      <c r="E98" s="22">
        <v>38260</v>
      </c>
      <c r="F98" t="s">
        <v>13</v>
      </c>
      <c r="G98" t="s">
        <v>14</v>
      </c>
      <c r="H98">
        <v>3</v>
      </c>
      <c r="I98">
        <v>2004</v>
      </c>
      <c r="J98" t="s">
        <v>22</v>
      </c>
      <c r="K98" t="s">
        <v>55</v>
      </c>
    </row>
    <row r="99" spans="1:11">
      <c r="A99" t="s">
        <v>120</v>
      </c>
      <c r="B99">
        <v>10308</v>
      </c>
      <c r="C99">
        <v>20</v>
      </c>
      <c r="D99" s="21">
        <v>100</v>
      </c>
      <c r="E99" s="22">
        <v>38275</v>
      </c>
      <c r="F99" t="s">
        <v>13</v>
      </c>
      <c r="G99" t="s">
        <v>14</v>
      </c>
      <c r="H99">
        <v>4</v>
      </c>
      <c r="I99">
        <v>2004</v>
      </c>
      <c r="J99" t="s">
        <v>22</v>
      </c>
      <c r="K99" t="s">
        <v>121</v>
      </c>
    </row>
    <row r="100" spans="1:11">
      <c r="A100" t="s">
        <v>58</v>
      </c>
      <c r="B100">
        <v>10318</v>
      </c>
      <c r="C100">
        <v>37</v>
      </c>
      <c r="D100" s="21">
        <v>100</v>
      </c>
      <c r="E100" s="22">
        <v>38293</v>
      </c>
      <c r="F100" t="s">
        <v>13</v>
      </c>
      <c r="G100" t="s">
        <v>14</v>
      </c>
      <c r="H100">
        <v>4</v>
      </c>
      <c r="I100">
        <v>2004</v>
      </c>
      <c r="J100" t="s">
        <v>61</v>
      </c>
      <c r="K100" t="s">
        <v>59</v>
      </c>
    </row>
    <row r="101" spans="1:11">
      <c r="A101" t="s">
        <v>12</v>
      </c>
      <c r="B101">
        <v>10329</v>
      </c>
      <c r="C101">
        <v>26</v>
      </c>
      <c r="D101" s="21">
        <v>100</v>
      </c>
      <c r="E101" s="22">
        <v>38306</v>
      </c>
      <c r="F101" t="s">
        <v>13</v>
      </c>
      <c r="G101" t="s">
        <v>14</v>
      </c>
      <c r="H101">
        <v>4</v>
      </c>
      <c r="I101">
        <v>2004</v>
      </c>
      <c r="J101" t="s">
        <v>22</v>
      </c>
      <c r="K101" t="s">
        <v>16</v>
      </c>
    </row>
    <row r="102" spans="1:11">
      <c r="A102" t="s">
        <v>95</v>
      </c>
      <c r="B102">
        <v>10339</v>
      </c>
      <c r="C102">
        <v>39</v>
      </c>
      <c r="D102" s="21">
        <v>76.67</v>
      </c>
      <c r="E102" s="22">
        <v>38314</v>
      </c>
      <c r="F102" t="s">
        <v>13</v>
      </c>
      <c r="G102" t="s">
        <v>14</v>
      </c>
      <c r="H102">
        <v>4</v>
      </c>
      <c r="I102">
        <v>2004</v>
      </c>
      <c r="J102" t="s">
        <v>15</v>
      </c>
      <c r="K102" t="s">
        <v>96</v>
      </c>
    </row>
    <row r="103" spans="1:11">
      <c r="A103" t="s">
        <v>31</v>
      </c>
      <c r="B103">
        <v>10362</v>
      </c>
      <c r="C103">
        <v>22</v>
      </c>
      <c r="D103" s="21">
        <v>100</v>
      </c>
      <c r="E103" s="22">
        <v>38357</v>
      </c>
      <c r="F103" t="s">
        <v>13</v>
      </c>
      <c r="G103" t="s">
        <v>14</v>
      </c>
      <c r="H103">
        <v>1</v>
      </c>
      <c r="I103">
        <v>2005</v>
      </c>
      <c r="J103" t="s">
        <v>22</v>
      </c>
      <c r="K103" t="s">
        <v>32</v>
      </c>
    </row>
    <row r="104" spans="1:11">
      <c r="A104" t="s">
        <v>81</v>
      </c>
      <c r="B104">
        <v>10374</v>
      </c>
      <c r="C104">
        <v>22</v>
      </c>
      <c r="D104" s="21">
        <v>100</v>
      </c>
      <c r="E104" s="22">
        <v>38385</v>
      </c>
      <c r="F104" t="s">
        <v>13</v>
      </c>
      <c r="G104" t="s">
        <v>14</v>
      </c>
      <c r="H104">
        <v>1</v>
      </c>
      <c r="I104">
        <v>2005</v>
      </c>
      <c r="J104" t="s">
        <v>22</v>
      </c>
      <c r="K104" t="s">
        <v>82</v>
      </c>
    </row>
    <row r="105" spans="1:11">
      <c r="A105" t="s">
        <v>65</v>
      </c>
      <c r="B105">
        <v>10388</v>
      </c>
      <c r="C105">
        <v>21</v>
      </c>
      <c r="D105" s="21">
        <v>86.77</v>
      </c>
      <c r="E105" s="22">
        <v>38414</v>
      </c>
      <c r="F105" t="s">
        <v>13</v>
      </c>
      <c r="G105" t="s">
        <v>14</v>
      </c>
      <c r="H105">
        <v>1</v>
      </c>
      <c r="I105">
        <v>2005</v>
      </c>
      <c r="J105" t="s">
        <v>15</v>
      </c>
      <c r="K105" t="s">
        <v>66</v>
      </c>
    </row>
    <row r="106" spans="1:11">
      <c r="A106" t="s">
        <v>67</v>
      </c>
      <c r="B106">
        <v>10403</v>
      </c>
      <c r="C106">
        <v>66</v>
      </c>
      <c r="D106" s="21">
        <v>100</v>
      </c>
      <c r="E106" s="22">
        <v>38450</v>
      </c>
      <c r="F106" t="s">
        <v>13</v>
      </c>
      <c r="G106" t="s">
        <v>14</v>
      </c>
      <c r="H106">
        <v>2</v>
      </c>
      <c r="I106">
        <v>2005</v>
      </c>
      <c r="J106" t="s">
        <v>61</v>
      </c>
      <c r="K106" t="s">
        <v>68</v>
      </c>
    </row>
    <row r="107" spans="1:11">
      <c r="A107" t="s">
        <v>69</v>
      </c>
      <c r="B107">
        <v>10417</v>
      </c>
      <c r="C107">
        <v>56</v>
      </c>
      <c r="D107" s="21">
        <v>100</v>
      </c>
      <c r="E107" s="22">
        <v>38485</v>
      </c>
      <c r="F107" t="s">
        <v>70</v>
      </c>
      <c r="G107" t="s">
        <v>14</v>
      </c>
      <c r="H107">
        <v>2</v>
      </c>
      <c r="I107">
        <v>2005</v>
      </c>
      <c r="J107" t="s">
        <v>61</v>
      </c>
      <c r="K107" t="s">
        <v>71</v>
      </c>
    </row>
    <row r="108" spans="1:11">
      <c r="A108" t="s">
        <v>122</v>
      </c>
      <c r="B108">
        <v>10105</v>
      </c>
      <c r="C108">
        <v>50</v>
      </c>
      <c r="D108" s="21">
        <v>100</v>
      </c>
      <c r="E108" s="22">
        <v>37663</v>
      </c>
      <c r="F108" t="s">
        <v>13</v>
      </c>
      <c r="G108" t="s">
        <v>72</v>
      </c>
      <c r="H108">
        <v>1</v>
      </c>
      <c r="I108">
        <v>2003</v>
      </c>
      <c r="J108" t="s">
        <v>61</v>
      </c>
      <c r="K108" t="s">
        <v>123</v>
      </c>
    </row>
    <row r="109" spans="1:11">
      <c r="A109" t="s">
        <v>60</v>
      </c>
      <c r="B109">
        <v>10119</v>
      </c>
      <c r="C109">
        <v>46</v>
      </c>
      <c r="D109" s="21">
        <v>100</v>
      </c>
      <c r="E109" s="22">
        <v>37739</v>
      </c>
      <c r="F109" t="s">
        <v>13</v>
      </c>
      <c r="G109" t="s">
        <v>72</v>
      </c>
      <c r="H109">
        <v>2</v>
      </c>
      <c r="I109">
        <v>2003</v>
      </c>
      <c r="J109" t="s">
        <v>22</v>
      </c>
      <c r="K109" t="s">
        <v>62</v>
      </c>
    </row>
    <row r="110" spans="1:11">
      <c r="A110" t="s">
        <v>124</v>
      </c>
      <c r="B110">
        <v>10129</v>
      </c>
      <c r="C110">
        <v>33</v>
      </c>
      <c r="D110" s="21">
        <v>100</v>
      </c>
      <c r="E110" s="22">
        <v>37784</v>
      </c>
      <c r="F110" t="s">
        <v>13</v>
      </c>
      <c r="G110" t="s">
        <v>72</v>
      </c>
      <c r="H110">
        <v>2</v>
      </c>
      <c r="I110">
        <v>2003</v>
      </c>
      <c r="J110" t="s">
        <v>22</v>
      </c>
      <c r="K110" t="s">
        <v>125</v>
      </c>
    </row>
    <row r="111" spans="1:11">
      <c r="A111" t="s">
        <v>126</v>
      </c>
      <c r="B111">
        <v>10143</v>
      </c>
      <c r="C111">
        <v>49</v>
      </c>
      <c r="D111" s="21">
        <v>100</v>
      </c>
      <c r="E111" s="22">
        <v>37843</v>
      </c>
      <c r="F111" t="s">
        <v>13</v>
      </c>
      <c r="G111" t="s">
        <v>72</v>
      </c>
      <c r="H111">
        <v>3</v>
      </c>
      <c r="I111">
        <v>2003</v>
      </c>
      <c r="J111" t="s">
        <v>22</v>
      </c>
      <c r="K111" t="s">
        <v>127</v>
      </c>
    </row>
    <row r="112" spans="1:11">
      <c r="A112" t="s">
        <v>54</v>
      </c>
      <c r="B112">
        <v>10155</v>
      </c>
      <c r="C112">
        <v>32</v>
      </c>
      <c r="D112" s="21">
        <v>100</v>
      </c>
      <c r="E112" s="22">
        <v>37900</v>
      </c>
      <c r="F112" t="s">
        <v>13</v>
      </c>
      <c r="G112" t="s">
        <v>72</v>
      </c>
      <c r="H112">
        <v>4</v>
      </c>
      <c r="I112">
        <v>2003</v>
      </c>
      <c r="J112" t="s">
        <v>22</v>
      </c>
      <c r="K112" t="s">
        <v>55</v>
      </c>
    </row>
    <row r="113" spans="1:11">
      <c r="A113" t="s">
        <v>99</v>
      </c>
      <c r="B113">
        <v>10167</v>
      </c>
      <c r="C113">
        <v>44</v>
      </c>
      <c r="D113" s="21">
        <v>100</v>
      </c>
      <c r="E113" s="22">
        <v>37917</v>
      </c>
      <c r="F113" t="s">
        <v>128</v>
      </c>
      <c r="G113" t="s">
        <v>72</v>
      </c>
      <c r="H113">
        <v>4</v>
      </c>
      <c r="I113">
        <v>2003</v>
      </c>
      <c r="J113" t="s">
        <v>22</v>
      </c>
      <c r="K113" t="s">
        <v>100</v>
      </c>
    </row>
    <row r="114" spans="1:11">
      <c r="A114" t="s">
        <v>129</v>
      </c>
      <c r="B114">
        <v>10178</v>
      </c>
      <c r="C114">
        <v>24</v>
      </c>
      <c r="D114" s="21">
        <v>100</v>
      </c>
      <c r="E114" s="22">
        <v>37933</v>
      </c>
      <c r="F114" t="s">
        <v>13</v>
      </c>
      <c r="G114" t="s">
        <v>72</v>
      </c>
      <c r="H114">
        <v>4</v>
      </c>
      <c r="I114">
        <v>2003</v>
      </c>
      <c r="J114" t="s">
        <v>22</v>
      </c>
      <c r="K114" t="s">
        <v>130</v>
      </c>
    </row>
    <row r="115" spans="1:11">
      <c r="A115" t="s">
        <v>131</v>
      </c>
      <c r="B115">
        <v>10186</v>
      </c>
      <c r="C115">
        <v>26</v>
      </c>
      <c r="D115" s="21">
        <v>100</v>
      </c>
      <c r="E115" s="22">
        <v>37939</v>
      </c>
      <c r="F115" t="s">
        <v>13</v>
      </c>
      <c r="G115" t="s">
        <v>72</v>
      </c>
      <c r="H115">
        <v>4</v>
      </c>
      <c r="I115">
        <v>2003</v>
      </c>
      <c r="J115" t="s">
        <v>22</v>
      </c>
      <c r="K115" t="s">
        <v>132</v>
      </c>
    </row>
    <row r="116" spans="1:11">
      <c r="A116" t="s">
        <v>133</v>
      </c>
      <c r="B116">
        <v>10197</v>
      </c>
      <c r="C116">
        <v>45</v>
      </c>
      <c r="D116" s="21">
        <v>100</v>
      </c>
      <c r="E116" s="22">
        <v>37951</v>
      </c>
      <c r="F116" t="s">
        <v>13</v>
      </c>
      <c r="G116" t="s">
        <v>72</v>
      </c>
      <c r="H116">
        <v>4</v>
      </c>
      <c r="I116">
        <v>2003</v>
      </c>
      <c r="J116" t="s">
        <v>22</v>
      </c>
      <c r="K116" t="s">
        <v>134</v>
      </c>
    </row>
    <row r="117" spans="1:11">
      <c r="A117" t="s">
        <v>135</v>
      </c>
      <c r="B117">
        <v>10209</v>
      </c>
      <c r="C117">
        <v>39</v>
      </c>
      <c r="D117" s="21">
        <v>100</v>
      </c>
      <c r="E117" s="22">
        <v>37995</v>
      </c>
      <c r="F117" t="s">
        <v>13</v>
      </c>
      <c r="G117" t="s">
        <v>72</v>
      </c>
      <c r="H117">
        <v>1</v>
      </c>
      <c r="I117">
        <v>2004</v>
      </c>
      <c r="J117" t="s">
        <v>22</v>
      </c>
      <c r="K117" t="s">
        <v>136</v>
      </c>
    </row>
    <row r="118" spans="1:11">
      <c r="A118" t="s">
        <v>137</v>
      </c>
      <c r="B118">
        <v>10222</v>
      </c>
      <c r="C118">
        <v>49</v>
      </c>
      <c r="D118" s="21">
        <v>100</v>
      </c>
      <c r="E118" s="22">
        <v>38036</v>
      </c>
      <c r="F118" t="s">
        <v>13</v>
      </c>
      <c r="G118" t="s">
        <v>72</v>
      </c>
      <c r="H118">
        <v>1</v>
      </c>
      <c r="I118">
        <v>2004</v>
      </c>
      <c r="J118" t="s">
        <v>22</v>
      </c>
      <c r="K118" t="s">
        <v>138</v>
      </c>
    </row>
    <row r="119" spans="1:11">
      <c r="A119" t="s">
        <v>12</v>
      </c>
      <c r="B119">
        <v>10248</v>
      </c>
      <c r="C119">
        <v>20</v>
      </c>
      <c r="D119" s="21">
        <v>100</v>
      </c>
      <c r="E119" s="22">
        <v>38114</v>
      </c>
      <c r="F119" t="s">
        <v>128</v>
      </c>
      <c r="G119" t="s">
        <v>72</v>
      </c>
      <c r="H119">
        <v>2</v>
      </c>
      <c r="I119">
        <v>2004</v>
      </c>
      <c r="J119" t="s">
        <v>15</v>
      </c>
      <c r="K119" t="s">
        <v>16</v>
      </c>
    </row>
    <row r="120" spans="1:11">
      <c r="A120" t="s">
        <v>111</v>
      </c>
      <c r="B120">
        <v>10261</v>
      </c>
      <c r="C120">
        <v>27</v>
      </c>
      <c r="D120" s="21">
        <v>100</v>
      </c>
      <c r="E120" s="22">
        <v>38155</v>
      </c>
      <c r="F120" t="s">
        <v>13</v>
      </c>
      <c r="G120" t="s">
        <v>72</v>
      </c>
      <c r="H120">
        <v>2</v>
      </c>
      <c r="I120">
        <v>2004</v>
      </c>
      <c r="J120" t="s">
        <v>22</v>
      </c>
      <c r="K120" t="s">
        <v>112</v>
      </c>
    </row>
    <row r="121" spans="1:11">
      <c r="A121" t="s">
        <v>139</v>
      </c>
      <c r="B121">
        <v>10273</v>
      </c>
      <c r="C121">
        <v>30</v>
      </c>
      <c r="D121" s="21">
        <v>100</v>
      </c>
      <c r="E121" s="22">
        <v>38189</v>
      </c>
      <c r="F121" t="s">
        <v>13</v>
      </c>
      <c r="G121" t="s">
        <v>72</v>
      </c>
      <c r="H121">
        <v>3</v>
      </c>
      <c r="I121">
        <v>2004</v>
      </c>
      <c r="J121" t="s">
        <v>22</v>
      </c>
      <c r="K121" t="s">
        <v>140</v>
      </c>
    </row>
    <row r="122" spans="1:11">
      <c r="A122" t="s">
        <v>141</v>
      </c>
      <c r="B122">
        <v>10283</v>
      </c>
      <c r="C122">
        <v>25</v>
      </c>
      <c r="D122" s="21">
        <v>100</v>
      </c>
      <c r="E122" s="22">
        <v>38219</v>
      </c>
      <c r="F122" t="s">
        <v>13</v>
      </c>
      <c r="G122" t="s">
        <v>72</v>
      </c>
      <c r="H122">
        <v>3</v>
      </c>
      <c r="I122">
        <v>2004</v>
      </c>
      <c r="J122" t="s">
        <v>15</v>
      </c>
      <c r="K122" t="s">
        <v>142</v>
      </c>
    </row>
    <row r="123" spans="1:11">
      <c r="A123" t="s">
        <v>143</v>
      </c>
      <c r="B123">
        <v>10295</v>
      </c>
      <c r="C123">
        <v>24</v>
      </c>
      <c r="D123" s="21">
        <v>100</v>
      </c>
      <c r="E123" s="22">
        <v>38240</v>
      </c>
      <c r="F123" t="s">
        <v>13</v>
      </c>
      <c r="G123" t="s">
        <v>72</v>
      </c>
      <c r="H123">
        <v>3</v>
      </c>
      <c r="I123">
        <v>2004</v>
      </c>
      <c r="J123" t="s">
        <v>22</v>
      </c>
      <c r="K123" t="s">
        <v>144</v>
      </c>
    </row>
    <row r="124" spans="1:11">
      <c r="A124" t="s">
        <v>83</v>
      </c>
      <c r="B124">
        <v>10307</v>
      </c>
      <c r="C124">
        <v>22</v>
      </c>
      <c r="D124" s="21">
        <v>100</v>
      </c>
      <c r="E124" s="22">
        <v>38274</v>
      </c>
      <c r="F124" t="s">
        <v>13</v>
      </c>
      <c r="G124" t="s">
        <v>72</v>
      </c>
      <c r="H124">
        <v>4</v>
      </c>
      <c r="I124">
        <v>2004</v>
      </c>
      <c r="J124" t="s">
        <v>15</v>
      </c>
      <c r="K124" t="s">
        <v>84</v>
      </c>
    </row>
    <row r="125" spans="1:11">
      <c r="A125" t="s">
        <v>145</v>
      </c>
      <c r="B125">
        <v>10316</v>
      </c>
      <c r="C125">
        <v>33</v>
      </c>
      <c r="D125" s="21">
        <v>100</v>
      </c>
      <c r="E125" s="22">
        <v>38292</v>
      </c>
      <c r="F125" t="s">
        <v>13</v>
      </c>
      <c r="G125" t="s">
        <v>72</v>
      </c>
      <c r="H125">
        <v>4</v>
      </c>
      <c r="I125">
        <v>2004</v>
      </c>
      <c r="J125" t="s">
        <v>22</v>
      </c>
      <c r="K125" t="s">
        <v>146</v>
      </c>
    </row>
    <row r="126" spans="1:11">
      <c r="A126" t="s">
        <v>56</v>
      </c>
      <c r="B126">
        <v>10325</v>
      </c>
      <c r="C126">
        <v>47</v>
      </c>
      <c r="D126" s="21">
        <v>64.93</v>
      </c>
      <c r="E126" s="22">
        <v>38296</v>
      </c>
      <c r="F126" t="s">
        <v>13</v>
      </c>
      <c r="G126" t="s">
        <v>72</v>
      </c>
      <c r="H126">
        <v>4</v>
      </c>
      <c r="I126">
        <v>2004</v>
      </c>
      <c r="J126" t="s">
        <v>22</v>
      </c>
      <c r="K126" t="s">
        <v>57</v>
      </c>
    </row>
    <row r="127" spans="1:11">
      <c r="A127" t="s">
        <v>79</v>
      </c>
      <c r="B127">
        <v>10337</v>
      </c>
      <c r="C127">
        <v>25</v>
      </c>
      <c r="D127" s="21">
        <v>48.05</v>
      </c>
      <c r="E127" s="22">
        <v>38312</v>
      </c>
      <c r="F127" t="s">
        <v>13</v>
      </c>
      <c r="G127" t="s">
        <v>72</v>
      </c>
      <c r="H127">
        <v>4</v>
      </c>
      <c r="I127">
        <v>2004</v>
      </c>
      <c r="J127" t="s">
        <v>15</v>
      </c>
      <c r="K127" t="s">
        <v>80</v>
      </c>
    </row>
    <row r="128" spans="1:11">
      <c r="A128" t="s">
        <v>69</v>
      </c>
      <c r="B128">
        <v>10350</v>
      </c>
      <c r="C128">
        <v>26</v>
      </c>
      <c r="D128" s="21">
        <v>75.47</v>
      </c>
      <c r="E128" s="22">
        <v>38323</v>
      </c>
      <c r="F128" t="s">
        <v>13</v>
      </c>
      <c r="G128" t="s">
        <v>72</v>
      </c>
      <c r="H128">
        <v>4</v>
      </c>
      <c r="I128">
        <v>2004</v>
      </c>
      <c r="J128" t="s">
        <v>15</v>
      </c>
      <c r="K128" t="s">
        <v>71</v>
      </c>
    </row>
    <row r="129" spans="1:11">
      <c r="A129" t="s">
        <v>18</v>
      </c>
      <c r="B129">
        <v>10359</v>
      </c>
      <c r="C129">
        <v>48</v>
      </c>
      <c r="D129" s="21">
        <v>54.68</v>
      </c>
      <c r="E129" s="22">
        <v>38336</v>
      </c>
      <c r="F129" t="s">
        <v>13</v>
      </c>
      <c r="G129" t="s">
        <v>72</v>
      </c>
      <c r="H129">
        <v>4</v>
      </c>
      <c r="I129">
        <v>2004</v>
      </c>
      <c r="J129" t="s">
        <v>15</v>
      </c>
      <c r="K129" t="s">
        <v>19</v>
      </c>
    </row>
    <row r="130" spans="1:11">
      <c r="A130" t="s">
        <v>147</v>
      </c>
      <c r="B130">
        <v>10373</v>
      </c>
      <c r="C130">
        <v>39</v>
      </c>
      <c r="D130" s="21">
        <v>100</v>
      </c>
      <c r="E130" s="22">
        <v>38383</v>
      </c>
      <c r="F130" t="s">
        <v>13</v>
      </c>
      <c r="G130" t="s">
        <v>72</v>
      </c>
      <c r="H130">
        <v>1</v>
      </c>
      <c r="I130">
        <v>2005</v>
      </c>
      <c r="J130" t="s">
        <v>22</v>
      </c>
      <c r="K130" t="s">
        <v>148</v>
      </c>
    </row>
    <row r="131" spans="1:11">
      <c r="A131" t="s">
        <v>28</v>
      </c>
      <c r="B131">
        <v>10384</v>
      </c>
      <c r="C131">
        <v>34</v>
      </c>
      <c r="D131" s="21">
        <v>100</v>
      </c>
      <c r="E131" s="22">
        <v>38406</v>
      </c>
      <c r="F131" t="s">
        <v>13</v>
      </c>
      <c r="G131" t="s">
        <v>72</v>
      </c>
      <c r="H131">
        <v>1</v>
      </c>
      <c r="I131">
        <v>2005</v>
      </c>
      <c r="J131" t="s">
        <v>22</v>
      </c>
      <c r="K131" t="s">
        <v>29</v>
      </c>
    </row>
    <row r="132" spans="1:11">
      <c r="A132" t="s">
        <v>21</v>
      </c>
      <c r="B132">
        <v>10395</v>
      </c>
      <c r="C132">
        <v>32</v>
      </c>
      <c r="D132" s="21">
        <v>100</v>
      </c>
      <c r="E132" s="22">
        <v>38428</v>
      </c>
      <c r="F132" t="s">
        <v>13</v>
      </c>
      <c r="G132" t="s">
        <v>72</v>
      </c>
      <c r="H132">
        <v>1</v>
      </c>
      <c r="I132">
        <v>2005</v>
      </c>
      <c r="J132" t="s">
        <v>22</v>
      </c>
      <c r="K132" t="s">
        <v>23</v>
      </c>
    </row>
    <row r="133" spans="1:11">
      <c r="A133" t="s">
        <v>149</v>
      </c>
      <c r="B133">
        <v>10400</v>
      </c>
      <c r="C133">
        <v>64</v>
      </c>
      <c r="D133" s="21">
        <v>100</v>
      </c>
      <c r="E133" s="22">
        <v>38443</v>
      </c>
      <c r="F133" t="s">
        <v>13</v>
      </c>
      <c r="G133" t="s">
        <v>72</v>
      </c>
      <c r="H133">
        <v>2</v>
      </c>
      <c r="I133">
        <v>2005</v>
      </c>
      <c r="J133" t="s">
        <v>61</v>
      </c>
      <c r="K133" t="s">
        <v>150</v>
      </c>
    </row>
    <row r="134" spans="1:11">
      <c r="A134" t="s">
        <v>143</v>
      </c>
      <c r="B134">
        <v>10414</v>
      </c>
      <c r="C134">
        <v>19</v>
      </c>
      <c r="D134" s="21">
        <v>100</v>
      </c>
      <c r="E134" s="22">
        <v>38478</v>
      </c>
      <c r="F134" t="s">
        <v>151</v>
      </c>
      <c r="G134" t="s">
        <v>72</v>
      </c>
      <c r="H134">
        <v>2</v>
      </c>
      <c r="I134">
        <v>2005</v>
      </c>
      <c r="J134" t="s">
        <v>15</v>
      </c>
      <c r="K134" t="s">
        <v>144</v>
      </c>
    </row>
    <row r="135" spans="1:11">
      <c r="A135" t="s">
        <v>56</v>
      </c>
      <c r="B135">
        <v>10103</v>
      </c>
      <c r="C135">
        <v>42</v>
      </c>
      <c r="D135" s="21">
        <v>100</v>
      </c>
      <c r="E135" s="22">
        <v>37650</v>
      </c>
      <c r="F135" t="s">
        <v>13</v>
      </c>
      <c r="G135" t="s">
        <v>72</v>
      </c>
      <c r="H135">
        <v>1</v>
      </c>
      <c r="I135">
        <v>2003</v>
      </c>
      <c r="J135" t="s">
        <v>22</v>
      </c>
      <c r="K135" t="s">
        <v>57</v>
      </c>
    </row>
    <row r="136" spans="1:11">
      <c r="A136" t="s">
        <v>152</v>
      </c>
      <c r="B136">
        <v>10114</v>
      </c>
      <c r="C136">
        <v>31</v>
      </c>
      <c r="D136" s="21">
        <v>100</v>
      </c>
      <c r="E136" s="22">
        <v>37712</v>
      </c>
      <c r="F136" t="s">
        <v>13</v>
      </c>
      <c r="G136" t="s">
        <v>72</v>
      </c>
      <c r="H136">
        <v>2</v>
      </c>
      <c r="I136">
        <v>2003</v>
      </c>
      <c r="J136" t="s">
        <v>22</v>
      </c>
      <c r="K136" t="s">
        <v>153</v>
      </c>
    </row>
    <row r="137" spans="1:11">
      <c r="A137" t="s">
        <v>75</v>
      </c>
      <c r="B137">
        <v>10126</v>
      </c>
      <c r="C137">
        <v>22</v>
      </c>
      <c r="D137" s="21">
        <v>100</v>
      </c>
      <c r="E137" s="22">
        <v>37769</v>
      </c>
      <c r="F137" t="s">
        <v>13</v>
      </c>
      <c r="G137" t="s">
        <v>72</v>
      </c>
      <c r="H137">
        <v>2</v>
      </c>
      <c r="I137">
        <v>2003</v>
      </c>
      <c r="J137" t="s">
        <v>22</v>
      </c>
      <c r="K137" t="s">
        <v>76</v>
      </c>
    </row>
    <row r="138" spans="1:11">
      <c r="A138" t="s">
        <v>31</v>
      </c>
      <c r="B138">
        <v>10140</v>
      </c>
      <c r="C138">
        <v>26</v>
      </c>
      <c r="D138" s="21">
        <v>100</v>
      </c>
      <c r="E138" s="22">
        <v>37826</v>
      </c>
      <c r="F138" t="s">
        <v>13</v>
      </c>
      <c r="G138" t="s">
        <v>72</v>
      </c>
      <c r="H138">
        <v>3</v>
      </c>
      <c r="I138">
        <v>2003</v>
      </c>
      <c r="J138" t="s">
        <v>22</v>
      </c>
      <c r="K138" t="s">
        <v>32</v>
      </c>
    </row>
    <row r="139" spans="1:11">
      <c r="A139" t="s">
        <v>77</v>
      </c>
      <c r="B139">
        <v>10150</v>
      </c>
      <c r="C139">
        <v>20</v>
      </c>
      <c r="D139" s="21">
        <v>100</v>
      </c>
      <c r="E139" s="22">
        <v>37883</v>
      </c>
      <c r="F139" t="s">
        <v>13</v>
      </c>
      <c r="G139" t="s">
        <v>72</v>
      </c>
      <c r="H139">
        <v>3</v>
      </c>
      <c r="I139">
        <v>2003</v>
      </c>
      <c r="J139" t="s">
        <v>22</v>
      </c>
      <c r="K139" t="s">
        <v>78</v>
      </c>
    </row>
    <row r="140" spans="1:11">
      <c r="A140" t="s">
        <v>154</v>
      </c>
      <c r="B140">
        <v>10164</v>
      </c>
      <c r="C140">
        <v>21</v>
      </c>
      <c r="D140" s="21">
        <v>100</v>
      </c>
      <c r="E140" s="22">
        <v>37915</v>
      </c>
      <c r="F140" t="s">
        <v>155</v>
      </c>
      <c r="G140" t="s">
        <v>72</v>
      </c>
      <c r="H140">
        <v>4</v>
      </c>
      <c r="I140">
        <v>2003</v>
      </c>
      <c r="J140" t="s">
        <v>22</v>
      </c>
      <c r="K140" t="s">
        <v>156</v>
      </c>
    </row>
    <row r="141" spans="1:11">
      <c r="A141" t="s">
        <v>124</v>
      </c>
      <c r="B141">
        <v>10175</v>
      </c>
      <c r="C141">
        <v>33</v>
      </c>
      <c r="D141" s="21">
        <v>100</v>
      </c>
      <c r="E141" s="22">
        <v>37931</v>
      </c>
      <c r="F141" t="s">
        <v>13</v>
      </c>
      <c r="G141" t="s">
        <v>72</v>
      </c>
      <c r="H141">
        <v>4</v>
      </c>
      <c r="I141">
        <v>2003</v>
      </c>
      <c r="J141" t="s">
        <v>22</v>
      </c>
      <c r="K141" t="s">
        <v>125</v>
      </c>
    </row>
    <row r="142" spans="1:11">
      <c r="A142" t="s">
        <v>83</v>
      </c>
      <c r="B142">
        <v>10183</v>
      </c>
      <c r="C142">
        <v>28</v>
      </c>
      <c r="D142" s="21">
        <v>100</v>
      </c>
      <c r="E142" s="22">
        <v>37938</v>
      </c>
      <c r="F142" t="s">
        <v>13</v>
      </c>
      <c r="G142" t="s">
        <v>72</v>
      </c>
      <c r="H142">
        <v>4</v>
      </c>
      <c r="I142">
        <v>2003</v>
      </c>
      <c r="J142" t="s">
        <v>22</v>
      </c>
      <c r="K142" t="s">
        <v>84</v>
      </c>
    </row>
    <row r="143" spans="1:11">
      <c r="A143" t="s">
        <v>85</v>
      </c>
      <c r="B143">
        <v>10194</v>
      </c>
      <c r="C143">
        <v>26</v>
      </c>
      <c r="D143" s="21">
        <v>100</v>
      </c>
      <c r="E143" s="22">
        <v>37950</v>
      </c>
      <c r="F143" t="s">
        <v>13</v>
      </c>
      <c r="G143" t="s">
        <v>72</v>
      </c>
      <c r="H143">
        <v>4</v>
      </c>
      <c r="I143">
        <v>2003</v>
      </c>
      <c r="J143" t="s">
        <v>22</v>
      </c>
      <c r="K143" t="s">
        <v>86</v>
      </c>
    </row>
    <row r="144" spans="1:11">
      <c r="A144" t="s">
        <v>157</v>
      </c>
      <c r="B144">
        <v>10207</v>
      </c>
      <c r="C144">
        <v>31</v>
      </c>
      <c r="D144" s="21">
        <v>100</v>
      </c>
      <c r="E144" s="22">
        <v>37964</v>
      </c>
      <c r="F144" t="s">
        <v>13</v>
      </c>
      <c r="G144" t="s">
        <v>72</v>
      </c>
      <c r="H144">
        <v>4</v>
      </c>
      <c r="I144">
        <v>2003</v>
      </c>
      <c r="J144" t="s">
        <v>22</v>
      </c>
      <c r="K144" t="s">
        <v>158</v>
      </c>
    </row>
    <row r="145" spans="1:11">
      <c r="A145" t="s">
        <v>159</v>
      </c>
      <c r="B145">
        <v>10217</v>
      </c>
      <c r="C145">
        <v>48</v>
      </c>
      <c r="D145" s="21">
        <v>100</v>
      </c>
      <c r="E145" s="22">
        <v>38021</v>
      </c>
      <c r="F145" t="s">
        <v>13</v>
      </c>
      <c r="G145" t="s">
        <v>72</v>
      </c>
      <c r="H145">
        <v>1</v>
      </c>
      <c r="I145">
        <v>2004</v>
      </c>
      <c r="J145" t="s">
        <v>61</v>
      </c>
      <c r="K145" t="s">
        <v>160</v>
      </c>
    </row>
    <row r="146" spans="1:11">
      <c r="A146" t="s">
        <v>103</v>
      </c>
      <c r="B146">
        <v>10229</v>
      </c>
      <c r="C146">
        <v>50</v>
      </c>
      <c r="D146" s="21">
        <v>100</v>
      </c>
      <c r="E146" s="22">
        <v>38057</v>
      </c>
      <c r="F146" t="s">
        <v>13</v>
      </c>
      <c r="G146" t="s">
        <v>72</v>
      </c>
      <c r="H146">
        <v>1</v>
      </c>
      <c r="I146">
        <v>2004</v>
      </c>
      <c r="J146" t="s">
        <v>22</v>
      </c>
      <c r="K146" t="s">
        <v>104</v>
      </c>
    </row>
    <row r="147" spans="1:11">
      <c r="A147" t="s">
        <v>93</v>
      </c>
      <c r="B147">
        <v>10245</v>
      </c>
      <c r="C147">
        <v>28</v>
      </c>
      <c r="D147" s="21">
        <v>100</v>
      </c>
      <c r="E147" s="22">
        <v>38111</v>
      </c>
      <c r="F147" t="s">
        <v>13</v>
      </c>
      <c r="G147" t="s">
        <v>72</v>
      </c>
      <c r="H147">
        <v>2</v>
      </c>
      <c r="I147">
        <v>2004</v>
      </c>
      <c r="J147" t="s">
        <v>22</v>
      </c>
      <c r="K147" t="s">
        <v>94</v>
      </c>
    </row>
    <row r="148" spans="1:11">
      <c r="A148" t="s">
        <v>159</v>
      </c>
      <c r="B148">
        <v>10259</v>
      </c>
      <c r="C148">
        <v>26</v>
      </c>
      <c r="D148" s="21">
        <v>100</v>
      </c>
      <c r="E148" s="22">
        <v>38153</v>
      </c>
      <c r="F148" t="s">
        <v>13</v>
      </c>
      <c r="G148" t="s">
        <v>72</v>
      </c>
      <c r="H148">
        <v>2</v>
      </c>
      <c r="I148">
        <v>2004</v>
      </c>
      <c r="J148" t="s">
        <v>22</v>
      </c>
      <c r="K148" t="s">
        <v>160</v>
      </c>
    </row>
    <row r="149" spans="1:11">
      <c r="A149" t="s">
        <v>63</v>
      </c>
      <c r="B149">
        <v>10270</v>
      </c>
      <c r="C149">
        <v>32</v>
      </c>
      <c r="D149" s="21">
        <v>100</v>
      </c>
      <c r="E149" s="22">
        <v>38187</v>
      </c>
      <c r="F149" t="s">
        <v>13</v>
      </c>
      <c r="G149" t="s">
        <v>72</v>
      </c>
      <c r="H149">
        <v>3</v>
      </c>
      <c r="I149">
        <v>2004</v>
      </c>
      <c r="J149" t="s">
        <v>22</v>
      </c>
      <c r="K149" t="s">
        <v>64</v>
      </c>
    </row>
    <row r="150" spans="1:11">
      <c r="A150" t="s">
        <v>58</v>
      </c>
      <c r="B150">
        <v>10281</v>
      </c>
      <c r="C150">
        <v>44</v>
      </c>
      <c r="D150" s="21">
        <v>100</v>
      </c>
      <c r="E150" s="22">
        <v>38218</v>
      </c>
      <c r="F150" t="s">
        <v>13</v>
      </c>
      <c r="G150" t="s">
        <v>72</v>
      </c>
      <c r="H150">
        <v>3</v>
      </c>
      <c r="I150">
        <v>2004</v>
      </c>
      <c r="J150" t="s">
        <v>61</v>
      </c>
      <c r="K150" t="s">
        <v>59</v>
      </c>
    </row>
    <row r="151" spans="1:11">
      <c r="A151" t="s">
        <v>99</v>
      </c>
      <c r="B151">
        <v>10291</v>
      </c>
      <c r="C151">
        <v>30</v>
      </c>
      <c r="D151" s="21">
        <v>100</v>
      </c>
      <c r="E151" s="22">
        <v>38238</v>
      </c>
      <c r="F151" t="s">
        <v>13</v>
      </c>
      <c r="G151" t="s">
        <v>72</v>
      </c>
      <c r="H151">
        <v>3</v>
      </c>
      <c r="I151">
        <v>2004</v>
      </c>
      <c r="J151" t="s">
        <v>22</v>
      </c>
      <c r="K151" t="s">
        <v>100</v>
      </c>
    </row>
    <row r="152" spans="1:11">
      <c r="A152" t="s">
        <v>52</v>
      </c>
      <c r="B152">
        <v>10305</v>
      </c>
      <c r="C152">
        <v>38</v>
      </c>
      <c r="D152" s="21">
        <v>100</v>
      </c>
      <c r="E152" s="22">
        <v>38273</v>
      </c>
      <c r="F152" t="s">
        <v>13</v>
      </c>
      <c r="G152" t="s">
        <v>72</v>
      </c>
      <c r="H152">
        <v>4</v>
      </c>
      <c r="I152">
        <v>2004</v>
      </c>
      <c r="J152" t="s">
        <v>22</v>
      </c>
      <c r="K152" t="s">
        <v>53</v>
      </c>
    </row>
    <row r="153" spans="1:11">
      <c r="A153" t="s">
        <v>87</v>
      </c>
      <c r="B153">
        <v>10313</v>
      </c>
      <c r="C153">
        <v>40</v>
      </c>
      <c r="D153" s="21">
        <v>100</v>
      </c>
      <c r="E153" s="22">
        <v>38282</v>
      </c>
      <c r="F153" t="s">
        <v>13</v>
      </c>
      <c r="G153" t="s">
        <v>72</v>
      </c>
      <c r="H153">
        <v>4</v>
      </c>
      <c r="I153">
        <v>2004</v>
      </c>
      <c r="J153" t="s">
        <v>22</v>
      </c>
      <c r="K153" t="s">
        <v>88</v>
      </c>
    </row>
    <row r="154" spans="1:11">
      <c r="A154" t="s">
        <v>105</v>
      </c>
      <c r="B154">
        <v>10322</v>
      </c>
      <c r="C154">
        <v>46</v>
      </c>
      <c r="D154" s="21">
        <v>61.99</v>
      </c>
      <c r="E154" s="22">
        <v>38295</v>
      </c>
      <c r="F154" t="s">
        <v>13</v>
      </c>
      <c r="G154" t="s">
        <v>72</v>
      </c>
      <c r="H154">
        <v>4</v>
      </c>
      <c r="I154">
        <v>2004</v>
      </c>
      <c r="J154" t="s">
        <v>15</v>
      </c>
      <c r="K154" t="s">
        <v>106</v>
      </c>
    </row>
    <row r="155" spans="1:11">
      <c r="A155" t="s">
        <v>73</v>
      </c>
      <c r="B155">
        <v>10334</v>
      </c>
      <c r="C155">
        <v>26</v>
      </c>
      <c r="D155" s="21">
        <v>100</v>
      </c>
      <c r="E155" s="22">
        <v>38310</v>
      </c>
      <c r="F155" t="s">
        <v>151</v>
      </c>
      <c r="G155" t="s">
        <v>72</v>
      </c>
      <c r="H155">
        <v>4</v>
      </c>
      <c r="I155">
        <v>2004</v>
      </c>
      <c r="J155" t="s">
        <v>22</v>
      </c>
      <c r="K155" t="s">
        <v>74</v>
      </c>
    </row>
    <row r="156" spans="1:11">
      <c r="A156" t="s">
        <v>42</v>
      </c>
      <c r="B156">
        <v>10347</v>
      </c>
      <c r="C156">
        <v>27</v>
      </c>
      <c r="D156" s="21">
        <v>100</v>
      </c>
      <c r="E156" s="22">
        <v>38320</v>
      </c>
      <c r="F156" t="s">
        <v>13</v>
      </c>
      <c r="G156" t="s">
        <v>72</v>
      </c>
      <c r="H156">
        <v>4</v>
      </c>
      <c r="I156">
        <v>2004</v>
      </c>
      <c r="J156" t="s">
        <v>22</v>
      </c>
      <c r="K156" t="s">
        <v>43</v>
      </c>
    </row>
    <row r="157" spans="1:11">
      <c r="A157" t="s">
        <v>103</v>
      </c>
      <c r="B157">
        <v>10357</v>
      </c>
      <c r="C157">
        <v>43</v>
      </c>
      <c r="D157" s="21">
        <v>100</v>
      </c>
      <c r="E157" s="22">
        <v>38331</v>
      </c>
      <c r="F157" t="s">
        <v>13</v>
      </c>
      <c r="G157" t="s">
        <v>72</v>
      </c>
      <c r="H157">
        <v>4</v>
      </c>
      <c r="I157">
        <v>2004</v>
      </c>
      <c r="J157" t="s">
        <v>22</v>
      </c>
      <c r="K157" t="s">
        <v>104</v>
      </c>
    </row>
    <row r="158" spans="1:11">
      <c r="A158" t="s">
        <v>109</v>
      </c>
      <c r="B158">
        <v>10370</v>
      </c>
      <c r="C158">
        <v>35</v>
      </c>
      <c r="D158" s="21">
        <v>65.63</v>
      </c>
      <c r="E158" s="22">
        <v>38372</v>
      </c>
      <c r="F158" t="s">
        <v>13</v>
      </c>
      <c r="G158" t="s">
        <v>72</v>
      </c>
      <c r="H158">
        <v>1</v>
      </c>
      <c r="I158">
        <v>2005</v>
      </c>
      <c r="J158" t="s">
        <v>15</v>
      </c>
      <c r="K158" t="s">
        <v>110</v>
      </c>
    </row>
    <row r="159" spans="1:11">
      <c r="A159" t="s">
        <v>28</v>
      </c>
      <c r="B159">
        <v>10381</v>
      </c>
      <c r="C159">
        <v>37</v>
      </c>
      <c r="D159" s="21">
        <v>100</v>
      </c>
      <c r="E159" s="22">
        <v>38400</v>
      </c>
      <c r="F159" t="s">
        <v>13</v>
      </c>
      <c r="G159" t="s">
        <v>72</v>
      </c>
      <c r="H159">
        <v>1</v>
      </c>
      <c r="I159">
        <v>2005</v>
      </c>
      <c r="J159" t="s">
        <v>22</v>
      </c>
      <c r="K159" t="s">
        <v>29</v>
      </c>
    </row>
    <row r="160" spans="1:11">
      <c r="A160" t="s">
        <v>109</v>
      </c>
      <c r="B160">
        <v>10391</v>
      </c>
      <c r="C160">
        <v>37</v>
      </c>
      <c r="D160" s="21">
        <v>46.9</v>
      </c>
      <c r="E160" s="22">
        <v>38420</v>
      </c>
      <c r="F160" t="s">
        <v>13</v>
      </c>
      <c r="G160" t="s">
        <v>72</v>
      </c>
      <c r="H160">
        <v>1</v>
      </c>
      <c r="I160">
        <v>2005</v>
      </c>
      <c r="J160" t="s">
        <v>15</v>
      </c>
      <c r="K160" t="s">
        <v>110</v>
      </c>
    </row>
    <row r="161" spans="1:11">
      <c r="A161" t="s">
        <v>111</v>
      </c>
      <c r="B161">
        <v>10411</v>
      </c>
      <c r="C161">
        <v>27</v>
      </c>
      <c r="D161" s="21">
        <v>100</v>
      </c>
      <c r="E161" s="22">
        <v>38473</v>
      </c>
      <c r="F161" t="s">
        <v>13</v>
      </c>
      <c r="G161" t="s">
        <v>72</v>
      </c>
      <c r="H161">
        <v>2</v>
      </c>
      <c r="I161">
        <v>2005</v>
      </c>
      <c r="J161" t="s">
        <v>22</v>
      </c>
      <c r="K161" t="s">
        <v>112</v>
      </c>
    </row>
    <row r="162" spans="1:11">
      <c r="A162" t="s">
        <v>50</v>
      </c>
      <c r="B162">
        <v>10425</v>
      </c>
      <c r="C162">
        <v>38</v>
      </c>
      <c r="D162" s="21">
        <v>100</v>
      </c>
      <c r="E162" s="22">
        <v>38503</v>
      </c>
      <c r="F162" t="s">
        <v>113</v>
      </c>
      <c r="G162" t="s">
        <v>72</v>
      </c>
      <c r="H162">
        <v>2</v>
      </c>
      <c r="I162">
        <v>2005</v>
      </c>
      <c r="J162" t="s">
        <v>22</v>
      </c>
      <c r="K162" t="s">
        <v>51</v>
      </c>
    </row>
    <row r="163" spans="1:11">
      <c r="A163" t="s">
        <v>161</v>
      </c>
      <c r="B163">
        <v>10108</v>
      </c>
      <c r="C163">
        <v>33</v>
      </c>
      <c r="D163" s="21">
        <v>100</v>
      </c>
      <c r="E163" s="22">
        <v>37683</v>
      </c>
      <c r="F163" t="s">
        <v>13</v>
      </c>
      <c r="G163" t="s">
        <v>72</v>
      </c>
      <c r="H163">
        <v>1</v>
      </c>
      <c r="I163">
        <v>2003</v>
      </c>
      <c r="J163" t="s">
        <v>22</v>
      </c>
      <c r="K163" t="s">
        <v>162</v>
      </c>
    </row>
    <row r="164" spans="1:11">
      <c r="A164" t="s">
        <v>163</v>
      </c>
      <c r="B164">
        <v>10122</v>
      </c>
      <c r="C164">
        <v>42</v>
      </c>
      <c r="D164" s="21">
        <v>100</v>
      </c>
      <c r="E164" s="22">
        <v>37749</v>
      </c>
      <c r="F164" t="s">
        <v>13</v>
      </c>
      <c r="G164" t="s">
        <v>72</v>
      </c>
      <c r="H164">
        <v>2</v>
      </c>
      <c r="I164">
        <v>2003</v>
      </c>
      <c r="J164" t="s">
        <v>61</v>
      </c>
      <c r="K164" t="s">
        <v>164</v>
      </c>
    </row>
    <row r="165" spans="1:11">
      <c r="A165" t="s">
        <v>103</v>
      </c>
      <c r="B165">
        <v>10135</v>
      </c>
      <c r="C165">
        <v>42</v>
      </c>
      <c r="D165" s="21">
        <v>100</v>
      </c>
      <c r="E165" s="22">
        <v>37804</v>
      </c>
      <c r="F165" t="s">
        <v>13</v>
      </c>
      <c r="G165" t="s">
        <v>72</v>
      </c>
      <c r="H165">
        <v>3</v>
      </c>
      <c r="I165">
        <v>2003</v>
      </c>
      <c r="J165" t="s">
        <v>61</v>
      </c>
      <c r="K165" t="s">
        <v>104</v>
      </c>
    </row>
    <row r="166" spans="1:11">
      <c r="A166" t="s">
        <v>107</v>
      </c>
      <c r="B166">
        <v>10147</v>
      </c>
      <c r="C166">
        <v>48</v>
      </c>
      <c r="D166" s="21">
        <v>100</v>
      </c>
      <c r="E166" s="22">
        <v>37869</v>
      </c>
      <c r="F166" t="s">
        <v>13</v>
      </c>
      <c r="G166" t="s">
        <v>72</v>
      </c>
      <c r="H166">
        <v>3</v>
      </c>
      <c r="I166">
        <v>2003</v>
      </c>
      <c r="J166" t="s">
        <v>61</v>
      </c>
      <c r="K166" t="s">
        <v>108</v>
      </c>
    </row>
    <row r="167" spans="1:11">
      <c r="A167" t="s">
        <v>28</v>
      </c>
      <c r="B167">
        <v>10159</v>
      </c>
      <c r="C167">
        <v>41</v>
      </c>
      <c r="D167" s="21">
        <v>100</v>
      </c>
      <c r="E167" s="22">
        <v>37904</v>
      </c>
      <c r="F167" t="s">
        <v>13</v>
      </c>
      <c r="G167" t="s">
        <v>72</v>
      </c>
      <c r="H167">
        <v>4</v>
      </c>
      <c r="I167">
        <v>2003</v>
      </c>
      <c r="J167" t="s">
        <v>61</v>
      </c>
      <c r="K167" t="s">
        <v>29</v>
      </c>
    </row>
    <row r="168" spans="1:11">
      <c r="A168" t="s">
        <v>109</v>
      </c>
      <c r="B168">
        <v>10169</v>
      </c>
      <c r="C168">
        <v>30</v>
      </c>
      <c r="D168" s="21">
        <v>100</v>
      </c>
      <c r="E168" s="22">
        <v>37929</v>
      </c>
      <c r="F168" t="s">
        <v>13</v>
      </c>
      <c r="G168" t="s">
        <v>72</v>
      </c>
      <c r="H168">
        <v>4</v>
      </c>
      <c r="I168">
        <v>2003</v>
      </c>
      <c r="J168" t="s">
        <v>22</v>
      </c>
      <c r="K168" t="s">
        <v>110</v>
      </c>
    </row>
    <row r="169" spans="1:11">
      <c r="A169" t="s">
        <v>36</v>
      </c>
      <c r="B169">
        <v>10181</v>
      </c>
      <c r="C169">
        <v>27</v>
      </c>
      <c r="D169" s="21">
        <v>100</v>
      </c>
      <c r="E169" s="22">
        <v>37937</v>
      </c>
      <c r="F169" t="s">
        <v>13</v>
      </c>
      <c r="G169" t="s">
        <v>72</v>
      </c>
      <c r="H169">
        <v>4</v>
      </c>
      <c r="I169">
        <v>2003</v>
      </c>
      <c r="J169" t="s">
        <v>22</v>
      </c>
      <c r="K169" t="s">
        <v>37</v>
      </c>
    </row>
    <row r="170" spans="1:11">
      <c r="A170" t="s">
        <v>165</v>
      </c>
      <c r="B170">
        <v>10191</v>
      </c>
      <c r="C170">
        <v>21</v>
      </c>
      <c r="D170" s="21">
        <v>100</v>
      </c>
      <c r="E170" s="22">
        <v>37945</v>
      </c>
      <c r="F170" t="s">
        <v>13</v>
      </c>
      <c r="G170" t="s">
        <v>72</v>
      </c>
      <c r="H170">
        <v>4</v>
      </c>
      <c r="I170">
        <v>2003</v>
      </c>
      <c r="J170" t="s">
        <v>22</v>
      </c>
      <c r="K170" t="s">
        <v>166</v>
      </c>
    </row>
    <row r="171" spans="1:11">
      <c r="A171" t="s">
        <v>69</v>
      </c>
      <c r="B171">
        <v>10203</v>
      </c>
      <c r="C171">
        <v>20</v>
      </c>
      <c r="D171" s="21">
        <v>100</v>
      </c>
      <c r="E171" s="22">
        <v>37957</v>
      </c>
      <c r="F171" t="s">
        <v>13</v>
      </c>
      <c r="G171" t="s">
        <v>72</v>
      </c>
      <c r="H171">
        <v>4</v>
      </c>
      <c r="I171">
        <v>2003</v>
      </c>
      <c r="J171" t="s">
        <v>22</v>
      </c>
      <c r="K171" t="s">
        <v>71</v>
      </c>
    </row>
    <row r="172" spans="1:11">
      <c r="A172" t="s">
        <v>40</v>
      </c>
      <c r="B172">
        <v>10211</v>
      </c>
      <c r="C172">
        <v>41</v>
      </c>
      <c r="D172" s="21">
        <v>100</v>
      </c>
      <c r="E172" s="22">
        <v>38001</v>
      </c>
      <c r="F172" t="s">
        <v>13</v>
      </c>
      <c r="G172" t="s">
        <v>72</v>
      </c>
      <c r="H172">
        <v>1</v>
      </c>
      <c r="I172">
        <v>2004</v>
      </c>
      <c r="J172" t="s">
        <v>61</v>
      </c>
      <c r="K172" t="s">
        <v>41</v>
      </c>
    </row>
    <row r="173" spans="1:11">
      <c r="A173" t="s">
        <v>167</v>
      </c>
      <c r="B173">
        <v>10225</v>
      </c>
      <c r="C173">
        <v>27</v>
      </c>
      <c r="D173" s="21">
        <v>100</v>
      </c>
      <c r="E173" s="22">
        <v>38039</v>
      </c>
      <c r="F173" t="s">
        <v>13</v>
      </c>
      <c r="G173" t="s">
        <v>72</v>
      </c>
      <c r="H173">
        <v>1</v>
      </c>
      <c r="I173">
        <v>2004</v>
      </c>
      <c r="J173" t="s">
        <v>22</v>
      </c>
      <c r="K173" t="s">
        <v>168</v>
      </c>
    </row>
    <row r="174" spans="1:11">
      <c r="A174" t="s">
        <v>122</v>
      </c>
      <c r="B174">
        <v>10238</v>
      </c>
      <c r="C174">
        <v>28</v>
      </c>
      <c r="D174" s="21">
        <v>100</v>
      </c>
      <c r="E174" s="22">
        <v>38086</v>
      </c>
      <c r="F174" t="s">
        <v>13</v>
      </c>
      <c r="G174" t="s">
        <v>72</v>
      </c>
      <c r="H174">
        <v>2</v>
      </c>
      <c r="I174">
        <v>2004</v>
      </c>
      <c r="J174" t="s">
        <v>22</v>
      </c>
      <c r="K174" t="s">
        <v>123</v>
      </c>
    </row>
    <row r="175" spans="1:11">
      <c r="A175" t="s">
        <v>67</v>
      </c>
      <c r="B175">
        <v>10253</v>
      </c>
      <c r="C175">
        <v>24</v>
      </c>
      <c r="D175" s="21">
        <v>100</v>
      </c>
      <c r="E175" s="22">
        <v>38139</v>
      </c>
      <c r="F175" t="s">
        <v>128</v>
      </c>
      <c r="G175" t="s">
        <v>72</v>
      </c>
      <c r="H175">
        <v>2</v>
      </c>
      <c r="I175">
        <v>2004</v>
      </c>
      <c r="J175" t="s">
        <v>22</v>
      </c>
      <c r="K175" t="s">
        <v>68</v>
      </c>
    </row>
    <row r="176" spans="1:11">
      <c r="A176" t="s">
        <v>169</v>
      </c>
      <c r="B176">
        <v>10266</v>
      </c>
      <c r="C176">
        <v>44</v>
      </c>
      <c r="D176" s="21">
        <v>100</v>
      </c>
      <c r="E176" s="22">
        <v>38174</v>
      </c>
      <c r="F176" t="s">
        <v>13</v>
      </c>
      <c r="G176" t="s">
        <v>72</v>
      </c>
      <c r="H176">
        <v>3</v>
      </c>
      <c r="I176">
        <v>2004</v>
      </c>
      <c r="J176" t="s">
        <v>61</v>
      </c>
      <c r="K176" t="s">
        <v>170</v>
      </c>
    </row>
    <row r="177" spans="1:11">
      <c r="A177" t="s">
        <v>171</v>
      </c>
      <c r="B177">
        <v>10276</v>
      </c>
      <c r="C177">
        <v>50</v>
      </c>
      <c r="D177" s="21">
        <v>100</v>
      </c>
      <c r="E177" s="22">
        <v>38201</v>
      </c>
      <c r="F177" t="s">
        <v>13</v>
      </c>
      <c r="G177" t="s">
        <v>72</v>
      </c>
      <c r="H177">
        <v>3</v>
      </c>
      <c r="I177">
        <v>2004</v>
      </c>
      <c r="J177" t="s">
        <v>61</v>
      </c>
      <c r="K177" t="s">
        <v>172</v>
      </c>
    </row>
    <row r="178" spans="1:11">
      <c r="A178" t="s">
        <v>167</v>
      </c>
      <c r="B178">
        <v>10287</v>
      </c>
      <c r="C178">
        <v>21</v>
      </c>
      <c r="D178" s="21">
        <v>100</v>
      </c>
      <c r="E178" s="22">
        <v>38229</v>
      </c>
      <c r="F178" t="s">
        <v>13</v>
      </c>
      <c r="G178" t="s">
        <v>72</v>
      </c>
      <c r="H178">
        <v>3</v>
      </c>
      <c r="I178">
        <v>2004</v>
      </c>
      <c r="J178" t="s">
        <v>22</v>
      </c>
      <c r="K178" t="s">
        <v>168</v>
      </c>
    </row>
    <row r="179" spans="1:11">
      <c r="A179" t="s">
        <v>173</v>
      </c>
      <c r="B179">
        <v>10300</v>
      </c>
      <c r="C179">
        <v>33</v>
      </c>
      <c r="D179" s="21">
        <v>100</v>
      </c>
      <c r="E179" s="22">
        <v>37898</v>
      </c>
      <c r="F179" t="s">
        <v>13</v>
      </c>
      <c r="G179" t="s">
        <v>72</v>
      </c>
      <c r="H179">
        <v>4</v>
      </c>
      <c r="I179">
        <v>2003</v>
      </c>
      <c r="J179" t="s">
        <v>22</v>
      </c>
      <c r="K179" t="s">
        <v>174</v>
      </c>
    </row>
    <row r="180" spans="1:11">
      <c r="A180" t="s">
        <v>165</v>
      </c>
      <c r="B180">
        <v>10310</v>
      </c>
      <c r="C180">
        <v>33</v>
      </c>
      <c r="D180" s="21">
        <v>100</v>
      </c>
      <c r="E180" s="22">
        <v>38276</v>
      </c>
      <c r="F180" t="s">
        <v>13</v>
      </c>
      <c r="G180" t="s">
        <v>72</v>
      </c>
      <c r="H180">
        <v>4</v>
      </c>
      <c r="I180">
        <v>2004</v>
      </c>
      <c r="J180" t="s">
        <v>22</v>
      </c>
      <c r="K180" t="s">
        <v>166</v>
      </c>
    </row>
    <row r="181" spans="1:11">
      <c r="A181" t="s">
        <v>73</v>
      </c>
      <c r="B181">
        <v>10320</v>
      </c>
      <c r="C181">
        <v>31</v>
      </c>
      <c r="D181" s="21">
        <v>100</v>
      </c>
      <c r="E181" s="22">
        <v>38294</v>
      </c>
      <c r="F181" t="s">
        <v>13</v>
      </c>
      <c r="G181" t="s">
        <v>72</v>
      </c>
      <c r="H181">
        <v>4</v>
      </c>
      <c r="I181">
        <v>2004</v>
      </c>
      <c r="J181" t="s">
        <v>22</v>
      </c>
      <c r="K181" t="s">
        <v>74</v>
      </c>
    </row>
    <row r="182" spans="1:11">
      <c r="A182" t="s">
        <v>12</v>
      </c>
      <c r="B182">
        <v>10329</v>
      </c>
      <c r="C182">
        <v>41</v>
      </c>
      <c r="D182" s="21">
        <v>71.47</v>
      </c>
      <c r="E182" s="22">
        <v>38306</v>
      </c>
      <c r="F182" t="s">
        <v>13</v>
      </c>
      <c r="G182" t="s">
        <v>72</v>
      </c>
      <c r="H182">
        <v>4</v>
      </c>
      <c r="I182">
        <v>2004</v>
      </c>
      <c r="J182" t="s">
        <v>15</v>
      </c>
      <c r="K182" t="s">
        <v>16</v>
      </c>
    </row>
    <row r="183" spans="1:11">
      <c r="A183" t="s">
        <v>60</v>
      </c>
      <c r="B183">
        <v>10341</v>
      </c>
      <c r="C183">
        <v>45</v>
      </c>
      <c r="D183" s="21">
        <v>79.65</v>
      </c>
      <c r="E183" s="22">
        <v>38315</v>
      </c>
      <c r="F183" t="s">
        <v>13</v>
      </c>
      <c r="G183" t="s">
        <v>72</v>
      </c>
      <c r="H183">
        <v>4</v>
      </c>
      <c r="I183">
        <v>2004</v>
      </c>
      <c r="J183" t="s">
        <v>22</v>
      </c>
      <c r="K183" t="s">
        <v>62</v>
      </c>
    </row>
    <row r="184" spans="1:11">
      <c r="A184" t="s">
        <v>175</v>
      </c>
      <c r="B184">
        <v>10363</v>
      </c>
      <c r="C184">
        <v>33</v>
      </c>
      <c r="D184" s="21">
        <v>85.39</v>
      </c>
      <c r="E184" s="22">
        <v>38358</v>
      </c>
      <c r="F184" t="s">
        <v>13</v>
      </c>
      <c r="G184" t="s">
        <v>72</v>
      </c>
      <c r="H184">
        <v>1</v>
      </c>
      <c r="I184">
        <v>2005</v>
      </c>
      <c r="J184" t="s">
        <v>15</v>
      </c>
      <c r="K184" t="s">
        <v>176</v>
      </c>
    </row>
    <row r="185" spans="1:11">
      <c r="A185" t="s">
        <v>50</v>
      </c>
      <c r="B185">
        <v>10375</v>
      </c>
      <c r="C185">
        <v>45</v>
      </c>
      <c r="D185" s="21">
        <v>76</v>
      </c>
      <c r="E185" s="22">
        <v>38386</v>
      </c>
      <c r="F185" t="s">
        <v>13</v>
      </c>
      <c r="G185" t="s">
        <v>72</v>
      </c>
      <c r="H185">
        <v>1</v>
      </c>
      <c r="I185">
        <v>2005</v>
      </c>
      <c r="J185" t="s">
        <v>22</v>
      </c>
      <c r="K185" t="s">
        <v>51</v>
      </c>
    </row>
    <row r="186" spans="1:11">
      <c r="A186" t="s">
        <v>99</v>
      </c>
      <c r="B186">
        <v>10389</v>
      </c>
      <c r="C186">
        <v>26</v>
      </c>
      <c r="D186" s="21">
        <v>99.04</v>
      </c>
      <c r="E186" s="22">
        <v>38414</v>
      </c>
      <c r="F186" t="s">
        <v>13</v>
      </c>
      <c r="G186" t="s">
        <v>72</v>
      </c>
      <c r="H186">
        <v>1</v>
      </c>
      <c r="I186">
        <v>2005</v>
      </c>
      <c r="J186" t="s">
        <v>15</v>
      </c>
      <c r="K186" t="s">
        <v>100</v>
      </c>
    </row>
    <row r="187" spans="1:11">
      <c r="A187" t="s">
        <v>60</v>
      </c>
      <c r="B187">
        <v>10419</v>
      </c>
      <c r="C187">
        <v>12</v>
      </c>
      <c r="D187" s="21">
        <v>100</v>
      </c>
      <c r="E187" s="22">
        <v>38489</v>
      </c>
      <c r="F187" t="s">
        <v>13</v>
      </c>
      <c r="G187" t="s">
        <v>72</v>
      </c>
      <c r="H187">
        <v>2</v>
      </c>
      <c r="I187">
        <v>2005</v>
      </c>
      <c r="J187" t="s">
        <v>15</v>
      </c>
      <c r="K187" t="s">
        <v>62</v>
      </c>
    </row>
    <row r="188" spans="1:11">
      <c r="A188" t="s">
        <v>122</v>
      </c>
      <c r="B188">
        <v>10105</v>
      </c>
      <c r="C188">
        <v>41</v>
      </c>
      <c r="D188" s="21">
        <v>100</v>
      </c>
      <c r="E188" s="22">
        <v>37663</v>
      </c>
      <c r="F188" t="s">
        <v>13</v>
      </c>
      <c r="G188" t="s">
        <v>72</v>
      </c>
      <c r="H188">
        <v>1</v>
      </c>
      <c r="I188">
        <v>2003</v>
      </c>
      <c r="J188" t="s">
        <v>61</v>
      </c>
      <c r="K188" t="s">
        <v>123</v>
      </c>
    </row>
    <row r="189" spans="1:11">
      <c r="A189" t="s">
        <v>77</v>
      </c>
      <c r="B189">
        <v>10117</v>
      </c>
      <c r="C189">
        <v>33</v>
      </c>
      <c r="D189" s="21">
        <v>100</v>
      </c>
      <c r="E189" s="22">
        <v>37727</v>
      </c>
      <c r="F189" t="s">
        <v>13</v>
      </c>
      <c r="G189" t="s">
        <v>72</v>
      </c>
      <c r="H189">
        <v>2</v>
      </c>
      <c r="I189">
        <v>2003</v>
      </c>
      <c r="J189" t="s">
        <v>22</v>
      </c>
      <c r="K189" t="s">
        <v>78</v>
      </c>
    </row>
    <row r="190" spans="1:11">
      <c r="A190" t="s">
        <v>177</v>
      </c>
      <c r="B190">
        <v>10127</v>
      </c>
      <c r="C190">
        <v>46</v>
      </c>
      <c r="D190" s="21">
        <v>100</v>
      </c>
      <c r="E190" s="22">
        <v>37775</v>
      </c>
      <c r="F190" t="s">
        <v>13</v>
      </c>
      <c r="G190" t="s">
        <v>72</v>
      </c>
      <c r="H190">
        <v>2</v>
      </c>
      <c r="I190">
        <v>2003</v>
      </c>
      <c r="J190" t="s">
        <v>61</v>
      </c>
      <c r="K190" t="s">
        <v>178</v>
      </c>
    </row>
    <row r="191" spans="1:11">
      <c r="A191" t="s">
        <v>103</v>
      </c>
      <c r="B191">
        <v>10142</v>
      </c>
      <c r="C191">
        <v>33</v>
      </c>
      <c r="D191" s="21">
        <v>100</v>
      </c>
      <c r="E191" s="22">
        <v>37841</v>
      </c>
      <c r="F191" t="s">
        <v>13</v>
      </c>
      <c r="G191" t="s">
        <v>72</v>
      </c>
      <c r="H191">
        <v>3</v>
      </c>
      <c r="I191">
        <v>2003</v>
      </c>
      <c r="J191" t="s">
        <v>61</v>
      </c>
      <c r="K191" t="s">
        <v>104</v>
      </c>
    </row>
    <row r="192" spans="1:11">
      <c r="A192" t="s">
        <v>69</v>
      </c>
      <c r="B192">
        <v>10153</v>
      </c>
      <c r="C192">
        <v>20</v>
      </c>
      <c r="D192" s="21">
        <v>100</v>
      </c>
      <c r="E192" s="22">
        <v>37892</v>
      </c>
      <c r="F192" t="s">
        <v>13</v>
      </c>
      <c r="G192" t="s">
        <v>72</v>
      </c>
      <c r="H192">
        <v>3</v>
      </c>
      <c r="I192">
        <v>2003</v>
      </c>
      <c r="J192" t="s">
        <v>22</v>
      </c>
      <c r="K192" t="s">
        <v>71</v>
      </c>
    </row>
    <row r="193" spans="1:11">
      <c r="A193" t="s">
        <v>77</v>
      </c>
      <c r="B193">
        <v>10165</v>
      </c>
      <c r="C193">
        <v>44</v>
      </c>
      <c r="D193" s="21">
        <v>100</v>
      </c>
      <c r="E193" s="22">
        <v>37916</v>
      </c>
      <c r="F193" t="s">
        <v>13</v>
      </c>
      <c r="G193" t="s">
        <v>72</v>
      </c>
      <c r="H193">
        <v>4</v>
      </c>
      <c r="I193">
        <v>2003</v>
      </c>
      <c r="J193" t="s">
        <v>61</v>
      </c>
      <c r="K193" t="s">
        <v>78</v>
      </c>
    </row>
    <row r="194" spans="1:11">
      <c r="A194" t="s">
        <v>169</v>
      </c>
      <c r="B194">
        <v>10176</v>
      </c>
      <c r="C194">
        <v>33</v>
      </c>
      <c r="D194" s="21">
        <v>100</v>
      </c>
      <c r="E194" s="22">
        <v>37931</v>
      </c>
      <c r="F194" t="s">
        <v>13</v>
      </c>
      <c r="G194" t="s">
        <v>72</v>
      </c>
      <c r="H194">
        <v>4</v>
      </c>
      <c r="I194">
        <v>2003</v>
      </c>
      <c r="J194" t="s">
        <v>61</v>
      </c>
      <c r="K194" t="s">
        <v>170</v>
      </c>
    </row>
    <row r="195" spans="1:11">
      <c r="A195" t="s">
        <v>126</v>
      </c>
      <c r="B195">
        <v>10185</v>
      </c>
      <c r="C195">
        <v>21</v>
      </c>
      <c r="D195" s="21">
        <v>100</v>
      </c>
      <c r="E195" s="22">
        <v>37939</v>
      </c>
      <c r="F195" t="s">
        <v>13</v>
      </c>
      <c r="G195" t="s">
        <v>72</v>
      </c>
      <c r="H195">
        <v>4</v>
      </c>
      <c r="I195">
        <v>2003</v>
      </c>
      <c r="J195" t="s">
        <v>22</v>
      </c>
      <c r="K195" t="s">
        <v>127</v>
      </c>
    </row>
    <row r="196" spans="1:11">
      <c r="A196" t="s">
        <v>93</v>
      </c>
      <c r="B196">
        <v>10196</v>
      </c>
      <c r="C196">
        <v>47</v>
      </c>
      <c r="D196" s="21">
        <v>100</v>
      </c>
      <c r="E196" s="22">
        <v>37951</v>
      </c>
      <c r="F196" t="s">
        <v>13</v>
      </c>
      <c r="G196" t="s">
        <v>72</v>
      </c>
      <c r="H196">
        <v>4</v>
      </c>
      <c r="I196">
        <v>2003</v>
      </c>
      <c r="J196" t="s">
        <v>61</v>
      </c>
      <c r="K196" t="s">
        <v>94</v>
      </c>
    </row>
    <row r="197" spans="1:11">
      <c r="A197" t="s">
        <v>85</v>
      </c>
      <c r="B197">
        <v>10208</v>
      </c>
      <c r="C197">
        <v>46</v>
      </c>
      <c r="D197" s="21">
        <v>100</v>
      </c>
      <c r="E197" s="22">
        <v>37988</v>
      </c>
      <c r="F197" t="s">
        <v>13</v>
      </c>
      <c r="G197" t="s">
        <v>72</v>
      </c>
      <c r="H197">
        <v>1</v>
      </c>
      <c r="I197">
        <v>2004</v>
      </c>
      <c r="J197" t="s">
        <v>61</v>
      </c>
      <c r="K197" t="s">
        <v>86</v>
      </c>
    </row>
    <row r="198" spans="1:11">
      <c r="A198" t="s">
        <v>179</v>
      </c>
      <c r="B198">
        <v>10220</v>
      </c>
      <c r="C198">
        <v>32</v>
      </c>
      <c r="D198" s="21">
        <v>100</v>
      </c>
      <c r="E198" s="22">
        <v>38029</v>
      </c>
      <c r="F198" t="s">
        <v>13</v>
      </c>
      <c r="G198" t="s">
        <v>72</v>
      </c>
      <c r="H198">
        <v>1</v>
      </c>
      <c r="I198">
        <v>2004</v>
      </c>
      <c r="J198" t="s">
        <v>61</v>
      </c>
      <c r="K198" t="s">
        <v>180</v>
      </c>
    </row>
    <row r="199" spans="1:11">
      <c r="A199" t="s">
        <v>181</v>
      </c>
      <c r="B199">
        <v>10231</v>
      </c>
      <c r="C199">
        <v>42</v>
      </c>
      <c r="D199" s="21">
        <v>100</v>
      </c>
      <c r="E199" s="22">
        <v>38065</v>
      </c>
      <c r="F199" t="s">
        <v>13</v>
      </c>
      <c r="G199" t="s">
        <v>72</v>
      </c>
      <c r="H199">
        <v>1</v>
      </c>
      <c r="I199">
        <v>2004</v>
      </c>
      <c r="J199" t="s">
        <v>61</v>
      </c>
      <c r="K199" t="s">
        <v>182</v>
      </c>
    </row>
    <row r="200" spans="1:11">
      <c r="A200" t="s">
        <v>175</v>
      </c>
      <c r="B200">
        <v>10247</v>
      </c>
      <c r="C200">
        <v>44</v>
      </c>
      <c r="D200" s="21">
        <v>100</v>
      </c>
      <c r="E200" s="22">
        <v>38112</v>
      </c>
      <c r="F200" t="s">
        <v>13</v>
      </c>
      <c r="G200" t="s">
        <v>72</v>
      </c>
      <c r="H200">
        <v>2</v>
      </c>
      <c r="I200">
        <v>2004</v>
      </c>
      <c r="J200" t="s">
        <v>61</v>
      </c>
      <c r="K200" t="s">
        <v>176</v>
      </c>
    </row>
    <row r="201" spans="1:11">
      <c r="A201" t="s">
        <v>58</v>
      </c>
      <c r="B201">
        <v>10272</v>
      </c>
      <c r="C201">
        <v>35</v>
      </c>
      <c r="D201" s="21">
        <v>100</v>
      </c>
      <c r="E201" s="22">
        <v>38188</v>
      </c>
      <c r="F201" t="s">
        <v>13</v>
      </c>
      <c r="G201" t="s">
        <v>72</v>
      </c>
      <c r="H201">
        <v>3</v>
      </c>
      <c r="I201">
        <v>2004</v>
      </c>
      <c r="J201" t="s">
        <v>22</v>
      </c>
      <c r="K201" t="s">
        <v>59</v>
      </c>
    </row>
    <row r="202" spans="1:11">
      <c r="A202" t="s">
        <v>103</v>
      </c>
      <c r="B202">
        <v>10282</v>
      </c>
      <c r="C202">
        <v>41</v>
      </c>
      <c r="D202" s="21">
        <v>100</v>
      </c>
      <c r="E202" s="22">
        <v>38219</v>
      </c>
      <c r="F202" t="s">
        <v>13</v>
      </c>
      <c r="G202" t="s">
        <v>72</v>
      </c>
      <c r="H202">
        <v>3</v>
      </c>
      <c r="I202">
        <v>2004</v>
      </c>
      <c r="J202" t="s">
        <v>61</v>
      </c>
      <c r="K202" t="s">
        <v>104</v>
      </c>
    </row>
    <row r="203" spans="1:11">
      <c r="A203" t="s">
        <v>97</v>
      </c>
      <c r="B203">
        <v>10293</v>
      </c>
      <c r="C203">
        <v>46</v>
      </c>
      <c r="D203" s="21">
        <v>100</v>
      </c>
      <c r="E203" s="22">
        <v>38239</v>
      </c>
      <c r="F203" t="s">
        <v>13</v>
      </c>
      <c r="G203" t="s">
        <v>72</v>
      </c>
      <c r="H203">
        <v>3</v>
      </c>
      <c r="I203">
        <v>2004</v>
      </c>
      <c r="J203" t="s">
        <v>61</v>
      </c>
      <c r="K203" t="s">
        <v>98</v>
      </c>
    </row>
    <row r="204" spans="1:11">
      <c r="A204" t="s">
        <v>183</v>
      </c>
      <c r="B204">
        <v>10306</v>
      </c>
      <c r="C204">
        <v>31</v>
      </c>
      <c r="D204" s="21">
        <v>100</v>
      </c>
      <c r="E204" s="22">
        <v>38274</v>
      </c>
      <c r="F204" t="s">
        <v>13</v>
      </c>
      <c r="G204" t="s">
        <v>72</v>
      </c>
      <c r="H204">
        <v>4</v>
      </c>
      <c r="I204">
        <v>2004</v>
      </c>
      <c r="J204" t="s">
        <v>22</v>
      </c>
      <c r="K204" t="s">
        <v>184</v>
      </c>
    </row>
    <row r="205" spans="1:11">
      <c r="A205" t="s">
        <v>185</v>
      </c>
      <c r="B205">
        <v>10314</v>
      </c>
      <c r="C205">
        <v>38</v>
      </c>
      <c r="D205" s="21">
        <v>100</v>
      </c>
      <c r="E205" s="22">
        <v>38282</v>
      </c>
      <c r="F205" t="s">
        <v>13</v>
      </c>
      <c r="G205" t="s">
        <v>72</v>
      </c>
      <c r="H205">
        <v>4</v>
      </c>
      <c r="I205">
        <v>2004</v>
      </c>
      <c r="J205" t="s">
        <v>61</v>
      </c>
      <c r="K205" t="s">
        <v>186</v>
      </c>
    </row>
    <row r="206" spans="1:11">
      <c r="A206" t="s">
        <v>56</v>
      </c>
      <c r="B206">
        <v>10325</v>
      </c>
      <c r="C206">
        <v>42</v>
      </c>
      <c r="D206" s="21">
        <v>64</v>
      </c>
      <c r="E206" s="22">
        <v>38296</v>
      </c>
      <c r="F206" t="s">
        <v>13</v>
      </c>
      <c r="G206" t="s">
        <v>72</v>
      </c>
      <c r="H206">
        <v>4</v>
      </c>
      <c r="I206">
        <v>2004</v>
      </c>
      <c r="J206" t="s">
        <v>15</v>
      </c>
      <c r="K206" t="s">
        <v>57</v>
      </c>
    </row>
    <row r="207" spans="1:11">
      <c r="A207" t="s">
        <v>152</v>
      </c>
      <c r="B207">
        <v>10336</v>
      </c>
      <c r="C207">
        <v>33</v>
      </c>
      <c r="D207" s="21">
        <v>57.22</v>
      </c>
      <c r="E207" s="22">
        <v>38311</v>
      </c>
      <c r="F207" t="s">
        <v>13</v>
      </c>
      <c r="G207" t="s">
        <v>72</v>
      </c>
      <c r="H207">
        <v>4</v>
      </c>
      <c r="I207">
        <v>2004</v>
      </c>
      <c r="J207" t="s">
        <v>15</v>
      </c>
      <c r="K207" t="s">
        <v>153</v>
      </c>
    </row>
    <row r="208" spans="1:11">
      <c r="A208" t="s">
        <v>75</v>
      </c>
      <c r="B208">
        <v>10348</v>
      </c>
      <c r="C208">
        <v>48</v>
      </c>
      <c r="D208" s="21">
        <v>52.36</v>
      </c>
      <c r="E208" s="22">
        <v>38292</v>
      </c>
      <c r="F208" t="s">
        <v>13</v>
      </c>
      <c r="G208" t="s">
        <v>72</v>
      </c>
      <c r="H208">
        <v>4</v>
      </c>
      <c r="I208">
        <v>2004</v>
      </c>
      <c r="J208" t="s">
        <v>15</v>
      </c>
      <c r="K208" t="s">
        <v>76</v>
      </c>
    </row>
    <row r="209" spans="1:11">
      <c r="A209" t="s">
        <v>18</v>
      </c>
      <c r="B209">
        <v>10359</v>
      </c>
      <c r="C209">
        <v>42</v>
      </c>
      <c r="D209" s="21">
        <v>100</v>
      </c>
      <c r="E209" s="22">
        <v>38336</v>
      </c>
      <c r="F209" t="s">
        <v>13</v>
      </c>
      <c r="G209" t="s">
        <v>72</v>
      </c>
      <c r="H209">
        <v>4</v>
      </c>
      <c r="I209">
        <v>2004</v>
      </c>
      <c r="J209" t="s">
        <v>22</v>
      </c>
      <c r="K209" t="s">
        <v>19</v>
      </c>
    </row>
    <row r="210" spans="1:11">
      <c r="A210" t="s">
        <v>103</v>
      </c>
      <c r="B210">
        <v>10371</v>
      </c>
      <c r="C210">
        <v>32</v>
      </c>
      <c r="D210" s="21">
        <v>100</v>
      </c>
      <c r="E210" s="22">
        <v>38375</v>
      </c>
      <c r="F210" t="s">
        <v>13</v>
      </c>
      <c r="G210" t="s">
        <v>72</v>
      </c>
      <c r="H210">
        <v>1</v>
      </c>
      <c r="I210">
        <v>2005</v>
      </c>
      <c r="J210" t="s">
        <v>22</v>
      </c>
      <c r="K210" t="s">
        <v>104</v>
      </c>
    </row>
    <row r="211" spans="1:11">
      <c r="A211" t="s">
        <v>103</v>
      </c>
      <c r="B211">
        <v>10382</v>
      </c>
      <c r="C211">
        <v>34</v>
      </c>
      <c r="D211" s="21">
        <v>100</v>
      </c>
      <c r="E211" s="22">
        <v>38400</v>
      </c>
      <c r="F211" t="s">
        <v>13</v>
      </c>
      <c r="G211" t="s">
        <v>72</v>
      </c>
      <c r="H211">
        <v>1</v>
      </c>
      <c r="I211">
        <v>2005</v>
      </c>
      <c r="J211" t="s">
        <v>22</v>
      </c>
      <c r="K211" t="s">
        <v>104</v>
      </c>
    </row>
    <row r="212" spans="1:11">
      <c r="A212" t="s">
        <v>21</v>
      </c>
      <c r="B212">
        <v>10395</v>
      </c>
      <c r="C212">
        <v>33</v>
      </c>
      <c r="D212" s="21">
        <v>69.12</v>
      </c>
      <c r="E212" s="22">
        <v>38428</v>
      </c>
      <c r="F212" t="s">
        <v>13</v>
      </c>
      <c r="G212" t="s">
        <v>72</v>
      </c>
      <c r="H212">
        <v>1</v>
      </c>
      <c r="I212">
        <v>2005</v>
      </c>
      <c r="J212" t="s">
        <v>15</v>
      </c>
      <c r="K212" t="s">
        <v>23</v>
      </c>
    </row>
    <row r="213" spans="1:11">
      <c r="A213" t="s">
        <v>48</v>
      </c>
      <c r="B213">
        <v>10413</v>
      </c>
      <c r="C213">
        <v>36</v>
      </c>
      <c r="D213" s="21">
        <v>100</v>
      </c>
      <c r="E213" s="22">
        <v>38477</v>
      </c>
      <c r="F213" t="s">
        <v>13</v>
      </c>
      <c r="G213" t="s">
        <v>72</v>
      </c>
      <c r="H213">
        <v>2</v>
      </c>
      <c r="I213">
        <v>2005</v>
      </c>
      <c r="J213" t="s">
        <v>61</v>
      </c>
      <c r="K213" t="s">
        <v>49</v>
      </c>
    </row>
    <row r="214" spans="1:11">
      <c r="A214" t="s">
        <v>56</v>
      </c>
      <c r="B214">
        <v>10103</v>
      </c>
      <c r="C214">
        <v>27</v>
      </c>
      <c r="D214" s="21">
        <v>100</v>
      </c>
      <c r="E214" s="22">
        <v>37650</v>
      </c>
      <c r="F214" t="s">
        <v>13</v>
      </c>
      <c r="G214" t="s">
        <v>187</v>
      </c>
      <c r="H214">
        <v>1</v>
      </c>
      <c r="I214">
        <v>2003</v>
      </c>
      <c r="J214" t="s">
        <v>22</v>
      </c>
      <c r="K214" t="s">
        <v>57</v>
      </c>
    </row>
    <row r="215" spans="1:11">
      <c r="A215" t="s">
        <v>103</v>
      </c>
      <c r="B215">
        <v>10113</v>
      </c>
      <c r="C215">
        <v>21</v>
      </c>
      <c r="D215" s="21">
        <v>100</v>
      </c>
      <c r="E215" s="22">
        <v>37706</v>
      </c>
      <c r="F215" t="s">
        <v>13</v>
      </c>
      <c r="G215" t="s">
        <v>187</v>
      </c>
      <c r="H215">
        <v>1</v>
      </c>
      <c r="I215">
        <v>2003</v>
      </c>
      <c r="J215" t="s">
        <v>22</v>
      </c>
      <c r="K215" t="s">
        <v>104</v>
      </c>
    </row>
    <row r="216" spans="1:11">
      <c r="A216" t="s">
        <v>75</v>
      </c>
      <c r="B216">
        <v>10126</v>
      </c>
      <c r="C216">
        <v>21</v>
      </c>
      <c r="D216" s="21">
        <v>100</v>
      </c>
      <c r="E216" s="22">
        <v>37769</v>
      </c>
      <c r="F216" t="s">
        <v>13</v>
      </c>
      <c r="G216" t="s">
        <v>187</v>
      </c>
      <c r="H216">
        <v>2</v>
      </c>
      <c r="I216">
        <v>2003</v>
      </c>
      <c r="J216" t="s">
        <v>15</v>
      </c>
      <c r="K216" t="s">
        <v>76</v>
      </c>
    </row>
    <row r="217" spans="1:11">
      <c r="A217" t="s">
        <v>31</v>
      </c>
      <c r="B217">
        <v>10140</v>
      </c>
      <c r="C217">
        <v>38</v>
      </c>
      <c r="D217" s="21">
        <v>100</v>
      </c>
      <c r="E217" s="22">
        <v>37826</v>
      </c>
      <c r="F217" t="s">
        <v>13</v>
      </c>
      <c r="G217" t="s">
        <v>187</v>
      </c>
      <c r="H217">
        <v>3</v>
      </c>
      <c r="I217">
        <v>2003</v>
      </c>
      <c r="J217" t="s">
        <v>22</v>
      </c>
      <c r="K217" t="s">
        <v>32</v>
      </c>
    </row>
    <row r="218" spans="1:11">
      <c r="A218" t="s">
        <v>77</v>
      </c>
      <c r="B218">
        <v>10150</v>
      </c>
      <c r="C218">
        <v>30</v>
      </c>
      <c r="D218" s="21">
        <v>100</v>
      </c>
      <c r="E218" s="22">
        <v>37883</v>
      </c>
      <c r="F218" t="s">
        <v>13</v>
      </c>
      <c r="G218" t="s">
        <v>187</v>
      </c>
      <c r="H218">
        <v>3</v>
      </c>
      <c r="I218">
        <v>2003</v>
      </c>
      <c r="J218" t="s">
        <v>22</v>
      </c>
      <c r="K218" t="s">
        <v>78</v>
      </c>
    </row>
    <row r="219" spans="1:11">
      <c r="A219" t="s">
        <v>154</v>
      </c>
      <c r="B219">
        <v>10164</v>
      </c>
      <c r="C219">
        <v>49</v>
      </c>
      <c r="D219" s="21">
        <v>100</v>
      </c>
      <c r="E219" s="22">
        <v>37915</v>
      </c>
      <c r="F219" t="s">
        <v>155</v>
      </c>
      <c r="G219" t="s">
        <v>187</v>
      </c>
      <c r="H219">
        <v>4</v>
      </c>
      <c r="I219">
        <v>2003</v>
      </c>
      <c r="J219" t="s">
        <v>22</v>
      </c>
      <c r="K219" t="s">
        <v>156</v>
      </c>
    </row>
    <row r="220" spans="1:11">
      <c r="A220" t="s">
        <v>81</v>
      </c>
      <c r="B220">
        <v>10174</v>
      </c>
      <c r="C220">
        <v>43</v>
      </c>
      <c r="D220" s="21">
        <v>100</v>
      </c>
      <c r="E220" s="22">
        <v>37931</v>
      </c>
      <c r="F220" t="s">
        <v>13</v>
      </c>
      <c r="G220" t="s">
        <v>187</v>
      </c>
      <c r="H220">
        <v>4</v>
      </c>
      <c r="I220">
        <v>2003</v>
      </c>
      <c r="J220" t="s">
        <v>22</v>
      </c>
      <c r="K220" t="s">
        <v>82</v>
      </c>
    </row>
    <row r="221" spans="1:11">
      <c r="A221" t="s">
        <v>83</v>
      </c>
      <c r="B221">
        <v>10183</v>
      </c>
      <c r="C221">
        <v>41</v>
      </c>
      <c r="D221" s="21">
        <v>100</v>
      </c>
      <c r="E221" s="22">
        <v>37938</v>
      </c>
      <c r="F221" t="s">
        <v>13</v>
      </c>
      <c r="G221" t="s">
        <v>187</v>
      </c>
      <c r="H221">
        <v>4</v>
      </c>
      <c r="I221">
        <v>2003</v>
      </c>
      <c r="J221" t="s">
        <v>22</v>
      </c>
      <c r="K221" t="s">
        <v>84</v>
      </c>
    </row>
    <row r="222" spans="1:11">
      <c r="A222" t="s">
        <v>85</v>
      </c>
      <c r="B222">
        <v>10194</v>
      </c>
      <c r="C222">
        <v>38</v>
      </c>
      <c r="D222" s="21">
        <v>100</v>
      </c>
      <c r="E222" s="22">
        <v>37950</v>
      </c>
      <c r="F222" t="s">
        <v>13</v>
      </c>
      <c r="G222" t="s">
        <v>187</v>
      </c>
      <c r="H222">
        <v>4</v>
      </c>
      <c r="I222">
        <v>2003</v>
      </c>
      <c r="J222" t="s">
        <v>22</v>
      </c>
      <c r="K222" t="s">
        <v>86</v>
      </c>
    </row>
    <row r="223" spans="1:11">
      <c r="A223" t="s">
        <v>87</v>
      </c>
      <c r="B223">
        <v>10206</v>
      </c>
      <c r="C223">
        <v>28</v>
      </c>
      <c r="D223" s="21">
        <v>100</v>
      </c>
      <c r="E223" s="22">
        <v>37960</v>
      </c>
      <c r="F223" t="s">
        <v>13</v>
      </c>
      <c r="G223" t="s">
        <v>187</v>
      </c>
      <c r="H223">
        <v>4</v>
      </c>
      <c r="I223">
        <v>2003</v>
      </c>
      <c r="J223" t="s">
        <v>22</v>
      </c>
      <c r="K223" t="s">
        <v>88</v>
      </c>
    </row>
    <row r="224" spans="1:11">
      <c r="A224" t="s">
        <v>101</v>
      </c>
      <c r="B224">
        <v>10216</v>
      </c>
      <c r="C224">
        <v>43</v>
      </c>
      <c r="D224" s="21">
        <v>100</v>
      </c>
      <c r="E224" s="22">
        <v>38019</v>
      </c>
      <c r="F224" t="s">
        <v>13</v>
      </c>
      <c r="G224" t="s">
        <v>187</v>
      </c>
      <c r="H224">
        <v>1</v>
      </c>
      <c r="I224">
        <v>2004</v>
      </c>
      <c r="J224" t="s">
        <v>22</v>
      </c>
      <c r="K224" t="s">
        <v>102</v>
      </c>
    </row>
    <row r="225" spans="1:11">
      <c r="A225" t="s">
        <v>103</v>
      </c>
      <c r="B225">
        <v>10229</v>
      </c>
      <c r="C225">
        <v>25</v>
      </c>
      <c r="D225" s="21">
        <v>100</v>
      </c>
      <c r="E225" s="22">
        <v>38057</v>
      </c>
      <c r="F225" t="s">
        <v>13</v>
      </c>
      <c r="G225" t="s">
        <v>187</v>
      </c>
      <c r="H225">
        <v>1</v>
      </c>
      <c r="I225">
        <v>2004</v>
      </c>
      <c r="J225" t="s">
        <v>22</v>
      </c>
      <c r="K225" t="s">
        <v>104</v>
      </c>
    </row>
    <row r="226" spans="1:11">
      <c r="A226" t="s">
        <v>93</v>
      </c>
      <c r="B226">
        <v>10245</v>
      </c>
      <c r="C226">
        <v>38</v>
      </c>
      <c r="D226" s="21">
        <v>100</v>
      </c>
      <c r="E226" s="22">
        <v>38111</v>
      </c>
      <c r="F226" t="s">
        <v>13</v>
      </c>
      <c r="G226" t="s">
        <v>187</v>
      </c>
      <c r="H226">
        <v>2</v>
      </c>
      <c r="I226">
        <v>2004</v>
      </c>
      <c r="J226" t="s">
        <v>22</v>
      </c>
      <c r="K226" t="s">
        <v>94</v>
      </c>
    </row>
    <row r="227" spans="1:11">
      <c r="A227" t="s">
        <v>95</v>
      </c>
      <c r="B227">
        <v>10258</v>
      </c>
      <c r="C227">
        <v>41</v>
      </c>
      <c r="D227" s="21">
        <v>100</v>
      </c>
      <c r="E227" s="22">
        <v>38153</v>
      </c>
      <c r="F227" t="s">
        <v>13</v>
      </c>
      <c r="G227" t="s">
        <v>187</v>
      </c>
      <c r="H227">
        <v>2</v>
      </c>
      <c r="I227">
        <v>2004</v>
      </c>
      <c r="J227" t="s">
        <v>22</v>
      </c>
      <c r="K227" t="s">
        <v>96</v>
      </c>
    </row>
    <row r="228" spans="1:11">
      <c r="A228" t="s">
        <v>63</v>
      </c>
      <c r="B228">
        <v>10270</v>
      </c>
      <c r="C228">
        <v>28</v>
      </c>
      <c r="D228" s="21">
        <v>100</v>
      </c>
      <c r="E228" s="22">
        <v>38187</v>
      </c>
      <c r="F228" t="s">
        <v>13</v>
      </c>
      <c r="G228" t="s">
        <v>187</v>
      </c>
      <c r="H228">
        <v>3</v>
      </c>
      <c r="I228">
        <v>2004</v>
      </c>
      <c r="J228" t="s">
        <v>22</v>
      </c>
      <c r="K228" t="s">
        <v>64</v>
      </c>
    </row>
    <row r="229" spans="1:11">
      <c r="A229" t="s">
        <v>58</v>
      </c>
      <c r="B229">
        <v>10281</v>
      </c>
      <c r="C229">
        <v>25</v>
      </c>
      <c r="D229" s="21">
        <v>100</v>
      </c>
      <c r="E229" s="22">
        <v>38218</v>
      </c>
      <c r="F229" t="s">
        <v>13</v>
      </c>
      <c r="G229" t="s">
        <v>187</v>
      </c>
      <c r="H229">
        <v>3</v>
      </c>
      <c r="I229">
        <v>2004</v>
      </c>
      <c r="J229" t="s">
        <v>15</v>
      </c>
      <c r="K229" t="s">
        <v>59</v>
      </c>
    </row>
    <row r="230" spans="1:11">
      <c r="A230" t="s">
        <v>99</v>
      </c>
      <c r="B230">
        <v>10291</v>
      </c>
      <c r="C230">
        <v>41</v>
      </c>
      <c r="D230" s="21">
        <v>100</v>
      </c>
      <c r="E230" s="22">
        <v>38238</v>
      </c>
      <c r="F230" t="s">
        <v>13</v>
      </c>
      <c r="G230" t="s">
        <v>187</v>
      </c>
      <c r="H230">
        <v>3</v>
      </c>
      <c r="I230">
        <v>2004</v>
      </c>
      <c r="J230" t="s">
        <v>22</v>
      </c>
      <c r="K230" t="s">
        <v>100</v>
      </c>
    </row>
    <row r="231" spans="1:11">
      <c r="A231" t="s">
        <v>101</v>
      </c>
      <c r="B231">
        <v>10304</v>
      </c>
      <c r="C231">
        <v>39</v>
      </c>
      <c r="D231" s="21">
        <v>100</v>
      </c>
      <c r="E231" s="22">
        <v>38271</v>
      </c>
      <c r="F231" t="s">
        <v>13</v>
      </c>
      <c r="G231" t="s">
        <v>187</v>
      </c>
      <c r="H231">
        <v>4</v>
      </c>
      <c r="I231">
        <v>2004</v>
      </c>
      <c r="J231" t="s">
        <v>22</v>
      </c>
      <c r="K231" t="s">
        <v>102</v>
      </c>
    </row>
    <row r="232" spans="1:11">
      <c r="A232" t="s">
        <v>87</v>
      </c>
      <c r="B232">
        <v>10313</v>
      </c>
      <c r="C232">
        <v>21</v>
      </c>
      <c r="D232" s="21">
        <v>100</v>
      </c>
      <c r="E232" s="22">
        <v>38282</v>
      </c>
      <c r="F232" t="s">
        <v>13</v>
      </c>
      <c r="G232" t="s">
        <v>187</v>
      </c>
      <c r="H232">
        <v>4</v>
      </c>
      <c r="I232">
        <v>2004</v>
      </c>
      <c r="J232" t="s">
        <v>15</v>
      </c>
      <c r="K232" t="s">
        <v>88</v>
      </c>
    </row>
    <row r="233" spans="1:11">
      <c r="A233" t="s">
        <v>105</v>
      </c>
      <c r="B233">
        <v>10322</v>
      </c>
      <c r="C233">
        <v>27</v>
      </c>
      <c r="D233" s="21">
        <v>100</v>
      </c>
      <c r="E233" s="22">
        <v>38295</v>
      </c>
      <c r="F233" t="s">
        <v>13</v>
      </c>
      <c r="G233" t="s">
        <v>187</v>
      </c>
      <c r="H233">
        <v>4</v>
      </c>
      <c r="I233">
        <v>2004</v>
      </c>
      <c r="J233" t="s">
        <v>22</v>
      </c>
      <c r="K233" t="s">
        <v>106</v>
      </c>
    </row>
    <row r="234" spans="1:11">
      <c r="A234" t="s">
        <v>38</v>
      </c>
      <c r="B234">
        <v>10333</v>
      </c>
      <c r="C234">
        <v>33</v>
      </c>
      <c r="D234" s="21">
        <v>99.21</v>
      </c>
      <c r="E234" s="22">
        <v>38309</v>
      </c>
      <c r="F234" t="s">
        <v>13</v>
      </c>
      <c r="G234" t="s">
        <v>187</v>
      </c>
      <c r="H234">
        <v>4</v>
      </c>
      <c r="I234">
        <v>2004</v>
      </c>
      <c r="J234" t="s">
        <v>22</v>
      </c>
      <c r="K234" t="s">
        <v>39</v>
      </c>
    </row>
    <row r="235" spans="1:11">
      <c r="A235" t="s">
        <v>42</v>
      </c>
      <c r="B235">
        <v>10347</v>
      </c>
      <c r="C235">
        <v>29</v>
      </c>
      <c r="D235" s="21">
        <v>100</v>
      </c>
      <c r="E235" s="22">
        <v>38320</v>
      </c>
      <c r="F235" t="s">
        <v>13</v>
      </c>
      <c r="G235" t="s">
        <v>187</v>
      </c>
      <c r="H235">
        <v>4</v>
      </c>
      <c r="I235">
        <v>2004</v>
      </c>
      <c r="J235" t="s">
        <v>22</v>
      </c>
      <c r="K235" t="s">
        <v>43</v>
      </c>
    </row>
    <row r="236" spans="1:11">
      <c r="A236" t="s">
        <v>103</v>
      </c>
      <c r="B236">
        <v>10357</v>
      </c>
      <c r="C236">
        <v>49</v>
      </c>
      <c r="D236" s="21">
        <v>100</v>
      </c>
      <c r="E236" s="22">
        <v>38331</v>
      </c>
      <c r="F236" t="s">
        <v>13</v>
      </c>
      <c r="G236" t="s">
        <v>187</v>
      </c>
      <c r="H236">
        <v>4</v>
      </c>
      <c r="I236">
        <v>2004</v>
      </c>
      <c r="J236" t="s">
        <v>22</v>
      </c>
      <c r="K236" t="s">
        <v>104</v>
      </c>
    </row>
    <row r="237" spans="1:11">
      <c r="A237" t="s">
        <v>109</v>
      </c>
      <c r="B237">
        <v>10370</v>
      </c>
      <c r="C237">
        <v>49</v>
      </c>
      <c r="D237" s="21">
        <v>100</v>
      </c>
      <c r="E237" s="22">
        <v>38372</v>
      </c>
      <c r="F237" t="s">
        <v>13</v>
      </c>
      <c r="G237" t="s">
        <v>187</v>
      </c>
      <c r="H237">
        <v>1</v>
      </c>
      <c r="I237">
        <v>2005</v>
      </c>
      <c r="J237" t="s">
        <v>61</v>
      </c>
      <c r="K237" t="s">
        <v>110</v>
      </c>
    </row>
    <row r="238" spans="1:11">
      <c r="A238" t="s">
        <v>28</v>
      </c>
      <c r="B238">
        <v>10381</v>
      </c>
      <c r="C238">
        <v>20</v>
      </c>
      <c r="D238" s="21">
        <v>100</v>
      </c>
      <c r="E238" s="22">
        <v>38400</v>
      </c>
      <c r="F238" t="s">
        <v>13</v>
      </c>
      <c r="G238" t="s">
        <v>187</v>
      </c>
      <c r="H238">
        <v>1</v>
      </c>
      <c r="I238">
        <v>2005</v>
      </c>
      <c r="J238" t="s">
        <v>15</v>
      </c>
      <c r="K238" t="s">
        <v>29</v>
      </c>
    </row>
    <row r="239" spans="1:11">
      <c r="A239" t="s">
        <v>109</v>
      </c>
      <c r="B239">
        <v>10391</v>
      </c>
      <c r="C239">
        <v>39</v>
      </c>
      <c r="D239" s="21">
        <v>63.2</v>
      </c>
      <c r="E239" s="22">
        <v>38420</v>
      </c>
      <c r="F239" t="s">
        <v>13</v>
      </c>
      <c r="G239" t="s">
        <v>187</v>
      </c>
      <c r="H239">
        <v>1</v>
      </c>
      <c r="I239">
        <v>2005</v>
      </c>
      <c r="J239" t="s">
        <v>15</v>
      </c>
      <c r="K239" t="s">
        <v>110</v>
      </c>
    </row>
    <row r="240" spans="1:11">
      <c r="A240" t="s">
        <v>111</v>
      </c>
      <c r="B240">
        <v>10411</v>
      </c>
      <c r="C240">
        <v>40</v>
      </c>
      <c r="D240" s="21">
        <v>100</v>
      </c>
      <c r="E240" s="22">
        <v>38473</v>
      </c>
      <c r="F240" t="s">
        <v>13</v>
      </c>
      <c r="G240" t="s">
        <v>187</v>
      </c>
      <c r="H240">
        <v>2</v>
      </c>
      <c r="I240">
        <v>2005</v>
      </c>
      <c r="J240" t="s">
        <v>22</v>
      </c>
      <c r="K240" t="s">
        <v>112</v>
      </c>
    </row>
    <row r="241" spans="1:11">
      <c r="A241" t="s">
        <v>69</v>
      </c>
      <c r="B241">
        <v>10424</v>
      </c>
      <c r="C241">
        <v>49</v>
      </c>
      <c r="D241" s="21">
        <v>100</v>
      </c>
      <c r="E241" s="22">
        <v>38503</v>
      </c>
      <c r="F241" t="s">
        <v>113</v>
      </c>
      <c r="G241" t="s">
        <v>187</v>
      </c>
      <c r="H241">
        <v>2</v>
      </c>
      <c r="I241">
        <v>2005</v>
      </c>
      <c r="J241" t="s">
        <v>61</v>
      </c>
      <c r="K241" t="s">
        <v>71</v>
      </c>
    </row>
    <row r="242" spans="1:11">
      <c r="A242" t="s">
        <v>12</v>
      </c>
      <c r="B242">
        <v>10107</v>
      </c>
      <c r="C242">
        <v>21</v>
      </c>
      <c r="D242" s="21">
        <v>100</v>
      </c>
      <c r="E242" s="22">
        <v>37676</v>
      </c>
      <c r="F242" t="s">
        <v>13</v>
      </c>
      <c r="G242" t="s">
        <v>14</v>
      </c>
      <c r="H242">
        <v>1</v>
      </c>
      <c r="I242">
        <v>2003</v>
      </c>
      <c r="J242" t="s">
        <v>22</v>
      </c>
      <c r="K242" t="s">
        <v>16</v>
      </c>
    </row>
    <row r="243" spans="1:11">
      <c r="A243" t="s">
        <v>18</v>
      </c>
      <c r="B243">
        <v>10121</v>
      </c>
      <c r="C243">
        <v>50</v>
      </c>
      <c r="D243" s="21">
        <v>100</v>
      </c>
      <c r="E243" s="22">
        <v>37748</v>
      </c>
      <c r="F243" t="s">
        <v>13</v>
      </c>
      <c r="G243" t="s">
        <v>14</v>
      </c>
      <c r="H243">
        <v>2</v>
      </c>
      <c r="I243">
        <v>2003</v>
      </c>
      <c r="J243" t="s">
        <v>61</v>
      </c>
      <c r="K243" t="s">
        <v>19</v>
      </c>
    </row>
    <row r="244" spans="1:11">
      <c r="A244" t="s">
        <v>21</v>
      </c>
      <c r="B244">
        <v>10134</v>
      </c>
      <c r="C244">
        <v>20</v>
      </c>
      <c r="D244" s="21">
        <v>100</v>
      </c>
      <c r="E244" s="22">
        <v>37803</v>
      </c>
      <c r="F244" t="s">
        <v>13</v>
      </c>
      <c r="G244" t="s">
        <v>14</v>
      </c>
      <c r="H244">
        <v>3</v>
      </c>
      <c r="I244">
        <v>2003</v>
      </c>
      <c r="J244" t="s">
        <v>15</v>
      </c>
      <c r="K244" t="s">
        <v>23</v>
      </c>
    </row>
    <row r="245" spans="1:11">
      <c r="A245" t="s">
        <v>25</v>
      </c>
      <c r="B245">
        <v>10145</v>
      </c>
      <c r="C245">
        <v>49</v>
      </c>
      <c r="D245" s="21">
        <v>100</v>
      </c>
      <c r="E245" s="22">
        <v>37858</v>
      </c>
      <c r="F245" t="s">
        <v>13</v>
      </c>
      <c r="G245" t="s">
        <v>14</v>
      </c>
      <c r="H245">
        <v>3</v>
      </c>
      <c r="I245">
        <v>2003</v>
      </c>
      <c r="J245" t="s">
        <v>61</v>
      </c>
      <c r="K245" t="s">
        <v>26</v>
      </c>
    </row>
    <row r="246" spans="1:11">
      <c r="A246" t="s">
        <v>28</v>
      </c>
      <c r="B246">
        <v>10159</v>
      </c>
      <c r="C246">
        <v>38</v>
      </c>
      <c r="D246" s="21">
        <v>100</v>
      </c>
      <c r="E246" s="22">
        <v>37904</v>
      </c>
      <c r="F246" t="s">
        <v>13</v>
      </c>
      <c r="G246" t="s">
        <v>14</v>
      </c>
      <c r="H246">
        <v>4</v>
      </c>
      <c r="I246">
        <v>2003</v>
      </c>
      <c r="J246" t="s">
        <v>22</v>
      </c>
      <c r="K246" t="s">
        <v>29</v>
      </c>
    </row>
    <row r="247" spans="1:11">
      <c r="A247" t="s">
        <v>109</v>
      </c>
      <c r="B247">
        <v>10169</v>
      </c>
      <c r="C247">
        <v>35</v>
      </c>
      <c r="D247" s="21">
        <v>100</v>
      </c>
      <c r="E247" s="22">
        <v>37929</v>
      </c>
      <c r="F247" t="s">
        <v>13</v>
      </c>
      <c r="G247" t="s">
        <v>14</v>
      </c>
      <c r="H247">
        <v>4</v>
      </c>
      <c r="I247">
        <v>2003</v>
      </c>
      <c r="J247" t="s">
        <v>22</v>
      </c>
      <c r="K247" t="s">
        <v>110</v>
      </c>
    </row>
    <row r="248" spans="1:11">
      <c r="A248" t="s">
        <v>34</v>
      </c>
      <c r="B248">
        <v>10180</v>
      </c>
      <c r="C248">
        <v>40</v>
      </c>
      <c r="D248" s="21">
        <v>100</v>
      </c>
      <c r="E248" s="22">
        <v>37936</v>
      </c>
      <c r="F248" t="s">
        <v>13</v>
      </c>
      <c r="G248" t="s">
        <v>14</v>
      </c>
      <c r="H248">
        <v>4</v>
      </c>
      <c r="I248">
        <v>2003</v>
      </c>
      <c r="J248" t="s">
        <v>22</v>
      </c>
      <c r="K248" t="s">
        <v>35</v>
      </c>
    </row>
    <row r="249" spans="1:11">
      <c r="A249" t="s">
        <v>25</v>
      </c>
      <c r="B249">
        <v>10189</v>
      </c>
      <c r="C249">
        <v>28</v>
      </c>
      <c r="D249" s="21">
        <v>100</v>
      </c>
      <c r="E249" s="22">
        <v>37943</v>
      </c>
      <c r="F249" t="s">
        <v>13</v>
      </c>
      <c r="G249" t="s">
        <v>14</v>
      </c>
      <c r="H249">
        <v>4</v>
      </c>
      <c r="I249">
        <v>2003</v>
      </c>
      <c r="J249" t="s">
        <v>22</v>
      </c>
      <c r="K249" t="s">
        <v>26</v>
      </c>
    </row>
    <row r="250" spans="1:11">
      <c r="A250" t="s">
        <v>38</v>
      </c>
      <c r="B250">
        <v>10201</v>
      </c>
      <c r="C250">
        <v>25</v>
      </c>
      <c r="D250" s="21">
        <v>100</v>
      </c>
      <c r="E250" s="22">
        <v>37956</v>
      </c>
      <c r="F250" t="s">
        <v>13</v>
      </c>
      <c r="G250" t="s">
        <v>14</v>
      </c>
      <c r="H250">
        <v>4</v>
      </c>
      <c r="I250">
        <v>2003</v>
      </c>
      <c r="J250" t="s">
        <v>22</v>
      </c>
      <c r="K250" t="s">
        <v>39</v>
      </c>
    </row>
    <row r="251" spans="1:11">
      <c r="A251" t="s">
        <v>40</v>
      </c>
      <c r="B251">
        <v>10211</v>
      </c>
      <c r="C251">
        <v>36</v>
      </c>
      <c r="D251" s="21">
        <v>100</v>
      </c>
      <c r="E251" s="22">
        <v>38001</v>
      </c>
      <c r="F251" t="s">
        <v>13</v>
      </c>
      <c r="G251" t="s">
        <v>14</v>
      </c>
      <c r="H251">
        <v>1</v>
      </c>
      <c r="I251">
        <v>2004</v>
      </c>
      <c r="J251" t="s">
        <v>22</v>
      </c>
      <c r="K251" t="s">
        <v>41</v>
      </c>
    </row>
    <row r="252" spans="1:11">
      <c r="A252" t="s">
        <v>34</v>
      </c>
      <c r="B252">
        <v>10224</v>
      </c>
      <c r="C252">
        <v>43</v>
      </c>
      <c r="D252" s="21">
        <v>100</v>
      </c>
      <c r="E252" s="22">
        <v>38038</v>
      </c>
      <c r="F252" t="s">
        <v>13</v>
      </c>
      <c r="G252" t="s">
        <v>14</v>
      </c>
      <c r="H252">
        <v>1</v>
      </c>
      <c r="I252">
        <v>2004</v>
      </c>
      <c r="J252" t="s">
        <v>22</v>
      </c>
      <c r="K252" t="s">
        <v>35</v>
      </c>
    </row>
    <row r="253" spans="1:11">
      <c r="A253" t="s">
        <v>44</v>
      </c>
      <c r="B253">
        <v>10237</v>
      </c>
      <c r="C253">
        <v>32</v>
      </c>
      <c r="D253" s="21">
        <v>100</v>
      </c>
      <c r="E253" s="22">
        <v>38082</v>
      </c>
      <c r="F253" t="s">
        <v>13</v>
      </c>
      <c r="G253" t="s">
        <v>14</v>
      </c>
      <c r="H253">
        <v>2</v>
      </c>
      <c r="I253">
        <v>2004</v>
      </c>
      <c r="J253" t="s">
        <v>22</v>
      </c>
      <c r="K253" t="s">
        <v>45</v>
      </c>
    </row>
    <row r="254" spans="1:11">
      <c r="A254" t="s">
        <v>46</v>
      </c>
      <c r="B254">
        <v>10251</v>
      </c>
      <c r="C254">
        <v>46</v>
      </c>
      <c r="D254" s="21">
        <v>100</v>
      </c>
      <c r="E254" s="22">
        <v>38125</v>
      </c>
      <c r="F254" t="s">
        <v>13</v>
      </c>
      <c r="G254" t="s">
        <v>14</v>
      </c>
      <c r="H254">
        <v>2</v>
      </c>
      <c r="I254">
        <v>2004</v>
      </c>
      <c r="J254" t="s">
        <v>61</v>
      </c>
      <c r="K254" t="s">
        <v>47</v>
      </c>
    </row>
    <row r="255" spans="1:11">
      <c r="A255" t="s">
        <v>48</v>
      </c>
      <c r="B255">
        <v>10263</v>
      </c>
      <c r="C255">
        <v>48</v>
      </c>
      <c r="D255" s="21">
        <v>100</v>
      </c>
      <c r="E255" s="22">
        <v>38166</v>
      </c>
      <c r="F255" t="s">
        <v>13</v>
      </c>
      <c r="G255" t="s">
        <v>14</v>
      </c>
      <c r="H255">
        <v>2</v>
      </c>
      <c r="I255">
        <v>2004</v>
      </c>
      <c r="J255" t="s">
        <v>22</v>
      </c>
      <c r="K255" t="s">
        <v>49</v>
      </c>
    </row>
    <row r="256" spans="1:11">
      <c r="A256" t="s">
        <v>171</v>
      </c>
      <c r="B256">
        <v>10276</v>
      </c>
      <c r="C256">
        <v>43</v>
      </c>
      <c r="D256" s="21">
        <v>100</v>
      </c>
      <c r="E256" s="22">
        <v>38201</v>
      </c>
      <c r="F256" t="s">
        <v>13</v>
      </c>
      <c r="G256" t="s">
        <v>14</v>
      </c>
      <c r="H256">
        <v>3</v>
      </c>
      <c r="I256">
        <v>2004</v>
      </c>
      <c r="J256" t="s">
        <v>22</v>
      </c>
      <c r="K256" t="s">
        <v>172</v>
      </c>
    </row>
    <row r="257" spans="1:11">
      <c r="A257" t="s">
        <v>52</v>
      </c>
      <c r="B257">
        <v>10285</v>
      </c>
      <c r="C257">
        <v>49</v>
      </c>
      <c r="D257" s="21">
        <v>100</v>
      </c>
      <c r="E257" s="22">
        <v>38226</v>
      </c>
      <c r="F257" t="s">
        <v>13</v>
      </c>
      <c r="G257" t="s">
        <v>14</v>
      </c>
      <c r="H257">
        <v>3</v>
      </c>
      <c r="I257">
        <v>2004</v>
      </c>
      <c r="J257" t="s">
        <v>22</v>
      </c>
      <c r="K257" t="s">
        <v>53</v>
      </c>
    </row>
    <row r="258" spans="1:11">
      <c r="A258" t="s">
        <v>54</v>
      </c>
      <c r="B258">
        <v>10299</v>
      </c>
      <c r="C258">
        <v>24</v>
      </c>
      <c r="D258" s="21">
        <v>100</v>
      </c>
      <c r="E258" s="22">
        <v>38260</v>
      </c>
      <c r="F258" t="s">
        <v>13</v>
      </c>
      <c r="G258" t="s">
        <v>14</v>
      </c>
      <c r="H258">
        <v>3</v>
      </c>
      <c r="I258">
        <v>2004</v>
      </c>
      <c r="J258" t="s">
        <v>22</v>
      </c>
      <c r="K258" t="s">
        <v>55</v>
      </c>
    </row>
    <row r="259" spans="1:11">
      <c r="A259" t="s">
        <v>56</v>
      </c>
      <c r="B259">
        <v>10309</v>
      </c>
      <c r="C259">
        <v>26</v>
      </c>
      <c r="D259" s="21">
        <v>100</v>
      </c>
      <c r="E259" s="22">
        <v>38275</v>
      </c>
      <c r="F259" t="s">
        <v>13</v>
      </c>
      <c r="G259" t="s">
        <v>14</v>
      </c>
      <c r="H259">
        <v>4</v>
      </c>
      <c r="I259">
        <v>2004</v>
      </c>
      <c r="J259" t="s">
        <v>22</v>
      </c>
      <c r="K259" t="s">
        <v>57</v>
      </c>
    </row>
    <row r="260" spans="1:11">
      <c r="A260" t="s">
        <v>188</v>
      </c>
      <c r="B260">
        <v>10319</v>
      </c>
      <c r="C260">
        <v>30</v>
      </c>
      <c r="D260" s="21">
        <v>100</v>
      </c>
      <c r="E260" s="22">
        <v>38294</v>
      </c>
      <c r="F260" t="s">
        <v>13</v>
      </c>
      <c r="G260" t="s">
        <v>14</v>
      </c>
      <c r="H260">
        <v>4</v>
      </c>
      <c r="I260">
        <v>2004</v>
      </c>
      <c r="J260" t="s">
        <v>22</v>
      </c>
      <c r="K260" t="s">
        <v>189</v>
      </c>
    </row>
    <row r="261" spans="1:11">
      <c r="A261" t="s">
        <v>12</v>
      </c>
      <c r="B261">
        <v>10329</v>
      </c>
      <c r="C261">
        <v>24</v>
      </c>
      <c r="D261" s="21">
        <v>100</v>
      </c>
      <c r="E261" s="22">
        <v>38306</v>
      </c>
      <c r="F261" t="s">
        <v>13</v>
      </c>
      <c r="G261" t="s">
        <v>14</v>
      </c>
      <c r="H261">
        <v>4</v>
      </c>
      <c r="I261">
        <v>2004</v>
      </c>
      <c r="J261" t="s">
        <v>22</v>
      </c>
      <c r="K261" t="s">
        <v>16</v>
      </c>
    </row>
    <row r="262" spans="1:11">
      <c r="A262" t="s">
        <v>60</v>
      </c>
      <c r="B262">
        <v>10341</v>
      </c>
      <c r="C262">
        <v>55</v>
      </c>
      <c r="D262" s="21">
        <v>100</v>
      </c>
      <c r="E262" s="22">
        <v>38315</v>
      </c>
      <c r="F262" t="s">
        <v>13</v>
      </c>
      <c r="G262" t="s">
        <v>14</v>
      </c>
      <c r="H262">
        <v>4</v>
      </c>
      <c r="I262">
        <v>2004</v>
      </c>
      <c r="J262" t="s">
        <v>61</v>
      </c>
      <c r="K262" t="s">
        <v>62</v>
      </c>
    </row>
    <row r="263" spans="1:11">
      <c r="A263" t="s">
        <v>31</v>
      </c>
      <c r="B263">
        <v>10362</v>
      </c>
      <c r="C263">
        <v>22</v>
      </c>
      <c r="D263" s="21">
        <v>100</v>
      </c>
      <c r="E263" s="22">
        <v>38357</v>
      </c>
      <c r="F263" t="s">
        <v>13</v>
      </c>
      <c r="G263" t="s">
        <v>14</v>
      </c>
      <c r="H263">
        <v>1</v>
      </c>
      <c r="I263">
        <v>2005</v>
      </c>
      <c r="J263" t="s">
        <v>22</v>
      </c>
      <c r="K263" t="s">
        <v>32</v>
      </c>
    </row>
    <row r="264" spans="1:11">
      <c r="A264" t="s">
        <v>50</v>
      </c>
      <c r="B264">
        <v>10375</v>
      </c>
      <c r="C264">
        <v>49</v>
      </c>
      <c r="D264" s="21">
        <v>78.92</v>
      </c>
      <c r="E264" s="22">
        <v>38386</v>
      </c>
      <c r="F264" t="s">
        <v>13</v>
      </c>
      <c r="G264" t="s">
        <v>14</v>
      </c>
      <c r="H264">
        <v>1</v>
      </c>
      <c r="I264">
        <v>2005</v>
      </c>
      <c r="J264" t="s">
        <v>22</v>
      </c>
      <c r="K264" t="s">
        <v>51</v>
      </c>
    </row>
    <row r="265" spans="1:11">
      <c r="A265" t="s">
        <v>65</v>
      </c>
      <c r="B265">
        <v>10388</v>
      </c>
      <c r="C265">
        <v>44</v>
      </c>
      <c r="D265" s="21">
        <v>100</v>
      </c>
      <c r="E265" s="22">
        <v>38414</v>
      </c>
      <c r="F265" t="s">
        <v>13</v>
      </c>
      <c r="G265" t="s">
        <v>14</v>
      </c>
      <c r="H265">
        <v>1</v>
      </c>
      <c r="I265">
        <v>2005</v>
      </c>
      <c r="J265" t="s">
        <v>22</v>
      </c>
      <c r="K265" t="s">
        <v>66</v>
      </c>
    </row>
    <row r="266" spans="1:11">
      <c r="A266" t="s">
        <v>67</v>
      </c>
      <c r="B266">
        <v>10403</v>
      </c>
      <c r="C266">
        <v>66</v>
      </c>
      <c r="D266" s="21">
        <v>100</v>
      </c>
      <c r="E266" s="22">
        <v>38450</v>
      </c>
      <c r="F266" t="s">
        <v>13</v>
      </c>
      <c r="G266" t="s">
        <v>14</v>
      </c>
      <c r="H266">
        <v>2</v>
      </c>
      <c r="I266">
        <v>2005</v>
      </c>
      <c r="J266" t="s">
        <v>61</v>
      </c>
      <c r="K266" t="s">
        <v>68</v>
      </c>
    </row>
    <row r="267" spans="1:11">
      <c r="A267" t="s">
        <v>69</v>
      </c>
      <c r="B267">
        <v>10417</v>
      </c>
      <c r="C267">
        <v>21</v>
      </c>
      <c r="D267" s="21">
        <v>100</v>
      </c>
      <c r="E267" s="22">
        <v>38485</v>
      </c>
      <c r="F267" t="s">
        <v>70</v>
      </c>
      <c r="G267" t="s">
        <v>14</v>
      </c>
      <c r="H267">
        <v>2</v>
      </c>
      <c r="I267">
        <v>2005</v>
      </c>
      <c r="J267" t="s">
        <v>22</v>
      </c>
      <c r="K267" t="s">
        <v>71</v>
      </c>
    </row>
    <row r="268" spans="1:11">
      <c r="A268" t="s">
        <v>69</v>
      </c>
      <c r="B268">
        <v>10104</v>
      </c>
      <c r="C268">
        <v>34</v>
      </c>
      <c r="D268" s="21">
        <v>100</v>
      </c>
      <c r="E268" s="22">
        <v>37652</v>
      </c>
      <c r="F268" t="s">
        <v>13</v>
      </c>
      <c r="G268" t="s">
        <v>72</v>
      </c>
      <c r="H268">
        <v>1</v>
      </c>
      <c r="I268">
        <v>2003</v>
      </c>
      <c r="J268" t="s">
        <v>22</v>
      </c>
      <c r="K268" t="s">
        <v>71</v>
      </c>
    </row>
    <row r="269" spans="1:11">
      <c r="A269" t="s">
        <v>77</v>
      </c>
      <c r="B269">
        <v>10117</v>
      </c>
      <c r="C269">
        <v>43</v>
      </c>
      <c r="D269" s="21">
        <v>100</v>
      </c>
      <c r="E269" s="22">
        <v>37727</v>
      </c>
      <c r="F269" t="s">
        <v>13</v>
      </c>
      <c r="G269" t="s">
        <v>72</v>
      </c>
      <c r="H269">
        <v>2</v>
      </c>
      <c r="I269">
        <v>2003</v>
      </c>
      <c r="J269" t="s">
        <v>22</v>
      </c>
      <c r="K269" t="s">
        <v>78</v>
      </c>
    </row>
    <row r="270" spans="1:11">
      <c r="A270" t="s">
        <v>177</v>
      </c>
      <c r="B270">
        <v>10127</v>
      </c>
      <c r="C270">
        <v>46</v>
      </c>
      <c r="D270" s="21">
        <v>100</v>
      </c>
      <c r="E270" s="22">
        <v>37775</v>
      </c>
      <c r="F270" t="s">
        <v>13</v>
      </c>
      <c r="G270" t="s">
        <v>72</v>
      </c>
      <c r="H270">
        <v>2</v>
      </c>
      <c r="I270">
        <v>2003</v>
      </c>
      <c r="J270" t="s">
        <v>61</v>
      </c>
      <c r="K270" t="s">
        <v>178</v>
      </c>
    </row>
    <row r="271" spans="1:11">
      <c r="A271" t="s">
        <v>103</v>
      </c>
      <c r="B271">
        <v>10142</v>
      </c>
      <c r="C271">
        <v>33</v>
      </c>
      <c r="D271" s="21">
        <v>100</v>
      </c>
      <c r="E271" s="22">
        <v>37841</v>
      </c>
      <c r="F271" t="s">
        <v>13</v>
      </c>
      <c r="G271" t="s">
        <v>72</v>
      </c>
      <c r="H271">
        <v>3</v>
      </c>
      <c r="I271">
        <v>2003</v>
      </c>
      <c r="J271" t="s">
        <v>22</v>
      </c>
      <c r="K271" t="s">
        <v>104</v>
      </c>
    </row>
    <row r="272" spans="1:11">
      <c r="A272" t="s">
        <v>69</v>
      </c>
      <c r="B272">
        <v>10153</v>
      </c>
      <c r="C272">
        <v>42</v>
      </c>
      <c r="D272" s="21">
        <v>100</v>
      </c>
      <c r="E272" s="22">
        <v>37892</v>
      </c>
      <c r="F272" t="s">
        <v>13</v>
      </c>
      <c r="G272" t="s">
        <v>72</v>
      </c>
      <c r="H272">
        <v>3</v>
      </c>
      <c r="I272">
        <v>2003</v>
      </c>
      <c r="J272" t="s">
        <v>22</v>
      </c>
      <c r="K272" t="s">
        <v>71</v>
      </c>
    </row>
    <row r="273" spans="1:11">
      <c r="A273" t="s">
        <v>77</v>
      </c>
      <c r="B273">
        <v>10165</v>
      </c>
      <c r="C273">
        <v>34</v>
      </c>
      <c r="D273" s="21">
        <v>100</v>
      </c>
      <c r="E273" s="22">
        <v>37916</v>
      </c>
      <c r="F273" t="s">
        <v>13</v>
      </c>
      <c r="G273" t="s">
        <v>72</v>
      </c>
      <c r="H273">
        <v>4</v>
      </c>
      <c r="I273">
        <v>2003</v>
      </c>
      <c r="J273" t="s">
        <v>22</v>
      </c>
      <c r="K273" t="s">
        <v>78</v>
      </c>
    </row>
    <row r="274" spans="1:11">
      <c r="A274" t="s">
        <v>169</v>
      </c>
      <c r="B274">
        <v>10176</v>
      </c>
      <c r="C274">
        <v>47</v>
      </c>
      <c r="D274" s="21">
        <v>100</v>
      </c>
      <c r="E274" s="22">
        <v>37931</v>
      </c>
      <c r="F274" t="s">
        <v>13</v>
      </c>
      <c r="G274" t="s">
        <v>72</v>
      </c>
      <c r="H274">
        <v>4</v>
      </c>
      <c r="I274">
        <v>2003</v>
      </c>
      <c r="J274" t="s">
        <v>61</v>
      </c>
      <c r="K274" t="s">
        <v>170</v>
      </c>
    </row>
    <row r="275" spans="1:11">
      <c r="A275" t="s">
        <v>126</v>
      </c>
      <c r="B275">
        <v>10185</v>
      </c>
      <c r="C275">
        <v>33</v>
      </c>
      <c r="D275" s="21">
        <v>100</v>
      </c>
      <c r="E275" s="22">
        <v>37939</v>
      </c>
      <c r="F275" t="s">
        <v>13</v>
      </c>
      <c r="G275" t="s">
        <v>72</v>
      </c>
      <c r="H275">
        <v>4</v>
      </c>
      <c r="I275">
        <v>2003</v>
      </c>
      <c r="J275" t="s">
        <v>22</v>
      </c>
      <c r="K275" t="s">
        <v>127</v>
      </c>
    </row>
    <row r="276" spans="1:11">
      <c r="A276" t="s">
        <v>93</v>
      </c>
      <c r="B276">
        <v>10196</v>
      </c>
      <c r="C276">
        <v>24</v>
      </c>
      <c r="D276" s="21">
        <v>100</v>
      </c>
      <c r="E276" s="22">
        <v>37951</v>
      </c>
      <c r="F276" t="s">
        <v>13</v>
      </c>
      <c r="G276" t="s">
        <v>72</v>
      </c>
      <c r="H276">
        <v>4</v>
      </c>
      <c r="I276">
        <v>2003</v>
      </c>
      <c r="J276" t="s">
        <v>22</v>
      </c>
      <c r="K276" t="s">
        <v>94</v>
      </c>
    </row>
    <row r="277" spans="1:11">
      <c r="A277" t="s">
        <v>85</v>
      </c>
      <c r="B277">
        <v>10208</v>
      </c>
      <c r="C277">
        <v>26</v>
      </c>
      <c r="D277" s="21">
        <v>100</v>
      </c>
      <c r="E277" s="22">
        <v>37988</v>
      </c>
      <c r="F277" t="s">
        <v>13</v>
      </c>
      <c r="G277" t="s">
        <v>72</v>
      </c>
      <c r="H277">
        <v>1</v>
      </c>
      <c r="I277">
        <v>2004</v>
      </c>
      <c r="J277" t="s">
        <v>22</v>
      </c>
      <c r="K277" t="s">
        <v>86</v>
      </c>
    </row>
    <row r="278" spans="1:11">
      <c r="A278" t="s">
        <v>179</v>
      </c>
      <c r="B278">
        <v>10220</v>
      </c>
      <c r="C278">
        <v>30</v>
      </c>
      <c r="D278" s="21">
        <v>100</v>
      </c>
      <c r="E278" s="22">
        <v>38029</v>
      </c>
      <c r="F278" t="s">
        <v>13</v>
      </c>
      <c r="G278" t="s">
        <v>72</v>
      </c>
      <c r="H278">
        <v>1</v>
      </c>
      <c r="I278">
        <v>2004</v>
      </c>
      <c r="J278" t="s">
        <v>22</v>
      </c>
      <c r="K278" t="s">
        <v>180</v>
      </c>
    </row>
    <row r="279" spans="1:11">
      <c r="A279" t="s">
        <v>173</v>
      </c>
      <c r="B279">
        <v>10230</v>
      </c>
      <c r="C279">
        <v>43</v>
      </c>
      <c r="D279" s="21">
        <v>100</v>
      </c>
      <c r="E279" s="22">
        <v>38061</v>
      </c>
      <c r="F279" t="s">
        <v>13</v>
      </c>
      <c r="G279" t="s">
        <v>72</v>
      </c>
      <c r="H279">
        <v>1</v>
      </c>
      <c r="I279">
        <v>2004</v>
      </c>
      <c r="J279" t="s">
        <v>61</v>
      </c>
      <c r="K279" t="s">
        <v>174</v>
      </c>
    </row>
    <row r="280" spans="1:11">
      <c r="A280" t="s">
        <v>175</v>
      </c>
      <c r="B280">
        <v>10247</v>
      </c>
      <c r="C280">
        <v>25</v>
      </c>
      <c r="D280" s="21">
        <v>100</v>
      </c>
      <c r="E280" s="22">
        <v>38112</v>
      </c>
      <c r="F280" t="s">
        <v>13</v>
      </c>
      <c r="G280" t="s">
        <v>72</v>
      </c>
      <c r="H280">
        <v>2</v>
      </c>
      <c r="I280">
        <v>2004</v>
      </c>
      <c r="J280" t="s">
        <v>22</v>
      </c>
      <c r="K280" t="s">
        <v>176</v>
      </c>
    </row>
    <row r="281" spans="1:11">
      <c r="A281" t="s">
        <v>58</v>
      </c>
      <c r="B281">
        <v>10272</v>
      </c>
      <c r="C281">
        <v>27</v>
      </c>
      <c r="D281" s="21">
        <v>100</v>
      </c>
      <c r="E281" s="22">
        <v>38188</v>
      </c>
      <c r="F281" t="s">
        <v>13</v>
      </c>
      <c r="G281" t="s">
        <v>72</v>
      </c>
      <c r="H281">
        <v>3</v>
      </c>
      <c r="I281">
        <v>2004</v>
      </c>
      <c r="J281" t="s">
        <v>22</v>
      </c>
      <c r="K281" t="s">
        <v>59</v>
      </c>
    </row>
    <row r="282" spans="1:11">
      <c r="A282" t="s">
        <v>103</v>
      </c>
      <c r="B282">
        <v>10282</v>
      </c>
      <c r="C282">
        <v>27</v>
      </c>
      <c r="D282" s="21">
        <v>100</v>
      </c>
      <c r="E282" s="22">
        <v>38219</v>
      </c>
      <c r="F282" t="s">
        <v>13</v>
      </c>
      <c r="G282" t="s">
        <v>72</v>
      </c>
      <c r="H282">
        <v>3</v>
      </c>
      <c r="I282">
        <v>2004</v>
      </c>
      <c r="J282" t="s">
        <v>22</v>
      </c>
      <c r="K282" t="s">
        <v>104</v>
      </c>
    </row>
    <row r="283" spans="1:11">
      <c r="A283" t="s">
        <v>97</v>
      </c>
      <c r="B283">
        <v>10293</v>
      </c>
      <c r="C283">
        <v>24</v>
      </c>
      <c r="D283" s="21">
        <v>100</v>
      </c>
      <c r="E283" s="22">
        <v>38239</v>
      </c>
      <c r="F283" t="s">
        <v>13</v>
      </c>
      <c r="G283" t="s">
        <v>72</v>
      </c>
      <c r="H283">
        <v>3</v>
      </c>
      <c r="I283">
        <v>2004</v>
      </c>
      <c r="J283" t="s">
        <v>22</v>
      </c>
      <c r="K283" t="s">
        <v>98</v>
      </c>
    </row>
    <row r="284" spans="1:11">
      <c r="A284" t="s">
        <v>183</v>
      </c>
      <c r="B284">
        <v>10306</v>
      </c>
      <c r="C284">
        <v>34</v>
      </c>
      <c r="D284" s="21">
        <v>100</v>
      </c>
      <c r="E284" s="22">
        <v>38274</v>
      </c>
      <c r="F284" t="s">
        <v>13</v>
      </c>
      <c r="G284" t="s">
        <v>72</v>
      </c>
      <c r="H284">
        <v>4</v>
      </c>
      <c r="I284">
        <v>2004</v>
      </c>
      <c r="J284" t="s">
        <v>22</v>
      </c>
      <c r="K284" t="s">
        <v>184</v>
      </c>
    </row>
    <row r="285" spans="1:11">
      <c r="A285" t="s">
        <v>185</v>
      </c>
      <c r="B285">
        <v>10314</v>
      </c>
      <c r="C285">
        <v>46</v>
      </c>
      <c r="D285" s="21">
        <v>100</v>
      </c>
      <c r="E285" s="22">
        <v>38282</v>
      </c>
      <c r="F285" t="s">
        <v>13</v>
      </c>
      <c r="G285" t="s">
        <v>72</v>
      </c>
      <c r="H285">
        <v>4</v>
      </c>
      <c r="I285">
        <v>2004</v>
      </c>
      <c r="J285" t="s">
        <v>22</v>
      </c>
      <c r="K285" t="s">
        <v>186</v>
      </c>
    </row>
    <row r="286" spans="1:11">
      <c r="A286" t="s">
        <v>44</v>
      </c>
      <c r="B286">
        <v>10324</v>
      </c>
      <c r="C286">
        <v>27</v>
      </c>
      <c r="D286" s="21">
        <v>54.33</v>
      </c>
      <c r="E286" s="22">
        <v>38296</v>
      </c>
      <c r="F286" t="s">
        <v>13</v>
      </c>
      <c r="G286" t="s">
        <v>72</v>
      </c>
      <c r="H286">
        <v>4</v>
      </c>
      <c r="I286">
        <v>2004</v>
      </c>
      <c r="J286" t="s">
        <v>15</v>
      </c>
      <c r="K286" t="s">
        <v>45</v>
      </c>
    </row>
    <row r="287" spans="1:11">
      <c r="A287" t="s">
        <v>152</v>
      </c>
      <c r="B287">
        <v>10336</v>
      </c>
      <c r="C287">
        <v>33</v>
      </c>
      <c r="D287" s="21">
        <v>100</v>
      </c>
      <c r="E287" s="22">
        <v>38311</v>
      </c>
      <c r="F287" t="s">
        <v>13</v>
      </c>
      <c r="G287" t="s">
        <v>72</v>
      </c>
      <c r="H287">
        <v>4</v>
      </c>
      <c r="I287">
        <v>2004</v>
      </c>
      <c r="J287" t="s">
        <v>22</v>
      </c>
      <c r="K287" t="s">
        <v>153</v>
      </c>
    </row>
    <row r="288" spans="1:11">
      <c r="A288" t="s">
        <v>75</v>
      </c>
      <c r="B288">
        <v>10348</v>
      </c>
      <c r="C288">
        <v>47</v>
      </c>
      <c r="D288" s="21">
        <v>100</v>
      </c>
      <c r="E288" s="22">
        <v>38292</v>
      </c>
      <c r="F288" t="s">
        <v>13</v>
      </c>
      <c r="G288" t="s">
        <v>72</v>
      </c>
      <c r="H288">
        <v>4</v>
      </c>
      <c r="I288">
        <v>2004</v>
      </c>
      <c r="J288" t="s">
        <v>22</v>
      </c>
      <c r="K288" t="s">
        <v>76</v>
      </c>
    </row>
    <row r="289" spans="1:11">
      <c r="A289" t="s">
        <v>69</v>
      </c>
      <c r="B289">
        <v>10358</v>
      </c>
      <c r="C289">
        <v>49</v>
      </c>
      <c r="D289" s="21">
        <v>55.34</v>
      </c>
      <c r="E289" s="22">
        <v>38331</v>
      </c>
      <c r="F289" t="s">
        <v>13</v>
      </c>
      <c r="G289" t="s">
        <v>72</v>
      </c>
      <c r="H289">
        <v>4</v>
      </c>
      <c r="I289">
        <v>2004</v>
      </c>
      <c r="J289" t="s">
        <v>15</v>
      </c>
      <c r="K289" t="s">
        <v>71</v>
      </c>
    </row>
    <row r="290" spans="1:11">
      <c r="A290" t="s">
        <v>95</v>
      </c>
      <c r="B290">
        <v>10372</v>
      </c>
      <c r="C290">
        <v>40</v>
      </c>
      <c r="D290" s="21">
        <v>100</v>
      </c>
      <c r="E290" s="22">
        <v>38378</v>
      </c>
      <c r="F290" t="s">
        <v>13</v>
      </c>
      <c r="G290" t="s">
        <v>72</v>
      </c>
      <c r="H290">
        <v>1</v>
      </c>
      <c r="I290">
        <v>2005</v>
      </c>
      <c r="J290" t="s">
        <v>22</v>
      </c>
      <c r="K290" t="s">
        <v>96</v>
      </c>
    </row>
    <row r="291" spans="1:11">
      <c r="A291" t="s">
        <v>103</v>
      </c>
      <c r="B291">
        <v>10382</v>
      </c>
      <c r="C291">
        <v>37</v>
      </c>
      <c r="D291" s="21">
        <v>100</v>
      </c>
      <c r="E291" s="22">
        <v>38400</v>
      </c>
      <c r="F291" t="s">
        <v>13</v>
      </c>
      <c r="G291" t="s">
        <v>72</v>
      </c>
      <c r="H291">
        <v>1</v>
      </c>
      <c r="I291">
        <v>2005</v>
      </c>
      <c r="J291" t="s">
        <v>22</v>
      </c>
      <c r="K291" t="s">
        <v>104</v>
      </c>
    </row>
    <row r="292" spans="1:11">
      <c r="A292" t="s">
        <v>48</v>
      </c>
      <c r="B292">
        <v>10413</v>
      </c>
      <c r="C292">
        <v>47</v>
      </c>
      <c r="D292" s="21">
        <v>100</v>
      </c>
      <c r="E292" s="22">
        <v>38477</v>
      </c>
      <c r="F292" t="s">
        <v>13</v>
      </c>
      <c r="G292" t="s">
        <v>72</v>
      </c>
      <c r="H292">
        <v>2</v>
      </c>
      <c r="I292">
        <v>2005</v>
      </c>
      <c r="J292" t="s">
        <v>61</v>
      </c>
      <c r="K292" t="s">
        <v>49</v>
      </c>
    </row>
    <row r="293" spans="1:11">
      <c r="A293" t="s">
        <v>161</v>
      </c>
      <c r="B293">
        <v>10108</v>
      </c>
      <c r="C293">
        <v>45</v>
      </c>
      <c r="D293" s="21">
        <v>100</v>
      </c>
      <c r="E293" s="22">
        <v>37683</v>
      </c>
      <c r="F293" t="s">
        <v>13</v>
      </c>
      <c r="G293" t="s">
        <v>72</v>
      </c>
      <c r="H293">
        <v>1</v>
      </c>
      <c r="I293">
        <v>2003</v>
      </c>
      <c r="J293" t="s">
        <v>22</v>
      </c>
      <c r="K293" t="s">
        <v>162</v>
      </c>
    </row>
    <row r="294" spans="1:11">
      <c r="A294" t="s">
        <v>163</v>
      </c>
      <c r="B294">
        <v>10122</v>
      </c>
      <c r="C294">
        <v>37</v>
      </c>
      <c r="D294" s="21">
        <v>99.82</v>
      </c>
      <c r="E294" s="22">
        <v>37749</v>
      </c>
      <c r="F294" t="s">
        <v>13</v>
      </c>
      <c r="G294" t="s">
        <v>72</v>
      </c>
      <c r="H294">
        <v>2</v>
      </c>
      <c r="I294">
        <v>2003</v>
      </c>
      <c r="J294" t="s">
        <v>22</v>
      </c>
      <c r="K294" t="s">
        <v>164</v>
      </c>
    </row>
    <row r="295" spans="1:11">
      <c r="A295" t="s">
        <v>103</v>
      </c>
      <c r="B295">
        <v>10135</v>
      </c>
      <c r="C295">
        <v>48</v>
      </c>
      <c r="D295" s="21">
        <v>100</v>
      </c>
      <c r="E295" s="22">
        <v>37804</v>
      </c>
      <c r="F295" t="s">
        <v>13</v>
      </c>
      <c r="G295" t="s">
        <v>72</v>
      </c>
      <c r="H295">
        <v>3</v>
      </c>
      <c r="I295">
        <v>2003</v>
      </c>
      <c r="J295" t="s">
        <v>22</v>
      </c>
      <c r="K295" t="s">
        <v>104</v>
      </c>
    </row>
    <row r="296" spans="1:11">
      <c r="A296" t="s">
        <v>107</v>
      </c>
      <c r="B296">
        <v>10147</v>
      </c>
      <c r="C296">
        <v>31</v>
      </c>
      <c r="D296" s="21">
        <v>100</v>
      </c>
      <c r="E296" s="22">
        <v>37869</v>
      </c>
      <c r="F296" t="s">
        <v>13</v>
      </c>
      <c r="G296" t="s">
        <v>72</v>
      </c>
      <c r="H296">
        <v>3</v>
      </c>
      <c r="I296">
        <v>2003</v>
      </c>
      <c r="J296" t="s">
        <v>22</v>
      </c>
      <c r="K296" t="s">
        <v>108</v>
      </c>
    </row>
    <row r="297" spans="1:11">
      <c r="A297" t="s">
        <v>135</v>
      </c>
      <c r="B297">
        <v>10160</v>
      </c>
      <c r="C297">
        <v>46</v>
      </c>
      <c r="D297" s="21">
        <v>100</v>
      </c>
      <c r="E297" s="22">
        <v>37905</v>
      </c>
      <c r="F297" t="s">
        <v>13</v>
      </c>
      <c r="G297" t="s">
        <v>72</v>
      </c>
      <c r="H297">
        <v>4</v>
      </c>
      <c r="I297">
        <v>2003</v>
      </c>
      <c r="J297" t="s">
        <v>22</v>
      </c>
      <c r="K297" t="s">
        <v>136</v>
      </c>
    </row>
    <row r="298" spans="1:11">
      <c r="A298" t="s">
        <v>154</v>
      </c>
      <c r="B298">
        <v>10170</v>
      </c>
      <c r="C298">
        <v>47</v>
      </c>
      <c r="D298" s="21">
        <v>100</v>
      </c>
      <c r="E298" s="22">
        <v>37929</v>
      </c>
      <c r="F298" t="s">
        <v>13</v>
      </c>
      <c r="G298" t="s">
        <v>72</v>
      </c>
      <c r="H298">
        <v>4</v>
      </c>
      <c r="I298">
        <v>2003</v>
      </c>
      <c r="J298" t="s">
        <v>22</v>
      </c>
      <c r="K298" t="s">
        <v>156</v>
      </c>
    </row>
    <row r="299" spans="1:11">
      <c r="A299" t="s">
        <v>36</v>
      </c>
      <c r="B299">
        <v>10181</v>
      </c>
      <c r="C299">
        <v>28</v>
      </c>
      <c r="D299" s="21">
        <v>100</v>
      </c>
      <c r="E299" s="22">
        <v>37937</v>
      </c>
      <c r="F299" t="s">
        <v>13</v>
      </c>
      <c r="G299" t="s">
        <v>72</v>
      </c>
      <c r="H299">
        <v>4</v>
      </c>
      <c r="I299">
        <v>2003</v>
      </c>
      <c r="J299" t="s">
        <v>15</v>
      </c>
      <c r="K299" t="s">
        <v>37</v>
      </c>
    </row>
    <row r="300" spans="1:11">
      <c r="A300" t="s">
        <v>165</v>
      </c>
      <c r="B300">
        <v>10191</v>
      </c>
      <c r="C300">
        <v>40</v>
      </c>
      <c r="D300" s="21">
        <v>100</v>
      </c>
      <c r="E300" s="22">
        <v>37945</v>
      </c>
      <c r="F300" t="s">
        <v>13</v>
      </c>
      <c r="G300" t="s">
        <v>72</v>
      </c>
      <c r="H300">
        <v>4</v>
      </c>
      <c r="I300">
        <v>2003</v>
      </c>
      <c r="J300" t="s">
        <v>22</v>
      </c>
      <c r="K300" t="s">
        <v>166</v>
      </c>
    </row>
    <row r="301" spans="1:11">
      <c r="A301" t="s">
        <v>69</v>
      </c>
      <c r="B301">
        <v>10203</v>
      </c>
      <c r="C301">
        <v>20</v>
      </c>
      <c r="D301" s="21">
        <v>100</v>
      </c>
      <c r="E301" s="22">
        <v>37957</v>
      </c>
      <c r="F301" t="s">
        <v>13</v>
      </c>
      <c r="G301" t="s">
        <v>72</v>
      </c>
      <c r="H301">
        <v>4</v>
      </c>
      <c r="I301">
        <v>2003</v>
      </c>
      <c r="J301" t="s">
        <v>15</v>
      </c>
      <c r="K301" t="s">
        <v>71</v>
      </c>
    </row>
    <row r="302" spans="1:11">
      <c r="A302" t="s">
        <v>69</v>
      </c>
      <c r="B302">
        <v>10212</v>
      </c>
      <c r="C302">
        <v>39</v>
      </c>
      <c r="D302" s="21">
        <v>100</v>
      </c>
      <c r="E302" s="22">
        <v>38002</v>
      </c>
      <c r="F302" t="s">
        <v>13</v>
      </c>
      <c r="G302" t="s">
        <v>72</v>
      </c>
      <c r="H302">
        <v>1</v>
      </c>
      <c r="I302">
        <v>2004</v>
      </c>
      <c r="J302" t="s">
        <v>22</v>
      </c>
      <c r="K302" t="s">
        <v>71</v>
      </c>
    </row>
    <row r="303" spans="1:11">
      <c r="A303" t="s">
        <v>167</v>
      </c>
      <c r="B303">
        <v>10225</v>
      </c>
      <c r="C303">
        <v>25</v>
      </c>
      <c r="D303" s="21">
        <v>99.82</v>
      </c>
      <c r="E303" s="22">
        <v>38039</v>
      </c>
      <c r="F303" t="s">
        <v>13</v>
      </c>
      <c r="G303" t="s">
        <v>72</v>
      </c>
      <c r="H303">
        <v>1</v>
      </c>
      <c r="I303">
        <v>2004</v>
      </c>
      <c r="J303" t="s">
        <v>15</v>
      </c>
      <c r="K303" t="s">
        <v>168</v>
      </c>
    </row>
    <row r="304" spans="1:11">
      <c r="A304" t="s">
        <v>122</v>
      </c>
      <c r="B304">
        <v>10238</v>
      </c>
      <c r="C304">
        <v>29</v>
      </c>
      <c r="D304" s="21">
        <v>100</v>
      </c>
      <c r="E304" s="22">
        <v>38086</v>
      </c>
      <c r="F304" t="s">
        <v>13</v>
      </c>
      <c r="G304" t="s">
        <v>72</v>
      </c>
      <c r="H304">
        <v>2</v>
      </c>
      <c r="I304">
        <v>2004</v>
      </c>
      <c r="J304" t="s">
        <v>22</v>
      </c>
      <c r="K304" t="s">
        <v>123</v>
      </c>
    </row>
    <row r="305" spans="1:11">
      <c r="A305" t="s">
        <v>67</v>
      </c>
      <c r="B305">
        <v>10253</v>
      </c>
      <c r="C305">
        <v>22</v>
      </c>
      <c r="D305" s="21">
        <v>100</v>
      </c>
      <c r="E305" s="22">
        <v>38139</v>
      </c>
      <c r="F305" t="s">
        <v>128</v>
      </c>
      <c r="G305" t="s">
        <v>72</v>
      </c>
      <c r="H305">
        <v>2</v>
      </c>
      <c r="I305">
        <v>2004</v>
      </c>
      <c r="J305" t="s">
        <v>15</v>
      </c>
      <c r="K305" t="s">
        <v>68</v>
      </c>
    </row>
    <row r="306" spans="1:11">
      <c r="A306" t="s">
        <v>169</v>
      </c>
      <c r="B306">
        <v>10266</v>
      </c>
      <c r="C306">
        <v>22</v>
      </c>
      <c r="D306" s="21">
        <v>100</v>
      </c>
      <c r="E306" s="22">
        <v>38174</v>
      </c>
      <c r="F306" t="s">
        <v>13</v>
      </c>
      <c r="G306" t="s">
        <v>72</v>
      </c>
      <c r="H306">
        <v>3</v>
      </c>
      <c r="I306">
        <v>2004</v>
      </c>
      <c r="J306" t="s">
        <v>15</v>
      </c>
      <c r="K306" t="s">
        <v>170</v>
      </c>
    </row>
    <row r="307" spans="1:11">
      <c r="A307" t="s">
        <v>171</v>
      </c>
      <c r="B307">
        <v>10276</v>
      </c>
      <c r="C307">
        <v>47</v>
      </c>
      <c r="D307" s="21">
        <v>100</v>
      </c>
      <c r="E307" s="22">
        <v>38201</v>
      </c>
      <c r="F307" t="s">
        <v>13</v>
      </c>
      <c r="G307" t="s">
        <v>72</v>
      </c>
      <c r="H307">
        <v>3</v>
      </c>
      <c r="I307">
        <v>2004</v>
      </c>
      <c r="J307" t="s">
        <v>22</v>
      </c>
      <c r="K307" t="s">
        <v>172</v>
      </c>
    </row>
    <row r="308" spans="1:11">
      <c r="A308" t="s">
        <v>167</v>
      </c>
      <c r="B308">
        <v>10287</v>
      </c>
      <c r="C308">
        <v>45</v>
      </c>
      <c r="D308" s="21">
        <v>100</v>
      </c>
      <c r="E308" s="22">
        <v>38229</v>
      </c>
      <c r="F308" t="s">
        <v>13</v>
      </c>
      <c r="G308" t="s">
        <v>72</v>
      </c>
      <c r="H308">
        <v>3</v>
      </c>
      <c r="I308">
        <v>2004</v>
      </c>
      <c r="J308" t="s">
        <v>22</v>
      </c>
      <c r="K308" t="s">
        <v>168</v>
      </c>
    </row>
    <row r="309" spans="1:11">
      <c r="A309" t="s">
        <v>173</v>
      </c>
      <c r="B309">
        <v>10300</v>
      </c>
      <c r="C309">
        <v>29</v>
      </c>
      <c r="D309" s="21">
        <v>100</v>
      </c>
      <c r="E309" s="22">
        <v>37898</v>
      </c>
      <c r="F309" t="s">
        <v>13</v>
      </c>
      <c r="G309" t="s">
        <v>72</v>
      </c>
      <c r="H309">
        <v>4</v>
      </c>
      <c r="I309">
        <v>2003</v>
      </c>
      <c r="J309" t="s">
        <v>22</v>
      </c>
      <c r="K309" t="s">
        <v>174</v>
      </c>
    </row>
    <row r="310" spans="1:11">
      <c r="A310" t="s">
        <v>165</v>
      </c>
      <c r="B310">
        <v>10310</v>
      </c>
      <c r="C310">
        <v>24</v>
      </c>
      <c r="D310" s="21">
        <v>100</v>
      </c>
      <c r="E310" s="22">
        <v>38276</v>
      </c>
      <c r="F310" t="s">
        <v>13</v>
      </c>
      <c r="G310" t="s">
        <v>72</v>
      </c>
      <c r="H310">
        <v>4</v>
      </c>
      <c r="I310">
        <v>2004</v>
      </c>
      <c r="J310" t="s">
        <v>22</v>
      </c>
      <c r="K310" t="s">
        <v>166</v>
      </c>
    </row>
    <row r="311" spans="1:11">
      <c r="A311" t="s">
        <v>73</v>
      </c>
      <c r="B311">
        <v>10320</v>
      </c>
      <c r="C311">
        <v>35</v>
      </c>
      <c r="D311" s="21">
        <v>100</v>
      </c>
      <c r="E311" s="22">
        <v>38294</v>
      </c>
      <c r="F311" t="s">
        <v>13</v>
      </c>
      <c r="G311" t="s">
        <v>72</v>
      </c>
      <c r="H311">
        <v>4</v>
      </c>
      <c r="I311">
        <v>2004</v>
      </c>
      <c r="J311" t="s">
        <v>22</v>
      </c>
      <c r="K311" t="s">
        <v>74</v>
      </c>
    </row>
    <row r="312" spans="1:11">
      <c r="A312" t="s">
        <v>12</v>
      </c>
      <c r="B312">
        <v>10329</v>
      </c>
      <c r="C312">
        <v>46</v>
      </c>
      <c r="D312" s="21">
        <v>83.63</v>
      </c>
      <c r="E312" s="22">
        <v>38306</v>
      </c>
      <c r="F312" t="s">
        <v>13</v>
      </c>
      <c r="G312" t="s">
        <v>72</v>
      </c>
      <c r="H312">
        <v>4</v>
      </c>
      <c r="I312">
        <v>2004</v>
      </c>
      <c r="J312" t="s">
        <v>22</v>
      </c>
      <c r="K312" t="s">
        <v>16</v>
      </c>
    </row>
    <row r="313" spans="1:11">
      <c r="A313" t="s">
        <v>60</v>
      </c>
      <c r="B313">
        <v>10341</v>
      </c>
      <c r="C313">
        <v>44</v>
      </c>
      <c r="D313" s="21">
        <v>95.93</v>
      </c>
      <c r="E313" s="22">
        <v>38315</v>
      </c>
      <c r="F313" t="s">
        <v>13</v>
      </c>
      <c r="G313" t="s">
        <v>72</v>
      </c>
      <c r="H313">
        <v>4</v>
      </c>
      <c r="I313">
        <v>2004</v>
      </c>
      <c r="J313" t="s">
        <v>22</v>
      </c>
      <c r="K313" t="s">
        <v>62</v>
      </c>
    </row>
    <row r="314" spans="1:11">
      <c r="A314" t="s">
        <v>175</v>
      </c>
      <c r="B314">
        <v>10363</v>
      </c>
      <c r="C314">
        <v>34</v>
      </c>
      <c r="D314" s="21">
        <v>96.73</v>
      </c>
      <c r="E314" s="22">
        <v>38358</v>
      </c>
      <c r="F314" t="s">
        <v>13</v>
      </c>
      <c r="G314" t="s">
        <v>72</v>
      </c>
      <c r="H314">
        <v>1</v>
      </c>
      <c r="I314">
        <v>2005</v>
      </c>
      <c r="J314" t="s">
        <v>22</v>
      </c>
      <c r="K314" t="s">
        <v>176</v>
      </c>
    </row>
    <row r="315" spans="1:11">
      <c r="A315" t="s">
        <v>190</v>
      </c>
      <c r="B315">
        <v>10376</v>
      </c>
      <c r="C315">
        <v>35</v>
      </c>
      <c r="D315" s="21">
        <v>100</v>
      </c>
      <c r="E315" s="22">
        <v>38391</v>
      </c>
      <c r="F315" t="s">
        <v>13</v>
      </c>
      <c r="G315" t="s">
        <v>72</v>
      </c>
      <c r="H315">
        <v>1</v>
      </c>
      <c r="I315">
        <v>2005</v>
      </c>
      <c r="J315" t="s">
        <v>22</v>
      </c>
      <c r="K315" t="s">
        <v>191</v>
      </c>
    </row>
    <row r="316" spans="1:11">
      <c r="A316" t="s">
        <v>99</v>
      </c>
      <c r="B316">
        <v>10389</v>
      </c>
      <c r="C316">
        <v>25</v>
      </c>
      <c r="D316" s="21">
        <v>72.38</v>
      </c>
      <c r="E316" s="22">
        <v>38414</v>
      </c>
      <c r="F316" t="s">
        <v>13</v>
      </c>
      <c r="G316" t="s">
        <v>72</v>
      </c>
      <c r="H316">
        <v>1</v>
      </c>
      <c r="I316">
        <v>2005</v>
      </c>
      <c r="J316" t="s">
        <v>15</v>
      </c>
      <c r="K316" t="s">
        <v>100</v>
      </c>
    </row>
    <row r="317" spans="1:11">
      <c r="A317" t="s">
        <v>60</v>
      </c>
      <c r="B317">
        <v>10419</v>
      </c>
      <c r="C317">
        <v>10</v>
      </c>
      <c r="D317" s="21">
        <v>100</v>
      </c>
      <c r="E317" s="22">
        <v>38489</v>
      </c>
      <c r="F317" t="s">
        <v>13</v>
      </c>
      <c r="G317" t="s">
        <v>72</v>
      </c>
      <c r="H317">
        <v>2</v>
      </c>
      <c r="I317">
        <v>2005</v>
      </c>
      <c r="J317" t="s">
        <v>15</v>
      </c>
      <c r="K317" t="s">
        <v>62</v>
      </c>
    </row>
    <row r="318" spans="1:11">
      <c r="A318" t="s">
        <v>122</v>
      </c>
      <c r="B318">
        <v>10105</v>
      </c>
      <c r="C318">
        <v>29</v>
      </c>
      <c r="D318" s="21">
        <v>100</v>
      </c>
      <c r="E318" s="22">
        <v>37663</v>
      </c>
      <c r="F318" t="s">
        <v>13</v>
      </c>
      <c r="G318" t="s">
        <v>72</v>
      </c>
      <c r="H318">
        <v>1</v>
      </c>
      <c r="I318">
        <v>2003</v>
      </c>
      <c r="J318" t="s">
        <v>22</v>
      </c>
      <c r="K318" t="s">
        <v>123</v>
      </c>
    </row>
    <row r="319" spans="1:11">
      <c r="A319" t="s">
        <v>77</v>
      </c>
      <c r="B319">
        <v>10117</v>
      </c>
      <c r="C319">
        <v>39</v>
      </c>
      <c r="D319" s="21">
        <v>100</v>
      </c>
      <c r="E319" s="22">
        <v>37727</v>
      </c>
      <c r="F319" t="s">
        <v>13</v>
      </c>
      <c r="G319" t="s">
        <v>72</v>
      </c>
      <c r="H319">
        <v>2</v>
      </c>
      <c r="I319">
        <v>2003</v>
      </c>
      <c r="J319" t="s">
        <v>22</v>
      </c>
      <c r="K319" t="s">
        <v>78</v>
      </c>
    </row>
    <row r="320" spans="1:11">
      <c r="A320" t="s">
        <v>177</v>
      </c>
      <c r="B320">
        <v>10127</v>
      </c>
      <c r="C320">
        <v>42</v>
      </c>
      <c r="D320" s="21">
        <v>100</v>
      </c>
      <c r="E320" s="22">
        <v>37775</v>
      </c>
      <c r="F320" t="s">
        <v>13</v>
      </c>
      <c r="G320" t="s">
        <v>72</v>
      </c>
      <c r="H320">
        <v>2</v>
      </c>
      <c r="I320">
        <v>2003</v>
      </c>
      <c r="J320" t="s">
        <v>61</v>
      </c>
      <c r="K320" t="s">
        <v>178</v>
      </c>
    </row>
    <row r="321" spans="1:11">
      <c r="A321" t="s">
        <v>103</v>
      </c>
      <c r="B321">
        <v>10142</v>
      </c>
      <c r="C321">
        <v>46</v>
      </c>
      <c r="D321" s="21">
        <v>100</v>
      </c>
      <c r="E321" s="22">
        <v>37841</v>
      </c>
      <c r="F321" t="s">
        <v>13</v>
      </c>
      <c r="G321" t="s">
        <v>72</v>
      </c>
      <c r="H321">
        <v>3</v>
      </c>
      <c r="I321">
        <v>2003</v>
      </c>
      <c r="J321" t="s">
        <v>61</v>
      </c>
      <c r="K321" t="s">
        <v>104</v>
      </c>
    </row>
    <row r="322" spans="1:11">
      <c r="A322" t="s">
        <v>69</v>
      </c>
      <c r="B322">
        <v>10153</v>
      </c>
      <c r="C322">
        <v>49</v>
      </c>
      <c r="D322" s="21">
        <v>100</v>
      </c>
      <c r="E322" s="22">
        <v>37892</v>
      </c>
      <c r="F322" t="s">
        <v>13</v>
      </c>
      <c r="G322" t="s">
        <v>72</v>
      </c>
      <c r="H322">
        <v>3</v>
      </c>
      <c r="I322">
        <v>2003</v>
      </c>
      <c r="J322" t="s">
        <v>61</v>
      </c>
      <c r="K322" t="s">
        <v>71</v>
      </c>
    </row>
    <row r="323" spans="1:11">
      <c r="A323" t="s">
        <v>77</v>
      </c>
      <c r="B323">
        <v>10165</v>
      </c>
      <c r="C323">
        <v>27</v>
      </c>
      <c r="D323" s="21">
        <v>100</v>
      </c>
      <c r="E323" s="22">
        <v>37916</v>
      </c>
      <c r="F323" t="s">
        <v>13</v>
      </c>
      <c r="G323" t="s">
        <v>72</v>
      </c>
      <c r="H323">
        <v>4</v>
      </c>
      <c r="I323">
        <v>2003</v>
      </c>
      <c r="J323" t="s">
        <v>22</v>
      </c>
      <c r="K323" t="s">
        <v>78</v>
      </c>
    </row>
    <row r="324" spans="1:11">
      <c r="A324" t="s">
        <v>169</v>
      </c>
      <c r="B324">
        <v>10176</v>
      </c>
      <c r="C324">
        <v>50</v>
      </c>
      <c r="D324" s="21">
        <v>100</v>
      </c>
      <c r="E324" s="22">
        <v>37931</v>
      </c>
      <c r="F324" t="s">
        <v>13</v>
      </c>
      <c r="G324" t="s">
        <v>72</v>
      </c>
      <c r="H324">
        <v>4</v>
      </c>
      <c r="I324">
        <v>2003</v>
      </c>
      <c r="J324" t="s">
        <v>61</v>
      </c>
      <c r="K324" t="s">
        <v>170</v>
      </c>
    </row>
    <row r="325" spans="1:11">
      <c r="A325" t="s">
        <v>126</v>
      </c>
      <c r="B325">
        <v>10185</v>
      </c>
      <c r="C325">
        <v>43</v>
      </c>
      <c r="D325" s="21">
        <v>100</v>
      </c>
      <c r="E325" s="22">
        <v>37939</v>
      </c>
      <c r="F325" t="s">
        <v>13</v>
      </c>
      <c r="G325" t="s">
        <v>72</v>
      </c>
      <c r="H325">
        <v>4</v>
      </c>
      <c r="I325">
        <v>2003</v>
      </c>
      <c r="J325" t="s">
        <v>61</v>
      </c>
      <c r="K325" t="s">
        <v>127</v>
      </c>
    </row>
    <row r="326" spans="1:11">
      <c r="A326" t="s">
        <v>93</v>
      </c>
      <c r="B326">
        <v>10196</v>
      </c>
      <c r="C326">
        <v>38</v>
      </c>
      <c r="D326" s="21">
        <v>100</v>
      </c>
      <c r="E326" s="22">
        <v>37951</v>
      </c>
      <c r="F326" t="s">
        <v>13</v>
      </c>
      <c r="G326" t="s">
        <v>72</v>
      </c>
      <c r="H326">
        <v>4</v>
      </c>
      <c r="I326">
        <v>2003</v>
      </c>
      <c r="J326" t="s">
        <v>61</v>
      </c>
      <c r="K326" t="s">
        <v>94</v>
      </c>
    </row>
    <row r="327" spans="1:11">
      <c r="A327" t="s">
        <v>85</v>
      </c>
      <c r="B327">
        <v>10208</v>
      </c>
      <c r="C327">
        <v>20</v>
      </c>
      <c r="D327" s="21">
        <v>100</v>
      </c>
      <c r="E327" s="22">
        <v>37988</v>
      </c>
      <c r="F327" t="s">
        <v>13</v>
      </c>
      <c r="G327" t="s">
        <v>72</v>
      </c>
      <c r="H327">
        <v>1</v>
      </c>
      <c r="I327">
        <v>2004</v>
      </c>
      <c r="J327" t="s">
        <v>22</v>
      </c>
      <c r="K327" t="s">
        <v>86</v>
      </c>
    </row>
    <row r="328" spans="1:11">
      <c r="A328" t="s">
        <v>179</v>
      </c>
      <c r="B328">
        <v>10220</v>
      </c>
      <c r="C328">
        <v>27</v>
      </c>
      <c r="D328" s="21">
        <v>100</v>
      </c>
      <c r="E328" s="22">
        <v>38029</v>
      </c>
      <c r="F328" t="s">
        <v>13</v>
      </c>
      <c r="G328" t="s">
        <v>72</v>
      </c>
      <c r="H328">
        <v>1</v>
      </c>
      <c r="I328">
        <v>2004</v>
      </c>
      <c r="J328" t="s">
        <v>22</v>
      </c>
      <c r="K328" t="s">
        <v>180</v>
      </c>
    </row>
    <row r="329" spans="1:11">
      <c r="A329" t="s">
        <v>181</v>
      </c>
      <c r="B329">
        <v>10231</v>
      </c>
      <c r="C329">
        <v>49</v>
      </c>
      <c r="D329" s="21">
        <v>100</v>
      </c>
      <c r="E329" s="22">
        <v>38065</v>
      </c>
      <c r="F329" t="s">
        <v>13</v>
      </c>
      <c r="G329" t="s">
        <v>72</v>
      </c>
      <c r="H329">
        <v>1</v>
      </c>
      <c r="I329">
        <v>2004</v>
      </c>
      <c r="J329" t="s">
        <v>22</v>
      </c>
      <c r="K329" t="s">
        <v>182</v>
      </c>
    </row>
    <row r="330" spans="1:11">
      <c r="A330" t="s">
        <v>175</v>
      </c>
      <c r="B330">
        <v>10247</v>
      </c>
      <c r="C330">
        <v>27</v>
      </c>
      <c r="D330" s="21">
        <v>100</v>
      </c>
      <c r="E330" s="22">
        <v>38112</v>
      </c>
      <c r="F330" t="s">
        <v>13</v>
      </c>
      <c r="G330" t="s">
        <v>72</v>
      </c>
      <c r="H330">
        <v>2</v>
      </c>
      <c r="I330">
        <v>2004</v>
      </c>
      <c r="J330" t="s">
        <v>22</v>
      </c>
      <c r="K330" t="s">
        <v>176</v>
      </c>
    </row>
    <row r="331" spans="1:11">
      <c r="A331" t="s">
        <v>58</v>
      </c>
      <c r="B331">
        <v>10272</v>
      </c>
      <c r="C331">
        <v>39</v>
      </c>
      <c r="D331" s="21">
        <v>100</v>
      </c>
      <c r="E331" s="22">
        <v>38188</v>
      </c>
      <c r="F331" t="s">
        <v>13</v>
      </c>
      <c r="G331" t="s">
        <v>72</v>
      </c>
      <c r="H331">
        <v>3</v>
      </c>
      <c r="I331">
        <v>2004</v>
      </c>
      <c r="J331" t="s">
        <v>61</v>
      </c>
      <c r="K331" t="s">
        <v>59</v>
      </c>
    </row>
    <row r="332" spans="1:11">
      <c r="A332" t="s">
        <v>103</v>
      </c>
      <c r="B332">
        <v>10282</v>
      </c>
      <c r="C332">
        <v>24</v>
      </c>
      <c r="D332" s="21">
        <v>100</v>
      </c>
      <c r="E332" s="22">
        <v>38219</v>
      </c>
      <c r="F332" t="s">
        <v>13</v>
      </c>
      <c r="G332" t="s">
        <v>72</v>
      </c>
      <c r="H332">
        <v>3</v>
      </c>
      <c r="I332">
        <v>2004</v>
      </c>
      <c r="J332" t="s">
        <v>22</v>
      </c>
      <c r="K332" t="s">
        <v>104</v>
      </c>
    </row>
    <row r="333" spans="1:11">
      <c r="A333" t="s">
        <v>97</v>
      </c>
      <c r="B333">
        <v>10293</v>
      </c>
      <c r="C333">
        <v>45</v>
      </c>
      <c r="D333" s="21">
        <v>100</v>
      </c>
      <c r="E333" s="22">
        <v>38239</v>
      </c>
      <c r="F333" t="s">
        <v>13</v>
      </c>
      <c r="G333" t="s">
        <v>72</v>
      </c>
      <c r="H333">
        <v>3</v>
      </c>
      <c r="I333">
        <v>2004</v>
      </c>
      <c r="J333" t="s">
        <v>61</v>
      </c>
      <c r="K333" t="s">
        <v>98</v>
      </c>
    </row>
    <row r="334" spans="1:11">
      <c r="A334" t="s">
        <v>183</v>
      </c>
      <c r="B334">
        <v>10306</v>
      </c>
      <c r="C334">
        <v>20</v>
      </c>
      <c r="D334" s="21">
        <v>100</v>
      </c>
      <c r="E334" s="22">
        <v>38274</v>
      </c>
      <c r="F334" t="s">
        <v>13</v>
      </c>
      <c r="G334" t="s">
        <v>72</v>
      </c>
      <c r="H334">
        <v>4</v>
      </c>
      <c r="I334">
        <v>2004</v>
      </c>
      <c r="J334" t="s">
        <v>22</v>
      </c>
      <c r="K334" t="s">
        <v>184</v>
      </c>
    </row>
    <row r="335" spans="1:11">
      <c r="A335" t="s">
        <v>185</v>
      </c>
      <c r="B335">
        <v>10314</v>
      </c>
      <c r="C335">
        <v>36</v>
      </c>
      <c r="D335" s="21">
        <v>100</v>
      </c>
      <c r="E335" s="22">
        <v>38282</v>
      </c>
      <c r="F335" t="s">
        <v>13</v>
      </c>
      <c r="G335" t="s">
        <v>72</v>
      </c>
      <c r="H335">
        <v>4</v>
      </c>
      <c r="I335">
        <v>2004</v>
      </c>
      <c r="J335" t="s">
        <v>22</v>
      </c>
      <c r="K335" t="s">
        <v>186</v>
      </c>
    </row>
    <row r="336" spans="1:11">
      <c r="A336" t="s">
        <v>56</v>
      </c>
      <c r="B336">
        <v>10325</v>
      </c>
      <c r="C336">
        <v>24</v>
      </c>
      <c r="D336" s="21">
        <v>100</v>
      </c>
      <c r="E336" s="22">
        <v>38296</v>
      </c>
      <c r="F336" t="s">
        <v>13</v>
      </c>
      <c r="G336" t="s">
        <v>72</v>
      </c>
      <c r="H336">
        <v>4</v>
      </c>
      <c r="I336">
        <v>2004</v>
      </c>
      <c r="J336" t="s">
        <v>15</v>
      </c>
      <c r="K336" t="s">
        <v>57</v>
      </c>
    </row>
    <row r="337" spans="1:11">
      <c r="A337" t="s">
        <v>152</v>
      </c>
      <c r="B337">
        <v>10336</v>
      </c>
      <c r="C337">
        <v>49</v>
      </c>
      <c r="D337" s="21">
        <v>63.38</v>
      </c>
      <c r="E337" s="22">
        <v>38311</v>
      </c>
      <c r="F337" t="s">
        <v>13</v>
      </c>
      <c r="G337" t="s">
        <v>72</v>
      </c>
      <c r="H337">
        <v>4</v>
      </c>
      <c r="I337">
        <v>2004</v>
      </c>
      <c r="J337" t="s">
        <v>22</v>
      </c>
      <c r="K337" t="s">
        <v>153</v>
      </c>
    </row>
    <row r="338" spans="1:11">
      <c r="A338" t="s">
        <v>177</v>
      </c>
      <c r="B338">
        <v>10349</v>
      </c>
      <c r="C338">
        <v>26</v>
      </c>
      <c r="D338" s="21">
        <v>100</v>
      </c>
      <c r="E338" s="22">
        <v>38322</v>
      </c>
      <c r="F338" t="s">
        <v>13</v>
      </c>
      <c r="G338" t="s">
        <v>72</v>
      </c>
      <c r="H338">
        <v>4</v>
      </c>
      <c r="I338">
        <v>2004</v>
      </c>
      <c r="J338" t="s">
        <v>22</v>
      </c>
      <c r="K338" t="s">
        <v>178</v>
      </c>
    </row>
    <row r="339" spans="1:11">
      <c r="A339" t="s">
        <v>18</v>
      </c>
      <c r="B339">
        <v>10359</v>
      </c>
      <c r="C339">
        <v>49</v>
      </c>
      <c r="D339" s="21">
        <v>62.09</v>
      </c>
      <c r="E339" s="22">
        <v>38336</v>
      </c>
      <c r="F339" t="s">
        <v>13</v>
      </c>
      <c r="G339" t="s">
        <v>72</v>
      </c>
      <c r="H339">
        <v>4</v>
      </c>
      <c r="I339">
        <v>2004</v>
      </c>
      <c r="J339" t="s">
        <v>22</v>
      </c>
      <c r="K339" t="s">
        <v>19</v>
      </c>
    </row>
    <row r="340" spans="1:11">
      <c r="A340" t="s">
        <v>95</v>
      </c>
      <c r="B340">
        <v>10372</v>
      </c>
      <c r="C340">
        <v>34</v>
      </c>
      <c r="D340" s="21">
        <v>100</v>
      </c>
      <c r="E340" s="22">
        <v>38378</v>
      </c>
      <c r="F340" t="s">
        <v>13</v>
      </c>
      <c r="G340" t="s">
        <v>72</v>
      </c>
      <c r="H340">
        <v>1</v>
      </c>
      <c r="I340">
        <v>2005</v>
      </c>
      <c r="J340" t="s">
        <v>22</v>
      </c>
      <c r="K340" t="s">
        <v>96</v>
      </c>
    </row>
    <row r="341" spans="1:11">
      <c r="A341" t="s">
        <v>103</v>
      </c>
      <c r="B341">
        <v>10382</v>
      </c>
      <c r="C341">
        <v>34</v>
      </c>
      <c r="D341" s="21">
        <v>95.35</v>
      </c>
      <c r="E341" s="22">
        <v>38400</v>
      </c>
      <c r="F341" t="s">
        <v>13</v>
      </c>
      <c r="G341" t="s">
        <v>72</v>
      </c>
      <c r="H341">
        <v>1</v>
      </c>
      <c r="I341">
        <v>2005</v>
      </c>
      <c r="J341" t="s">
        <v>22</v>
      </c>
      <c r="K341" t="s">
        <v>104</v>
      </c>
    </row>
    <row r="342" spans="1:11">
      <c r="A342" t="s">
        <v>103</v>
      </c>
      <c r="B342">
        <v>10396</v>
      </c>
      <c r="C342">
        <v>33</v>
      </c>
      <c r="D342" s="21">
        <v>100</v>
      </c>
      <c r="E342" s="22">
        <v>38434</v>
      </c>
      <c r="F342" t="s">
        <v>13</v>
      </c>
      <c r="G342" t="s">
        <v>72</v>
      </c>
      <c r="H342">
        <v>1</v>
      </c>
      <c r="I342">
        <v>2005</v>
      </c>
      <c r="J342" t="s">
        <v>22</v>
      </c>
      <c r="K342" t="s">
        <v>104</v>
      </c>
    </row>
    <row r="343" spans="1:11">
      <c r="A343" t="s">
        <v>48</v>
      </c>
      <c r="B343">
        <v>10413</v>
      </c>
      <c r="C343">
        <v>22</v>
      </c>
      <c r="D343" s="21">
        <v>100</v>
      </c>
      <c r="E343" s="22">
        <v>38477</v>
      </c>
      <c r="F343" t="s">
        <v>13</v>
      </c>
      <c r="G343" t="s">
        <v>72</v>
      </c>
      <c r="H343">
        <v>2</v>
      </c>
      <c r="I343">
        <v>2005</v>
      </c>
      <c r="J343" t="s">
        <v>22</v>
      </c>
      <c r="K343" t="s">
        <v>49</v>
      </c>
    </row>
    <row r="344" spans="1:11">
      <c r="A344" t="s">
        <v>161</v>
      </c>
      <c r="B344">
        <v>10108</v>
      </c>
      <c r="C344">
        <v>39</v>
      </c>
      <c r="D344" s="21">
        <v>89.38</v>
      </c>
      <c r="E344" s="22">
        <v>37683</v>
      </c>
      <c r="F344" t="s">
        <v>13</v>
      </c>
      <c r="G344" t="s">
        <v>72</v>
      </c>
      <c r="H344">
        <v>1</v>
      </c>
      <c r="I344">
        <v>2003</v>
      </c>
      <c r="J344" t="s">
        <v>22</v>
      </c>
      <c r="K344" t="s">
        <v>162</v>
      </c>
    </row>
    <row r="345" spans="1:11">
      <c r="A345" t="s">
        <v>163</v>
      </c>
      <c r="B345">
        <v>10122</v>
      </c>
      <c r="C345">
        <v>32</v>
      </c>
      <c r="D345" s="21">
        <v>63.84</v>
      </c>
      <c r="E345" s="22">
        <v>37749</v>
      </c>
      <c r="F345" t="s">
        <v>13</v>
      </c>
      <c r="G345" t="s">
        <v>72</v>
      </c>
      <c r="H345">
        <v>2</v>
      </c>
      <c r="I345">
        <v>2003</v>
      </c>
      <c r="J345" t="s">
        <v>15</v>
      </c>
      <c r="K345" t="s">
        <v>164</v>
      </c>
    </row>
    <row r="346" spans="1:11">
      <c r="A346" t="s">
        <v>103</v>
      </c>
      <c r="B346">
        <v>10135</v>
      </c>
      <c r="C346">
        <v>24</v>
      </c>
      <c r="D346" s="21">
        <v>75.01</v>
      </c>
      <c r="E346" s="22">
        <v>37804</v>
      </c>
      <c r="F346" t="s">
        <v>13</v>
      </c>
      <c r="G346" t="s">
        <v>72</v>
      </c>
      <c r="H346">
        <v>3</v>
      </c>
      <c r="I346">
        <v>2003</v>
      </c>
      <c r="J346" t="s">
        <v>15</v>
      </c>
      <c r="K346" t="s">
        <v>104</v>
      </c>
    </row>
    <row r="347" spans="1:11">
      <c r="A347" t="s">
        <v>107</v>
      </c>
      <c r="B347">
        <v>10147</v>
      </c>
      <c r="C347">
        <v>21</v>
      </c>
      <c r="D347" s="21">
        <v>63.84</v>
      </c>
      <c r="E347" s="22">
        <v>37869</v>
      </c>
      <c r="F347" t="s">
        <v>13</v>
      </c>
      <c r="G347" t="s">
        <v>72</v>
      </c>
      <c r="H347">
        <v>3</v>
      </c>
      <c r="I347">
        <v>2003</v>
      </c>
      <c r="J347" t="s">
        <v>15</v>
      </c>
      <c r="K347" t="s">
        <v>108</v>
      </c>
    </row>
    <row r="348" spans="1:11">
      <c r="A348" t="s">
        <v>28</v>
      </c>
      <c r="B348">
        <v>10159</v>
      </c>
      <c r="C348">
        <v>24</v>
      </c>
      <c r="D348" s="21">
        <v>73.42</v>
      </c>
      <c r="E348" s="22">
        <v>37904</v>
      </c>
      <c r="F348" t="s">
        <v>13</v>
      </c>
      <c r="G348" t="s">
        <v>72</v>
      </c>
      <c r="H348">
        <v>4</v>
      </c>
      <c r="I348">
        <v>2003</v>
      </c>
      <c r="J348" t="s">
        <v>15</v>
      </c>
      <c r="K348" t="s">
        <v>29</v>
      </c>
    </row>
    <row r="349" spans="1:11">
      <c r="A349" t="s">
        <v>109</v>
      </c>
      <c r="B349">
        <v>10169</v>
      </c>
      <c r="C349">
        <v>36</v>
      </c>
      <c r="D349" s="21">
        <v>63.84</v>
      </c>
      <c r="E349" s="22">
        <v>37929</v>
      </c>
      <c r="F349" t="s">
        <v>13</v>
      </c>
      <c r="G349" t="s">
        <v>72</v>
      </c>
      <c r="H349">
        <v>4</v>
      </c>
      <c r="I349">
        <v>2003</v>
      </c>
      <c r="J349" t="s">
        <v>15</v>
      </c>
      <c r="K349" t="s">
        <v>110</v>
      </c>
    </row>
    <row r="350" spans="1:11">
      <c r="A350" t="s">
        <v>36</v>
      </c>
      <c r="B350">
        <v>10181</v>
      </c>
      <c r="C350">
        <v>20</v>
      </c>
      <c r="D350" s="21">
        <v>81.4</v>
      </c>
      <c r="E350" s="22">
        <v>37937</v>
      </c>
      <c r="F350" t="s">
        <v>13</v>
      </c>
      <c r="G350" t="s">
        <v>72</v>
      </c>
      <c r="H350">
        <v>4</v>
      </c>
      <c r="I350">
        <v>2003</v>
      </c>
      <c r="J350" t="s">
        <v>15</v>
      </c>
      <c r="K350" t="s">
        <v>37</v>
      </c>
    </row>
    <row r="351" spans="1:11">
      <c r="A351" t="s">
        <v>165</v>
      </c>
      <c r="B351">
        <v>10191</v>
      </c>
      <c r="C351">
        <v>30</v>
      </c>
      <c r="D351" s="21">
        <v>64.64</v>
      </c>
      <c r="E351" s="22">
        <v>37945</v>
      </c>
      <c r="F351" t="s">
        <v>13</v>
      </c>
      <c r="G351" t="s">
        <v>72</v>
      </c>
      <c r="H351">
        <v>4</v>
      </c>
      <c r="I351">
        <v>2003</v>
      </c>
      <c r="J351" t="s">
        <v>15</v>
      </c>
      <c r="K351" t="s">
        <v>166</v>
      </c>
    </row>
    <row r="352" spans="1:11">
      <c r="A352" t="s">
        <v>69</v>
      </c>
      <c r="B352">
        <v>10203</v>
      </c>
      <c r="C352">
        <v>44</v>
      </c>
      <c r="D352" s="21">
        <v>82.99</v>
      </c>
      <c r="E352" s="22">
        <v>37957</v>
      </c>
      <c r="F352" t="s">
        <v>13</v>
      </c>
      <c r="G352" t="s">
        <v>72</v>
      </c>
      <c r="H352">
        <v>4</v>
      </c>
      <c r="I352">
        <v>2003</v>
      </c>
      <c r="J352" t="s">
        <v>22</v>
      </c>
      <c r="K352" t="s">
        <v>71</v>
      </c>
    </row>
    <row r="353" spans="1:11">
      <c r="A353" t="s">
        <v>40</v>
      </c>
      <c r="B353">
        <v>10211</v>
      </c>
      <c r="C353">
        <v>28</v>
      </c>
      <c r="D353" s="21">
        <v>92.57</v>
      </c>
      <c r="E353" s="22">
        <v>38001</v>
      </c>
      <c r="F353" t="s">
        <v>13</v>
      </c>
      <c r="G353" t="s">
        <v>72</v>
      </c>
      <c r="H353">
        <v>1</v>
      </c>
      <c r="I353">
        <v>2004</v>
      </c>
      <c r="J353" t="s">
        <v>15</v>
      </c>
      <c r="K353" t="s">
        <v>41</v>
      </c>
    </row>
    <row r="354" spans="1:11">
      <c r="A354" t="s">
        <v>167</v>
      </c>
      <c r="B354">
        <v>10225</v>
      </c>
      <c r="C354">
        <v>37</v>
      </c>
      <c r="D354" s="21">
        <v>77.41</v>
      </c>
      <c r="E354" s="22">
        <v>38039</v>
      </c>
      <c r="F354" t="s">
        <v>13</v>
      </c>
      <c r="G354" t="s">
        <v>72</v>
      </c>
      <c r="H354">
        <v>1</v>
      </c>
      <c r="I354">
        <v>2004</v>
      </c>
      <c r="J354" t="s">
        <v>15</v>
      </c>
      <c r="K354" t="s">
        <v>168</v>
      </c>
    </row>
    <row r="355" spans="1:11">
      <c r="A355" t="s">
        <v>122</v>
      </c>
      <c r="B355">
        <v>10238</v>
      </c>
      <c r="C355">
        <v>20</v>
      </c>
      <c r="D355" s="21">
        <v>74.21</v>
      </c>
      <c r="E355" s="22">
        <v>38086</v>
      </c>
      <c r="F355" t="s">
        <v>13</v>
      </c>
      <c r="G355" t="s">
        <v>72</v>
      </c>
      <c r="H355">
        <v>2</v>
      </c>
      <c r="I355">
        <v>2004</v>
      </c>
      <c r="J355" t="s">
        <v>15</v>
      </c>
      <c r="K355" t="s">
        <v>123</v>
      </c>
    </row>
    <row r="356" spans="1:11">
      <c r="A356" t="s">
        <v>67</v>
      </c>
      <c r="B356">
        <v>10253</v>
      </c>
      <c r="C356">
        <v>25</v>
      </c>
      <c r="D356" s="21">
        <v>90.17</v>
      </c>
      <c r="E356" s="22">
        <v>38139</v>
      </c>
      <c r="F356" t="s">
        <v>128</v>
      </c>
      <c r="G356" t="s">
        <v>72</v>
      </c>
      <c r="H356">
        <v>2</v>
      </c>
      <c r="I356">
        <v>2004</v>
      </c>
      <c r="J356" t="s">
        <v>15</v>
      </c>
      <c r="K356" t="s">
        <v>68</v>
      </c>
    </row>
    <row r="357" spans="1:11">
      <c r="A357" t="s">
        <v>169</v>
      </c>
      <c r="B357">
        <v>10266</v>
      </c>
      <c r="C357">
        <v>35</v>
      </c>
      <c r="D357" s="21">
        <v>76.61</v>
      </c>
      <c r="E357" s="22">
        <v>38174</v>
      </c>
      <c r="F357" t="s">
        <v>13</v>
      </c>
      <c r="G357" t="s">
        <v>72</v>
      </c>
      <c r="H357">
        <v>3</v>
      </c>
      <c r="I357">
        <v>2004</v>
      </c>
      <c r="J357" t="s">
        <v>15</v>
      </c>
      <c r="K357" t="s">
        <v>170</v>
      </c>
    </row>
    <row r="358" spans="1:11">
      <c r="A358" t="s">
        <v>171</v>
      </c>
      <c r="B358">
        <v>10276</v>
      </c>
      <c r="C358">
        <v>38</v>
      </c>
      <c r="D358" s="21">
        <v>83.79</v>
      </c>
      <c r="E358" s="22">
        <v>38201</v>
      </c>
      <c r="F358" t="s">
        <v>13</v>
      </c>
      <c r="G358" t="s">
        <v>72</v>
      </c>
      <c r="H358">
        <v>3</v>
      </c>
      <c r="I358">
        <v>2004</v>
      </c>
      <c r="J358" t="s">
        <v>22</v>
      </c>
      <c r="K358" t="s">
        <v>172</v>
      </c>
    </row>
    <row r="359" spans="1:11">
      <c r="A359" t="s">
        <v>167</v>
      </c>
      <c r="B359">
        <v>10287</v>
      </c>
      <c r="C359">
        <v>41</v>
      </c>
      <c r="D359" s="21">
        <v>69.43</v>
      </c>
      <c r="E359" s="22">
        <v>38229</v>
      </c>
      <c r="F359" t="s">
        <v>13</v>
      </c>
      <c r="G359" t="s">
        <v>72</v>
      </c>
      <c r="H359">
        <v>3</v>
      </c>
      <c r="I359">
        <v>2004</v>
      </c>
      <c r="J359" t="s">
        <v>15</v>
      </c>
      <c r="K359" t="s">
        <v>168</v>
      </c>
    </row>
    <row r="360" spans="1:11">
      <c r="A360" t="s">
        <v>173</v>
      </c>
      <c r="B360">
        <v>10300</v>
      </c>
      <c r="C360">
        <v>22</v>
      </c>
      <c r="D360" s="21">
        <v>76.61</v>
      </c>
      <c r="E360" s="22">
        <v>37898</v>
      </c>
      <c r="F360" t="s">
        <v>13</v>
      </c>
      <c r="G360" t="s">
        <v>72</v>
      </c>
      <c r="H360">
        <v>4</v>
      </c>
      <c r="I360">
        <v>2003</v>
      </c>
      <c r="J360" t="s">
        <v>15</v>
      </c>
      <c r="K360" t="s">
        <v>174</v>
      </c>
    </row>
    <row r="361" spans="1:11">
      <c r="A361" t="s">
        <v>165</v>
      </c>
      <c r="B361">
        <v>10310</v>
      </c>
      <c r="C361">
        <v>49</v>
      </c>
      <c r="D361" s="21">
        <v>81.4</v>
      </c>
      <c r="E361" s="22">
        <v>38276</v>
      </c>
      <c r="F361" t="s">
        <v>13</v>
      </c>
      <c r="G361" t="s">
        <v>72</v>
      </c>
      <c r="H361">
        <v>4</v>
      </c>
      <c r="I361">
        <v>2004</v>
      </c>
      <c r="J361" t="s">
        <v>22</v>
      </c>
      <c r="K361" t="s">
        <v>166</v>
      </c>
    </row>
    <row r="362" spans="1:11">
      <c r="A362" t="s">
        <v>73</v>
      </c>
      <c r="B362">
        <v>10320</v>
      </c>
      <c r="C362">
        <v>38</v>
      </c>
      <c r="D362" s="21">
        <v>73.42</v>
      </c>
      <c r="E362" s="22">
        <v>38294</v>
      </c>
      <c r="F362" t="s">
        <v>13</v>
      </c>
      <c r="G362" t="s">
        <v>72</v>
      </c>
      <c r="H362">
        <v>4</v>
      </c>
      <c r="I362">
        <v>2004</v>
      </c>
      <c r="J362" t="s">
        <v>15</v>
      </c>
      <c r="K362" t="s">
        <v>74</v>
      </c>
    </row>
    <row r="363" spans="1:11">
      <c r="A363" t="s">
        <v>12</v>
      </c>
      <c r="B363">
        <v>10329</v>
      </c>
      <c r="C363">
        <v>33</v>
      </c>
      <c r="D363" s="21">
        <v>100</v>
      </c>
      <c r="E363" s="22">
        <v>38306</v>
      </c>
      <c r="F363" t="s">
        <v>13</v>
      </c>
      <c r="G363" t="s">
        <v>72</v>
      </c>
      <c r="H363">
        <v>4</v>
      </c>
      <c r="I363">
        <v>2004</v>
      </c>
      <c r="J363" t="s">
        <v>22</v>
      </c>
      <c r="K363" t="s">
        <v>16</v>
      </c>
    </row>
    <row r="364" spans="1:11">
      <c r="A364" t="s">
        <v>60</v>
      </c>
      <c r="B364">
        <v>10341</v>
      </c>
      <c r="C364">
        <v>36</v>
      </c>
      <c r="D364" s="21">
        <v>93.56</v>
      </c>
      <c r="E364" s="22">
        <v>38315</v>
      </c>
      <c r="F364" t="s">
        <v>13</v>
      </c>
      <c r="G364" t="s">
        <v>72</v>
      </c>
      <c r="H364">
        <v>4</v>
      </c>
      <c r="I364">
        <v>2004</v>
      </c>
      <c r="J364" t="s">
        <v>22</v>
      </c>
      <c r="K364" t="s">
        <v>62</v>
      </c>
    </row>
    <row r="365" spans="1:11">
      <c r="A365" t="s">
        <v>175</v>
      </c>
      <c r="B365">
        <v>10363</v>
      </c>
      <c r="C365">
        <v>34</v>
      </c>
      <c r="D365" s="21">
        <v>81.62</v>
      </c>
      <c r="E365" s="22">
        <v>38358</v>
      </c>
      <c r="F365" t="s">
        <v>13</v>
      </c>
      <c r="G365" t="s">
        <v>72</v>
      </c>
      <c r="H365">
        <v>1</v>
      </c>
      <c r="I365">
        <v>2005</v>
      </c>
      <c r="J365" t="s">
        <v>15</v>
      </c>
      <c r="K365" t="s">
        <v>176</v>
      </c>
    </row>
    <row r="366" spans="1:11">
      <c r="A366" t="s">
        <v>54</v>
      </c>
      <c r="B366">
        <v>10377</v>
      </c>
      <c r="C366">
        <v>24</v>
      </c>
      <c r="D366" s="21">
        <v>67.83</v>
      </c>
      <c r="E366" s="22">
        <v>38392</v>
      </c>
      <c r="F366" t="s">
        <v>13</v>
      </c>
      <c r="G366" t="s">
        <v>72</v>
      </c>
      <c r="H366">
        <v>1</v>
      </c>
      <c r="I366">
        <v>2005</v>
      </c>
      <c r="J366" t="s">
        <v>15</v>
      </c>
      <c r="K366" t="s">
        <v>55</v>
      </c>
    </row>
    <row r="367" spans="1:11">
      <c r="A367" t="s">
        <v>99</v>
      </c>
      <c r="B367">
        <v>10389</v>
      </c>
      <c r="C367">
        <v>36</v>
      </c>
      <c r="D367" s="21">
        <v>70.26</v>
      </c>
      <c r="E367" s="22">
        <v>38414</v>
      </c>
      <c r="F367" t="s">
        <v>13</v>
      </c>
      <c r="G367" t="s">
        <v>72</v>
      </c>
      <c r="H367">
        <v>1</v>
      </c>
      <c r="I367">
        <v>2005</v>
      </c>
      <c r="J367" t="s">
        <v>15</v>
      </c>
      <c r="K367" t="s">
        <v>100</v>
      </c>
    </row>
    <row r="368" spans="1:11">
      <c r="A368" t="s">
        <v>60</v>
      </c>
      <c r="B368">
        <v>10419</v>
      </c>
      <c r="C368">
        <v>34</v>
      </c>
      <c r="D368" s="21">
        <v>90.17</v>
      </c>
      <c r="E368" s="22">
        <v>38489</v>
      </c>
      <c r="F368" t="s">
        <v>13</v>
      </c>
      <c r="G368" t="s">
        <v>72</v>
      </c>
      <c r="H368">
        <v>2</v>
      </c>
      <c r="I368">
        <v>2005</v>
      </c>
      <c r="J368" t="s">
        <v>22</v>
      </c>
      <c r="K368" t="s">
        <v>62</v>
      </c>
    </row>
    <row r="369" spans="1:11">
      <c r="A369" t="s">
        <v>69</v>
      </c>
      <c r="B369">
        <v>10104</v>
      </c>
      <c r="C369">
        <v>41</v>
      </c>
      <c r="D369" s="21">
        <v>100</v>
      </c>
      <c r="E369" s="22">
        <v>37652</v>
      </c>
      <c r="F369" t="s">
        <v>13</v>
      </c>
      <c r="G369" t="s">
        <v>187</v>
      </c>
      <c r="H369">
        <v>1</v>
      </c>
      <c r="I369">
        <v>2003</v>
      </c>
      <c r="J369" t="s">
        <v>22</v>
      </c>
      <c r="K369" t="s">
        <v>71</v>
      </c>
    </row>
    <row r="370" spans="1:11">
      <c r="A370" t="s">
        <v>79</v>
      </c>
      <c r="B370">
        <v>10115</v>
      </c>
      <c r="C370">
        <v>46</v>
      </c>
      <c r="D370" s="21">
        <v>100</v>
      </c>
      <c r="E370" s="22">
        <v>37715</v>
      </c>
      <c r="F370" t="s">
        <v>13</v>
      </c>
      <c r="G370" t="s">
        <v>187</v>
      </c>
      <c r="H370">
        <v>2</v>
      </c>
      <c r="I370">
        <v>2003</v>
      </c>
      <c r="J370" t="s">
        <v>22</v>
      </c>
      <c r="K370" t="s">
        <v>80</v>
      </c>
    </row>
    <row r="371" spans="1:11">
      <c r="A371" t="s">
        <v>177</v>
      </c>
      <c r="B371">
        <v>10127</v>
      </c>
      <c r="C371">
        <v>24</v>
      </c>
      <c r="D371" s="21">
        <v>100</v>
      </c>
      <c r="E371" s="22">
        <v>37775</v>
      </c>
      <c r="F371" t="s">
        <v>13</v>
      </c>
      <c r="G371" t="s">
        <v>187</v>
      </c>
      <c r="H371">
        <v>2</v>
      </c>
      <c r="I371">
        <v>2003</v>
      </c>
      <c r="J371" t="s">
        <v>15</v>
      </c>
      <c r="K371" t="s">
        <v>178</v>
      </c>
    </row>
    <row r="372" spans="1:11">
      <c r="A372" t="s">
        <v>175</v>
      </c>
      <c r="B372">
        <v>10141</v>
      </c>
      <c r="C372">
        <v>21</v>
      </c>
      <c r="D372" s="21">
        <v>100</v>
      </c>
      <c r="E372" s="22">
        <v>37834</v>
      </c>
      <c r="F372" t="s">
        <v>13</v>
      </c>
      <c r="G372" t="s">
        <v>187</v>
      </c>
      <c r="H372">
        <v>3</v>
      </c>
      <c r="I372">
        <v>2003</v>
      </c>
      <c r="J372" t="s">
        <v>15</v>
      </c>
      <c r="K372" t="s">
        <v>176</v>
      </c>
    </row>
    <row r="373" spans="1:11">
      <c r="A373" t="s">
        <v>147</v>
      </c>
      <c r="B373">
        <v>10151</v>
      </c>
      <c r="C373">
        <v>24</v>
      </c>
      <c r="D373" s="21">
        <v>100</v>
      </c>
      <c r="E373" s="22">
        <v>37885</v>
      </c>
      <c r="F373" t="s">
        <v>13</v>
      </c>
      <c r="G373" t="s">
        <v>187</v>
      </c>
      <c r="H373">
        <v>3</v>
      </c>
      <c r="I373">
        <v>2003</v>
      </c>
      <c r="J373" t="s">
        <v>22</v>
      </c>
      <c r="K373" t="s">
        <v>148</v>
      </c>
    </row>
    <row r="374" spans="1:11">
      <c r="A374" t="s">
        <v>77</v>
      </c>
      <c r="B374">
        <v>10165</v>
      </c>
      <c r="C374">
        <v>48</v>
      </c>
      <c r="D374" s="21">
        <v>100</v>
      </c>
      <c r="E374" s="22">
        <v>37916</v>
      </c>
      <c r="F374" t="s">
        <v>13</v>
      </c>
      <c r="G374" t="s">
        <v>187</v>
      </c>
      <c r="H374">
        <v>4</v>
      </c>
      <c r="I374">
        <v>2003</v>
      </c>
      <c r="J374" t="s">
        <v>22</v>
      </c>
      <c r="K374" t="s">
        <v>78</v>
      </c>
    </row>
    <row r="375" spans="1:11">
      <c r="A375" t="s">
        <v>124</v>
      </c>
      <c r="B375">
        <v>10175</v>
      </c>
      <c r="C375">
        <v>26</v>
      </c>
      <c r="D375" s="21">
        <v>100</v>
      </c>
      <c r="E375" s="22">
        <v>37931</v>
      </c>
      <c r="F375" t="s">
        <v>13</v>
      </c>
      <c r="G375" t="s">
        <v>187</v>
      </c>
      <c r="H375">
        <v>4</v>
      </c>
      <c r="I375">
        <v>2003</v>
      </c>
      <c r="J375" t="s">
        <v>22</v>
      </c>
      <c r="K375" t="s">
        <v>125</v>
      </c>
    </row>
    <row r="376" spans="1:11">
      <c r="A376" t="s">
        <v>192</v>
      </c>
      <c r="B376">
        <v>10184</v>
      </c>
      <c r="C376">
        <v>37</v>
      </c>
      <c r="D376" s="21">
        <v>100</v>
      </c>
      <c r="E376" s="22">
        <v>37939</v>
      </c>
      <c r="F376" t="s">
        <v>13</v>
      </c>
      <c r="G376" t="s">
        <v>187</v>
      </c>
      <c r="H376">
        <v>4</v>
      </c>
      <c r="I376">
        <v>2003</v>
      </c>
      <c r="J376" t="s">
        <v>22</v>
      </c>
      <c r="K376" t="s">
        <v>193</v>
      </c>
    </row>
    <row r="377" spans="1:11">
      <c r="A377" t="s">
        <v>120</v>
      </c>
      <c r="B377">
        <v>10195</v>
      </c>
      <c r="C377">
        <v>49</v>
      </c>
      <c r="D377" s="21">
        <v>100</v>
      </c>
      <c r="E377" s="22">
        <v>37950</v>
      </c>
      <c r="F377" t="s">
        <v>13</v>
      </c>
      <c r="G377" t="s">
        <v>187</v>
      </c>
      <c r="H377">
        <v>4</v>
      </c>
      <c r="I377">
        <v>2003</v>
      </c>
      <c r="J377" t="s">
        <v>22</v>
      </c>
      <c r="K377" t="s">
        <v>121</v>
      </c>
    </row>
    <row r="378" spans="1:11">
      <c r="A378" t="s">
        <v>157</v>
      </c>
      <c r="B378">
        <v>10207</v>
      </c>
      <c r="C378">
        <v>34</v>
      </c>
      <c r="D378" s="21">
        <v>99.54</v>
      </c>
      <c r="E378" s="22">
        <v>37964</v>
      </c>
      <c r="F378" t="s">
        <v>13</v>
      </c>
      <c r="G378" t="s">
        <v>187</v>
      </c>
      <c r="H378">
        <v>4</v>
      </c>
      <c r="I378">
        <v>2003</v>
      </c>
      <c r="J378" t="s">
        <v>22</v>
      </c>
      <c r="K378" t="s">
        <v>158</v>
      </c>
    </row>
    <row r="379" spans="1:11">
      <c r="A379" t="s">
        <v>194</v>
      </c>
      <c r="B379">
        <v>10219</v>
      </c>
      <c r="C379">
        <v>48</v>
      </c>
      <c r="D379" s="21">
        <v>100</v>
      </c>
      <c r="E379" s="22">
        <v>38027</v>
      </c>
      <c r="F379" t="s">
        <v>13</v>
      </c>
      <c r="G379" t="s">
        <v>187</v>
      </c>
      <c r="H379">
        <v>1</v>
      </c>
      <c r="I379">
        <v>2004</v>
      </c>
      <c r="J379" t="s">
        <v>22</v>
      </c>
      <c r="K379" t="s">
        <v>195</v>
      </c>
    </row>
    <row r="380" spans="1:11">
      <c r="A380" t="s">
        <v>103</v>
      </c>
      <c r="B380">
        <v>10229</v>
      </c>
      <c r="C380">
        <v>36</v>
      </c>
      <c r="D380" s="21">
        <v>100</v>
      </c>
      <c r="E380" s="22">
        <v>38057</v>
      </c>
      <c r="F380" t="s">
        <v>13</v>
      </c>
      <c r="G380" t="s">
        <v>187</v>
      </c>
      <c r="H380">
        <v>1</v>
      </c>
      <c r="I380">
        <v>2004</v>
      </c>
      <c r="J380" t="s">
        <v>22</v>
      </c>
      <c r="K380" t="s">
        <v>104</v>
      </c>
    </row>
    <row r="381" spans="1:11">
      <c r="A381" t="s">
        <v>69</v>
      </c>
      <c r="B381">
        <v>10246</v>
      </c>
      <c r="C381">
        <v>46</v>
      </c>
      <c r="D381" s="21">
        <v>100</v>
      </c>
      <c r="E381" s="22">
        <v>38112</v>
      </c>
      <c r="F381" t="s">
        <v>13</v>
      </c>
      <c r="G381" t="s">
        <v>187</v>
      </c>
      <c r="H381">
        <v>2</v>
      </c>
      <c r="I381">
        <v>2004</v>
      </c>
      <c r="J381" t="s">
        <v>22</v>
      </c>
      <c r="K381" t="s">
        <v>71</v>
      </c>
    </row>
    <row r="382" spans="1:11">
      <c r="A382" t="s">
        <v>159</v>
      </c>
      <c r="B382">
        <v>10259</v>
      </c>
      <c r="C382">
        <v>46</v>
      </c>
      <c r="D382" s="21">
        <v>100</v>
      </c>
      <c r="E382" s="22">
        <v>38153</v>
      </c>
      <c r="F382" t="s">
        <v>13</v>
      </c>
      <c r="G382" t="s">
        <v>187</v>
      </c>
      <c r="H382">
        <v>2</v>
      </c>
      <c r="I382">
        <v>2004</v>
      </c>
      <c r="J382" t="s">
        <v>22</v>
      </c>
      <c r="K382" t="s">
        <v>160</v>
      </c>
    </row>
    <row r="383" spans="1:11">
      <c r="A383" t="s">
        <v>103</v>
      </c>
      <c r="B383">
        <v>10271</v>
      </c>
      <c r="C383">
        <v>31</v>
      </c>
      <c r="D383" s="21">
        <v>97.17</v>
      </c>
      <c r="E383" s="22">
        <v>38188</v>
      </c>
      <c r="F383" t="s">
        <v>13</v>
      </c>
      <c r="G383" t="s">
        <v>187</v>
      </c>
      <c r="H383">
        <v>3</v>
      </c>
      <c r="I383">
        <v>2004</v>
      </c>
      <c r="J383" t="s">
        <v>22</v>
      </c>
      <c r="K383" t="s">
        <v>104</v>
      </c>
    </row>
    <row r="384" spans="1:11">
      <c r="A384" t="s">
        <v>58</v>
      </c>
      <c r="B384">
        <v>10281</v>
      </c>
      <c r="C384">
        <v>41</v>
      </c>
      <c r="D384" s="21">
        <v>100</v>
      </c>
      <c r="E384" s="22">
        <v>38218</v>
      </c>
      <c r="F384" t="s">
        <v>13</v>
      </c>
      <c r="G384" t="s">
        <v>187</v>
      </c>
      <c r="H384">
        <v>3</v>
      </c>
      <c r="I384">
        <v>2004</v>
      </c>
      <c r="J384" t="s">
        <v>22</v>
      </c>
      <c r="K384" t="s">
        <v>59</v>
      </c>
    </row>
    <row r="385" spans="1:11">
      <c r="A385" t="s">
        <v>12</v>
      </c>
      <c r="B385">
        <v>10292</v>
      </c>
      <c r="C385">
        <v>21</v>
      </c>
      <c r="D385" s="21">
        <v>100</v>
      </c>
      <c r="E385" s="22">
        <v>38238</v>
      </c>
      <c r="F385" t="s">
        <v>13</v>
      </c>
      <c r="G385" t="s">
        <v>187</v>
      </c>
      <c r="H385">
        <v>3</v>
      </c>
      <c r="I385">
        <v>2004</v>
      </c>
      <c r="J385" t="s">
        <v>15</v>
      </c>
      <c r="K385" t="s">
        <v>16</v>
      </c>
    </row>
    <row r="386" spans="1:11">
      <c r="A386" t="s">
        <v>52</v>
      </c>
      <c r="B386">
        <v>10305</v>
      </c>
      <c r="C386">
        <v>38</v>
      </c>
      <c r="D386" s="21">
        <v>100</v>
      </c>
      <c r="E386" s="22">
        <v>38273</v>
      </c>
      <c r="F386" t="s">
        <v>13</v>
      </c>
      <c r="G386" t="s">
        <v>187</v>
      </c>
      <c r="H386">
        <v>4</v>
      </c>
      <c r="I386">
        <v>2004</v>
      </c>
      <c r="J386" t="s">
        <v>22</v>
      </c>
      <c r="K386" t="s">
        <v>53</v>
      </c>
    </row>
    <row r="387" spans="1:11">
      <c r="A387" t="s">
        <v>185</v>
      </c>
      <c r="B387">
        <v>10314</v>
      </c>
      <c r="C387">
        <v>45</v>
      </c>
      <c r="D387" s="21">
        <v>100</v>
      </c>
      <c r="E387" s="22">
        <v>38282</v>
      </c>
      <c r="F387" t="s">
        <v>13</v>
      </c>
      <c r="G387" t="s">
        <v>187</v>
      </c>
      <c r="H387">
        <v>4</v>
      </c>
      <c r="I387">
        <v>2004</v>
      </c>
      <c r="J387" t="s">
        <v>22</v>
      </c>
      <c r="K387" t="s">
        <v>186</v>
      </c>
    </row>
    <row r="388" spans="1:11">
      <c r="A388" t="s">
        <v>44</v>
      </c>
      <c r="B388">
        <v>10324</v>
      </c>
      <c r="C388">
        <v>26</v>
      </c>
      <c r="D388" s="21">
        <v>58.38</v>
      </c>
      <c r="E388" s="22">
        <v>38296</v>
      </c>
      <c r="F388" t="s">
        <v>13</v>
      </c>
      <c r="G388" t="s">
        <v>187</v>
      </c>
      <c r="H388">
        <v>4</v>
      </c>
      <c r="I388">
        <v>2004</v>
      </c>
      <c r="J388" t="s">
        <v>15</v>
      </c>
      <c r="K388" t="s">
        <v>45</v>
      </c>
    </row>
    <row r="389" spans="1:11">
      <c r="A389" t="s">
        <v>152</v>
      </c>
      <c r="B389">
        <v>10336</v>
      </c>
      <c r="C389">
        <v>38</v>
      </c>
      <c r="D389" s="21">
        <v>100</v>
      </c>
      <c r="E389" s="22">
        <v>38311</v>
      </c>
      <c r="F389" t="s">
        <v>13</v>
      </c>
      <c r="G389" t="s">
        <v>187</v>
      </c>
      <c r="H389">
        <v>4</v>
      </c>
      <c r="I389">
        <v>2004</v>
      </c>
      <c r="J389" t="s">
        <v>22</v>
      </c>
      <c r="K389" t="s">
        <v>153</v>
      </c>
    </row>
    <row r="390" spans="1:11">
      <c r="A390" t="s">
        <v>177</v>
      </c>
      <c r="B390">
        <v>10349</v>
      </c>
      <c r="C390">
        <v>48</v>
      </c>
      <c r="D390" s="21">
        <v>100</v>
      </c>
      <c r="E390" s="22">
        <v>38322</v>
      </c>
      <c r="F390" t="s">
        <v>13</v>
      </c>
      <c r="G390" t="s">
        <v>187</v>
      </c>
      <c r="H390">
        <v>4</v>
      </c>
      <c r="I390">
        <v>2004</v>
      </c>
      <c r="J390" t="s">
        <v>22</v>
      </c>
      <c r="K390" t="s">
        <v>178</v>
      </c>
    </row>
    <row r="391" spans="1:11">
      <c r="A391" t="s">
        <v>69</v>
      </c>
      <c r="B391">
        <v>10358</v>
      </c>
      <c r="C391">
        <v>42</v>
      </c>
      <c r="D391" s="21">
        <v>64.16</v>
      </c>
      <c r="E391" s="22">
        <v>38331</v>
      </c>
      <c r="F391" t="s">
        <v>13</v>
      </c>
      <c r="G391" t="s">
        <v>187</v>
      </c>
      <c r="H391">
        <v>4</v>
      </c>
      <c r="I391">
        <v>2004</v>
      </c>
      <c r="J391" t="s">
        <v>15</v>
      </c>
      <c r="K391" t="s">
        <v>71</v>
      </c>
    </row>
    <row r="392" spans="1:11">
      <c r="A392" t="s">
        <v>103</v>
      </c>
      <c r="B392">
        <v>10371</v>
      </c>
      <c r="C392">
        <v>49</v>
      </c>
      <c r="D392" s="21">
        <v>35.71</v>
      </c>
      <c r="E392" s="22">
        <v>38375</v>
      </c>
      <c r="F392" t="s">
        <v>13</v>
      </c>
      <c r="G392" t="s">
        <v>187</v>
      </c>
      <c r="H392">
        <v>1</v>
      </c>
      <c r="I392">
        <v>2005</v>
      </c>
      <c r="J392" t="s">
        <v>15</v>
      </c>
      <c r="K392" t="s">
        <v>104</v>
      </c>
    </row>
    <row r="393" spans="1:11">
      <c r="A393" t="s">
        <v>103</v>
      </c>
      <c r="B393">
        <v>10382</v>
      </c>
      <c r="C393">
        <v>32</v>
      </c>
      <c r="D393" s="21">
        <v>66.58</v>
      </c>
      <c r="E393" s="22">
        <v>38400</v>
      </c>
      <c r="F393" t="s">
        <v>13</v>
      </c>
      <c r="G393" t="s">
        <v>187</v>
      </c>
      <c r="H393">
        <v>1</v>
      </c>
      <c r="I393">
        <v>2005</v>
      </c>
      <c r="J393" t="s">
        <v>15</v>
      </c>
      <c r="K393" t="s">
        <v>104</v>
      </c>
    </row>
    <row r="394" spans="1:11">
      <c r="A394" t="s">
        <v>69</v>
      </c>
      <c r="B394">
        <v>10412</v>
      </c>
      <c r="C394">
        <v>54</v>
      </c>
      <c r="D394" s="21">
        <v>100</v>
      </c>
      <c r="E394" s="22">
        <v>38475</v>
      </c>
      <c r="F394" t="s">
        <v>13</v>
      </c>
      <c r="G394" t="s">
        <v>187</v>
      </c>
      <c r="H394">
        <v>2</v>
      </c>
      <c r="I394">
        <v>2005</v>
      </c>
      <c r="J394" t="s">
        <v>22</v>
      </c>
      <c r="K394" t="s">
        <v>71</v>
      </c>
    </row>
    <row r="395" spans="1:11">
      <c r="A395" t="s">
        <v>50</v>
      </c>
      <c r="B395">
        <v>10425</v>
      </c>
      <c r="C395">
        <v>33</v>
      </c>
      <c r="D395" s="21">
        <v>100</v>
      </c>
      <c r="E395" s="22">
        <v>38503</v>
      </c>
      <c r="F395" t="s">
        <v>113</v>
      </c>
      <c r="G395" t="s">
        <v>187</v>
      </c>
      <c r="H395">
        <v>2</v>
      </c>
      <c r="I395">
        <v>2005</v>
      </c>
      <c r="J395" t="s">
        <v>22</v>
      </c>
      <c r="K395" t="s">
        <v>51</v>
      </c>
    </row>
    <row r="396" spans="1:11">
      <c r="A396" t="s">
        <v>161</v>
      </c>
      <c r="B396">
        <v>10108</v>
      </c>
      <c r="C396">
        <v>36</v>
      </c>
      <c r="D396" s="21">
        <v>100</v>
      </c>
      <c r="E396" s="22">
        <v>37683</v>
      </c>
      <c r="F396" t="s">
        <v>13</v>
      </c>
      <c r="G396" t="s">
        <v>72</v>
      </c>
      <c r="H396">
        <v>1</v>
      </c>
      <c r="I396">
        <v>2003</v>
      </c>
      <c r="J396" t="s">
        <v>22</v>
      </c>
      <c r="K396" t="s">
        <v>162</v>
      </c>
    </row>
    <row r="397" spans="1:11">
      <c r="A397" t="s">
        <v>163</v>
      </c>
      <c r="B397">
        <v>10122</v>
      </c>
      <c r="C397">
        <v>20</v>
      </c>
      <c r="D397" s="21">
        <v>100</v>
      </c>
      <c r="E397" s="22">
        <v>37749</v>
      </c>
      <c r="F397" t="s">
        <v>13</v>
      </c>
      <c r="G397" t="s">
        <v>72</v>
      </c>
      <c r="H397">
        <v>2</v>
      </c>
      <c r="I397">
        <v>2003</v>
      </c>
      <c r="J397" t="s">
        <v>15</v>
      </c>
      <c r="K397" t="s">
        <v>164</v>
      </c>
    </row>
    <row r="398" spans="1:11">
      <c r="A398" t="s">
        <v>103</v>
      </c>
      <c r="B398">
        <v>10135</v>
      </c>
      <c r="C398">
        <v>29</v>
      </c>
      <c r="D398" s="21">
        <v>97.89</v>
      </c>
      <c r="E398" s="22">
        <v>37804</v>
      </c>
      <c r="F398" t="s">
        <v>13</v>
      </c>
      <c r="G398" t="s">
        <v>72</v>
      </c>
      <c r="H398">
        <v>3</v>
      </c>
      <c r="I398">
        <v>2003</v>
      </c>
      <c r="J398" t="s">
        <v>15</v>
      </c>
      <c r="K398" t="s">
        <v>104</v>
      </c>
    </row>
    <row r="399" spans="1:11">
      <c r="A399" t="s">
        <v>107</v>
      </c>
      <c r="B399">
        <v>10147</v>
      </c>
      <c r="C399">
        <v>33</v>
      </c>
      <c r="D399" s="21">
        <v>97.89</v>
      </c>
      <c r="E399" s="22">
        <v>37869</v>
      </c>
      <c r="F399" t="s">
        <v>13</v>
      </c>
      <c r="G399" t="s">
        <v>72</v>
      </c>
      <c r="H399">
        <v>3</v>
      </c>
      <c r="I399">
        <v>2003</v>
      </c>
      <c r="J399" t="s">
        <v>22</v>
      </c>
      <c r="K399" t="s">
        <v>108</v>
      </c>
    </row>
    <row r="400" spans="1:11">
      <c r="A400" t="s">
        <v>135</v>
      </c>
      <c r="B400">
        <v>10160</v>
      </c>
      <c r="C400">
        <v>50</v>
      </c>
      <c r="D400" s="21">
        <v>100</v>
      </c>
      <c r="E400" s="22">
        <v>37905</v>
      </c>
      <c r="F400" t="s">
        <v>13</v>
      </c>
      <c r="G400" t="s">
        <v>72</v>
      </c>
      <c r="H400">
        <v>4</v>
      </c>
      <c r="I400">
        <v>2003</v>
      </c>
      <c r="J400" t="s">
        <v>22</v>
      </c>
      <c r="K400" t="s">
        <v>136</v>
      </c>
    </row>
    <row r="401" spans="1:11">
      <c r="A401" t="s">
        <v>154</v>
      </c>
      <c r="B401">
        <v>10170</v>
      </c>
      <c r="C401">
        <v>41</v>
      </c>
      <c r="D401" s="21">
        <v>100</v>
      </c>
      <c r="E401" s="22">
        <v>37929</v>
      </c>
      <c r="F401" t="s">
        <v>13</v>
      </c>
      <c r="G401" t="s">
        <v>72</v>
      </c>
      <c r="H401">
        <v>4</v>
      </c>
      <c r="I401">
        <v>2003</v>
      </c>
      <c r="J401" t="s">
        <v>22</v>
      </c>
      <c r="K401" t="s">
        <v>156</v>
      </c>
    </row>
    <row r="402" spans="1:11">
      <c r="A402" t="s">
        <v>36</v>
      </c>
      <c r="B402">
        <v>10181</v>
      </c>
      <c r="C402">
        <v>36</v>
      </c>
      <c r="D402" s="21">
        <v>100</v>
      </c>
      <c r="E402" s="22">
        <v>37937</v>
      </c>
      <c r="F402" t="s">
        <v>13</v>
      </c>
      <c r="G402" t="s">
        <v>72</v>
      </c>
      <c r="H402">
        <v>4</v>
      </c>
      <c r="I402">
        <v>2003</v>
      </c>
      <c r="J402" t="s">
        <v>22</v>
      </c>
      <c r="K402" t="s">
        <v>37</v>
      </c>
    </row>
    <row r="403" spans="1:11">
      <c r="A403" t="s">
        <v>105</v>
      </c>
      <c r="B403">
        <v>10192</v>
      </c>
      <c r="C403">
        <v>27</v>
      </c>
      <c r="D403" s="21">
        <v>100</v>
      </c>
      <c r="E403" s="22">
        <v>37945</v>
      </c>
      <c r="F403" t="s">
        <v>13</v>
      </c>
      <c r="G403" t="s">
        <v>72</v>
      </c>
      <c r="H403">
        <v>4</v>
      </c>
      <c r="I403">
        <v>2003</v>
      </c>
      <c r="J403" t="s">
        <v>22</v>
      </c>
      <c r="K403" t="s">
        <v>106</v>
      </c>
    </row>
    <row r="404" spans="1:11">
      <c r="A404" t="s">
        <v>69</v>
      </c>
      <c r="B404">
        <v>10203</v>
      </c>
      <c r="C404">
        <v>47</v>
      </c>
      <c r="D404" s="21">
        <v>100</v>
      </c>
      <c r="E404" s="22">
        <v>37957</v>
      </c>
      <c r="F404" t="s">
        <v>13</v>
      </c>
      <c r="G404" t="s">
        <v>72</v>
      </c>
      <c r="H404">
        <v>4</v>
      </c>
      <c r="I404">
        <v>2003</v>
      </c>
      <c r="J404" t="s">
        <v>22</v>
      </c>
      <c r="K404" t="s">
        <v>71</v>
      </c>
    </row>
    <row r="405" spans="1:11">
      <c r="A405" t="s">
        <v>69</v>
      </c>
      <c r="B405">
        <v>10212</v>
      </c>
      <c r="C405">
        <v>33</v>
      </c>
      <c r="D405" s="21">
        <v>100</v>
      </c>
      <c r="E405" s="22">
        <v>38002</v>
      </c>
      <c r="F405" t="s">
        <v>13</v>
      </c>
      <c r="G405" t="s">
        <v>72</v>
      </c>
      <c r="H405">
        <v>1</v>
      </c>
      <c r="I405">
        <v>2004</v>
      </c>
      <c r="J405" t="s">
        <v>22</v>
      </c>
      <c r="K405" t="s">
        <v>71</v>
      </c>
    </row>
    <row r="406" spans="1:11">
      <c r="A406" t="s">
        <v>167</v>
      </c>
      <c r="B406">
        <v>10225</v>
      </c>
      <c r="C406">
        <v>21</v>
      </c>
      <c r="D406" s="21">
        <v>100</v>
      </c>
      <c r="E406" s="22">
        <v>38039</v>
      </c>
      <c r="F406" t="s">
        <v>13</v>
      </c>
      <c r="G406" t="s">
        <v>72</v>
      </c>
      <c r="H406">
        <v>1</v>
      </c>
      <c r="I406">
        <v>2004</v>
      </c>
      <c r="J406" t="s">
        <v>15</v>
      </c>
      <c r="K406" t="s">
        <v>168</v>
      </c>
    </row>
    <row r="407" spans="1:11">
      <c r="A407" t="s">
        <v>147</v>
      </c>
      <c r="B407">
        <v>10239</v>
      </c>
      <c r="C407">
        <v>21</v>
      </c>
      <c r="D407" s="21">
        <v>93.28</v>
      </c>
      <c r="E407" s="22">
        <v>38089</v>
      </c>
      <c r="F407" t="s">
        <v>13</v>
      </c>
      <c r="G407" t="s">
        <v>72</v>
      </c>
      <c r="H407">
        <v>2</v>
      </c>
      <c r="I407">
        <v>2004</v>
      </c>
      <c r="J407" t="s">
        <v>15</v>
      </c>
      <c r="K407" t="s">
        <v>148</v>
      </c>
    </row>
    <row r="408" spans="1:11">
      <c r="A408" t="s">
        <v>67</v>
      </c>
      <c r="B408">
        <v>10253</v>
      </c>
      <c r="C408">
        <v>41</v>
      </c>
      <c r="D408" s="21">
        <v>100</v>
      </c>
      <c r="E408" s="22">
        <v>38139</v>
      </c>
      <c r="F408" t="s">
        <v>128</v>
      </c>
      <c r="G408" t="s">
        <v>72</v>
      </c>
      <c r="H408">
        <v>2</v>
      </c>
      <c r="I408">
        <v>2004</v>
      </c>
      <c r="J408" t="s">
        <v>22</v>
      </c>
      <c r="K408" t="s">
        <v>68</v>
      </c>
    </row>
    <row r="409" spans="1:11">
      <c r="A409" t="s">
        <v>169</v>
      </c>
      <c r="B409">
        <v>10266</v>
      </c>
      <c r="C409">
        <v>40</v>
      </c>
      <c r="D409" s="21">
        <v>100</v>
      </c>
      <c r="E409" s="22">
        <v>38174</v>
      </c>
      <c r="F409" t="s">
        <v>13</v>
      </c>
      <c r="G409" t="s">
        <v>72</v>
      </c>
      <c r="H409">
        <v>3</v>
      </c>
      <c r="I409">
        <v>2004</v>
      </c>
      <c r="J409" t="s">
        <v>22</v>
      </c>
      <c r="K409" t="s">
        <v>170</v>
      </c>
    </row>
    <row r="410" spans="1:11">
      <c r="A410" t="s">
        <v>77</v>
      </c>
      <c r="B410">
        <v>10277</v>
      </c>
      <c r="C410">
        <v>28</v>
      </c>
      <c r="D410" s="21">
        <v>100</v>
      </c>
      <c r="E410" s="22">
        <v>38203</v>
      </c>
      <c r="F410" t="s">
        <v>13</v>
      </c>
      <c r="G410" t="s">
        <v>72</v>
      </c>
      <c r="H410">
        <v>3</v>
      </c>
      <c r="I410">
        <v>2004</v>
      </c>
      <c r="J410" t="s">
        <v>22</v>
      </c>
      <c r="K410" t="s">
        <v>78</v>
      </c>
    </row>
    <row r="411" spans="1:11">
      <c r="A411" t="s">
        <v>167</v>
      </c>
      <c r="B411">
        <v>10287</v>
      </c>
      <c r="C411">
        <v>23</v>
      </c>
      <c r="D411" s="21">
        <v>100</v>
      </c>
      <c r="E411" s="22">
        <v>38229</v>
      </c>
      <c r="F411" t="s">
        <v>13</v>
      </c>
      <c r="G411" t="s">
        <v>72</v>
      </c>
      <c r="H411">
        <v>3</v>
      </c>
      <c r="I411">
        <v>2004</v>
      </c>
      <c r="J411" t="s">
        <v>15</v>
      </c>
      <c r="K411" t="s">
        <v>168</v>
      </c>
    </row>
    <row r="412" spans="1:11">
      <c r="A412" t="s">
        <v>173</v>
      </c>
      <c r="B412">
        <v>10300</v>
      </c>
      <c r="C412">
        <v>23</v>
      </c>
      <c r="D412" s="21">
        <v>100</v>
      </c>
      <c r="E412" s="22">
        <v>37898</v>
      </c>
      <c r="F412" t="s">
        <v>13</v>
      </c>
      <c r="G412" t="s">
        <v>72</v>
      </c>
      <c r="H412">
        <v>4</v>
      </c>
      <c r="I412">
        <v>2003</v>
      </c>
      <c r="J412" t="s">
        <v>15</v>
      </c>
      <c r="K412" t="s">
        <v>174</v>
      </c>
    </row>
    <row r="413" spans="1:11">
      <c r="A413" t="s">
        <v>165</v>
      </c>
      <c r="B413">
        <v>10310</v>
      </c>
      <c r="C413">
        <v>25</v>
      </c>
      <c r="D413" s="21">
        <v>100</v>
      </c>
      <c r="E413" s="22">
        <v>38276</v>
      </c>
      <c r="F413" t="s">
        <v>13</v>
      </c>
      <c r="G413" t="s">
        <v>72</v>
      </c>
      <c r="H413">
        <v>4</v>
      </c>
      <c r="I413">
        <v>2004</v>
      </c>
      <c r="J413" t="s">
        <v>15</v>
      </c>
      <c r="K413" t="s">
        <v>166</v>
      </c>
    </row>
    <row r="414" spans="1:11">
      <c r="A414" t="s">
        <v>65</v>
      </c>
      <c r="B414">
        <v>10321</v>
      </c>
      <c r="C414">
        <v>24</v>
      </c>
      <c r="D414" s="21">
        <v>100</v>
      </c>
      <c r="E414" s="22">
        <v>38295</v>
      </c>
      <c r="F414" t="s">
        <v>13</v>
      </c>
      <c r="G414" t="s">
        <v>72</v>
      </c>
      <c r="H414">
        <v>4</v>
      </c>
      <c r="I414">
        <v>2004</v>
      </c>
      <c r="J414" t="s">
        <v>15</v>
      </c>
      <c r="K414" t="s">
        <v>66</v>
      </c>
    </row>
    <row r="415" spans="1:11">
      <c r="A415" t="s">
        <v>12</v>
      </c>
      <c r="B415">
        <v>10329</v>
      </c>
      <c r="C415">
        <v>39</v>
      </c>
      <c r="D415" s="21">
        <v>64.74</v>
      </c>
      <c r="E415" s="22">
        <v>38306</v>
      </c>
      <c r="F415" t="s">
        <v>13</v>
      </c>
      <c r="G415" t="s">
        <v>72</v>
      </c>
      <c r="H415">
        <v>4</v>
      </c>
      <c r="I415">
        <v>2004</v>
      </c>
      <c r="J415" t="s">
        <v>15</v>
      </c>
      <c r="K415" t="s">
        <v>16</v>
      </c>
    </row>
    <row r="416" spans="1:11">
      <c r="A416" t="s">
        <v>60</v>
      </c>
      <c r="B416">
        <v>10341</v>
      </c>
      <c r="C416">
        <v>55</v>
      </c>
      <c r="D416" s="21">
        <v>75.2</v>
      </c>
      <c r="E416" s="22">
        <v>38315</v>
      </c>
      <c r="F416" t="s">
        <v>13</v>
      </c>
      <c r="G416" t="s">
        <v>72</v>
      </c>
      <c r="H416">
        <v>4</v>
      </c>
      <c r="I416">
        <v>2004</v>
      </c>
      <c r="J416" t="s">
        <v>22</v>
      </c>
      <c r="K416" t="s">
        <v>62</v>
      </c>
    </row>
    <row r="417" spans="1:11">
      <c r="A417" t="s">
        <v>175</v>
      </c>
      <c r="B417">
        <v>10363</v>
      </c>
      <c r="C417">
        <v>46</v>
      </c>
      <c r="D417" s="21">
        <v>88.45</v>
      </c>
      <c r="E417" s="22">
        <v>38358</v>
      </c>
      <c r="F417" t="s">
        <v>13</v>
      </c>
      <c r="G417" t="s">
        <v>72</v>
      </c>
      <c r="H417">
        <v>1</v>
      </c>
      <c r="I417">
        <v>2005</v>
      </c>
      <c r="J417" t="s">
        <v>22</v>
      </c>
      <c r="K417" t="s">
        <v>176</v>
      </c>
    </row>
    <row r="418" spans="1:11">
      <c r="A418" t="s">
        <v>54</v>
      </c>
      <c r="B418">
        <v>10377</v>
      </c>
      <c r="C418">
        <v>50</v>
      </c>
      <c r="D418" s="21">
        <v>100</v>
      </c>
      <c r="E418" s="22">
        <v>38392</v>
      </c>
      <c r="F418" t="s">
        <v>13</v>
      </c>
      <c r="G418" t="s">
        <v>72</v>
      </c>
      <c r="H418">
        <v>1</v>
      </c>
      <c r="I418">
        <v>2005</v>
      </c>
      <c r="J418" t="s">
        <v>22</v>
      </c>
      <c r="K418" t="s">
        <v>55</v>
      </c>
    </row>
    <row r="419" spans="1:11">
      <c r="A419" t="s">
        <v>99</v>
      </c>
      <c r="B419">
        <v>10389</v>
      </c>
      <c r="C419">
        <v>47</v>
      </c>
      <c r="D419" s="21">
        <v>100</v>
      </c>
      <c r="E419" s="22">
        <v>38414</v>
      </c>
      <c r="F419" t="s">
        <v>13</v>
      </c>
      <c r="G419" t="s">
        <v>72</v>
      </c>
      <c r="H419">
        <v>1</v>
      </c>
      <c r="I419">
        <v>2005</v>
      </c>
      <c r="J419" t="s">
        <v>22</v>
      </c>
      <c r="K419" t="s">
        <v>100</v>
      </c>
    </row>
    <row r="420" spans="1:11">
      <c r="A420" t="s">
        <v>196</v>
      </c>
      <c r="B420">
        <v>10405</v>
      </c>
      <c r="C420">
        <v>97</v>
      </c>
      <c r="D420" s="21">
        <v>93.28</v>
      </c>
      <c r="E420" s="22">
        <v>38456</v>
      </c>
      <c r="F420" t="s">
        <v>13</v>
      </c>
      <c r="G420" t="s">
        <v>72</v>
      </c>
      <c r="H420">
        <v>2</v>
      </c>
      <c r="I420">
        <v>2005</v>
      </c>
      <c r="J420" t="s">
        <v>61</v>
      </c>
      <c r="K420" t="s">
        <v>197</v>
      </c>
    </row>
    <row r="421" spans="1:11">
      <c r="A421" t="s">
        <v>60</v>
      </c>
      <c r="B421">
        <v>10419</v>
      </c>
      <c r="C421">
        <v>32</v>
      </c>
      <c r="D421" s="21">
        <v>100</v>
      </c>
      <c r="E421" s="22">
        <v>38489</v>
      </c>
      <c r="F421" t="s">
        <v>13</v>
      </c>
      <c r="G421" t="s">
        <v>72</v>
      </c>
      <c r="H421">
        <v>2</v>
      </c>
      <c r="I421">
        <v>2005</v>
      </c>
      <c r="J421" t="s">
        <v>22</v>
      </c>
      <c r="K421" t="s">
        <v>62</v>
      </c>
    </row>
    <row r="422" spans="1:11">
      <c r="A422" t="s">
        <v>56</v>
      </c>
      <c r="B422">
        <v>10103</v>
      </c>
      <c r="C422">
        <v>35</v>
      </c>
      <c r="D422" s="21">
        <v>100</v>
      </c>
      <c r="E422" s="22">
        <v>37650</v>
      </c>
      <c r="F422" t="s">
        <v>13</v>
      </c>
      <c r="G422" t="s">
        <v>187</v>
      </c>
      <c r="H422">
        <v>1</v>
      </c>
      <c r="I422">
        <v>2003</v>
      </c>
      <c r="J422" t="s">
        <v>22</v>
      </c>
      <c r="K422" t="s">
        <v>57</v>
      </c>
    </row>
    <row r="423" spans="1:11">
      <c r="A423" t="s">
        <v>103</v>
      </c>
      <c r="B423">
        <v>10113</v>
      </c>
      <c r="C423">
        <v>49</v>
      </c>
      <c r="D423" s="21">
        <v>100</v>
      </c>
      <c r="E423" s="22">
        <v>37706</v>
      </c>
      <c r="F423" t="s">
        <v>13</v>
      </c>
      <c r="G423" t="s">
        <v>187</v>
      </c>
      <c r="H423">
        <v>1</v>
      </c>
      <c r="I423">
        <v>2003</v>
      </c>
      <c r="J423" t="s">
        <v>22</v>
      </c>
      <c r="K423" t="s">
        <v>104</v>
      </c>
    </row>
    <row r="424" spans="1:11">
      <c r="A424" t="s">
        <v>75</v>
      </c>
      <c r="B424">
        <v>10126</v>
      </c>
      <c r="C424">
        <v>38</v>
      </c>
      <c r="D424" s="21">
        <v>100</v>
      </c>
      <c r="E424" s="22">
        <v>37769</v>
      </c>
      <c r="F424" t="s">
        <v>13</v>
      </c>
      <c r="G424" t="s">
        <v>187</v>
      </c>
      <c r="H424">
        <v>2</v>
      </c>
      <c r="I424">
        <v>2003</v>
      </c>
      <c r="J424" t="s">
        <v>22</v>
      </c>
      <c r="K424" t="s">
        <v>76</v>
      </c>
    </row>
    <row r="425" spans="1:11">
      <c r="A425" t="s">
        <v>31</v>
      </c>
      <c r="B425">
        <v>10140</v>
      </c>
      <c r="C425">
        <v>32</v>
      </c>
      <c r="D425" s="21">
        <v>100</v>
      </c>
      <c r="E425" s="22">
        <v>37826</v>
      </c>
      <c r="F425" t="s">
        <v>13</v>
      </c>
      <c r="G425" t="s">
        <v>187</v>
      </c>
      <c r="H425">
        <v>3</v>
      </c>
      <c r="I425">
        <v>2003</v>
      </c>
      <c r="J425" t="s">
        <v>22</v>
      </c>
      <c r="K425" t="s">
        <v>32</v>
      </c>
    </row>
    <row r="426" spans="1:11">
      <c r="A426" t="s">
        <v>77</v>
      </c>
      <c r="B426">
        <v>10150</v>
      </c>
      <c r="C426">
        <v>34</v>
      </c>
      <c r="D426" s="21">
        <v>100</v>
      </c>
      <c r="E426" s="22">
        <v>37883</v>
      </c>
      <c r="F426" t="s">
        <v>13</v>
      </c>
      <c r="G426" t="s">
        <v>187</v>
      </c>
      <c r="H426">
        <v>3</v>
      </c>
      <c r="I426">
        <v>2003</v>
      </c>
      <c r="J426" t="s">
        <v>22</v>
      </c>
      <c r="K426" t="s">
        <v>78</v>
      </c>
    </row>
    <row r="427" spans="1:11">
      <c r="A427" t="s">
        <v>154</v>
      </c>
      <c r="B427">
        <v>10164</v>
      </c>
      <c r="C427">
        <v>36</v>
      </c>
      <c r="D427" s="21">
        <v>99.17</v>
      </c>
      <c r="E427" s="22">
        <v>37915</v>
      </c>
      <c r="F427" t="s">
        <v>155</v>
      </c>
      <c r="G427" t="s">
        <v>187</v>
      </c>
      <c r="H427">
        <v>4</v>
      </c>
      <c r="I427">
        <v>2003</v>
      </c>
      <c r="J427" t="s">
        <v>22</v>
      </c>
      <c r="K427" t="s">
        <v>156</v>
      </c>
    </row>
    <row r="428" spans="1:11">
      <c r="A428" t="s">
        <v>81</v>
      </c>
      <c r="B428">
        <v>10174</v>
      </c>
      <c r="C428">
        <v>48</v>
      </c>
      <c r="D428" s="21">
        <v>93.34</v>
      </c>
      <c r="E428" s="22">
        <v>37931</v>
      </c>
      <c r="F428" t="s">
        <v>13</v>
      </c>
      <c r="G428" t="s">
        <v>187</v>
      </c>
      <c r="H428">
        <v>4</v>
      </c>
      <c r="I428">
        <v>2003</v>
      </c>
      <c r="J428" t="s">
        <v>22</v>
      </c>
      <c r="K428" t="s">
        <v>82</v>
      </c>
    </row>
    <row r="429" spans="1:11">
      <c r="A429" t="s">
        <v>83</v>
      </c>
      <c r="B429">
        <v>10183</v>
      </c>
      <c r="C429">
        <v>21</v>
      </c>
      <c r="D429" s="21">
        <v>96.84</v>
      </c>
      <c r="E429" s="22">
        <v>37938</v>
      </c>
      <c r="F429" t="s">
        <v>13</v>
      </c>
      <c r="G429" t="s">
        <v>187</v>
      </c>
      <c r="H429">
        <v>4</v>
      </c>
      <c r="I429">
        <v>2003</v>
      </c>
      <c r="J429" t="s">
        <v>15</v>
      </c>
      <c r="K429" t="s">
        <v>84</v>
      </c>
    </row>
    <row r="430" spans="1:11">
      <c r="A430" t="s">
        <v>85</v>
      </c>
      <c r="B430">
        <v>10194</v>
      </c>
      <c r="C430">
        <v>21</v>
      </c>
      <c r="D430" s="21">
        <v>93.34</v>
      </c>
      <c r="E430" s="22">
        <v>37950</v>
      </c>
      <c r="F430" t="s">
        <v>13</v>
      </c>
      <c r="G430" t="s">
        <v>187</v>
      </c>
      <c r="H430">
        <v>4</v>
      </c>
      <c r="I430">
        <v>2003</v>
      </c>
      <c r="J430" t="s">
        <v>15</v>
      </c>
      <c r="K430" t="s">
        <v>86</v>
      </c>
    </row>
    <row r="431" spans="1:11">
      <c r="A431" t="s">
        <v>87</v>
      </c>
      <c r="B431">
        <v>10206</v>
      </c>
      <c r="C431">
        <v>34</v>
      </c>
      <c r="D431" s="21">
        <v>100</v>
      </c>
      <c r="E431" s="22">
        <v>37960</v>
      </c>
      <c r="F431" t="s">
        <v>13</v>
      </c>
      <c r="G431" t="s">
        <v>187</v>
      </c>
      <c r="H431">
        <v>4</v>
      </c>
      <c r="I431">
        <v>2003</v>
      </c>
      <c r="J431" t="s">
        <v>22</v>
      </c>
      <c r="K431" t="s">
        <v>88</v>
      </c>
    </row>
    <row r="432" spans="1:11">
      <c r="A432" t="s">
        <v>89</v>
      </c>
      <c r="B432">
        <v>10215</v>
      </c>
      <c r="C432">
        <v>46</v>
      </c>
      <c r="D432" s="21">
        <v>100</v>
      </c>
      <c r="E432" s="22">
        <v>38015</v>
      </c>
      <c r="F432" t="s">
        <v>13</v>
      </c>
      <c r="G432" t="s">
        <v>187</v>
      </c>
      <c r="H432">
        <v>1</v>
      </c>
      <c r="I432">
        <v>2004</v>
      </c>
      <c r="J432" t="s">
        <v>22</v>
      </c>
      <c r="K432" t="s">
        <v>90</v>
      </c>
    </row>
    <row r="433" spans="1:11">
      <c r="A433" t="s">
        <v>91</v>
      </c>
      <c r="B433">
        <v>10228</v>
      </c>
      <c r="C433">
        <v>32</v>
      </c>
      <c r="D433" s="21">
        <v>100</v>
      </c>
      <c r="E433" s="22">
        <v>38056</v>
      </c>
      <c r="F433" t="s">
        <v>13</v>
      </c>
      <c r="G433" t="s">
        <v>187</v>
      </c>
      <c r="H433">
        <v>1</v>
      </c>
      <c r="I433">
        <v>2004</v>
      </c>
      <c r="J433" t="s">
        <v>22</v>
      </c>
      <c r="K433" t="s">
        <v>92</v>
      </c>
    </row>
    <row r="434" spans="1:11">
      <c r="A434" t="s">
        <v>93</v>
      </c>
      <c r="B434">
        <v>10245</v>
      </c>
      <c r="C434">
        <v>29</v>
      </c>
      <c r="D434" s="21">
        <v>100</v>
      </c>
      <c r="E434" s="22">
        <v>38111</v>
      </c>
      <c r="F434" t="s">
        <v>13</v>
      </c>
      <c r="G434" t="s">
        <v>187</v>
      </c>
      <c r="H434">
        <v>2</v>
      </c>
      <c r="I434">
        <v>2004</v>
      </c>
      <c r="J434" t="s">
        <v>22</v>
      </c>
      <c r="K434" t="s">
        <v>94</v>
      </c>
    </row>
    <row r="435" spans="1:11">
      <c r="A435" t="s">
        <v>95</v>
      </c>
      <c r="B435">
        <v>10258</v>
      </c>
      <c r="C435">
        <v>41</v>
      </c>
      <c r="D435" s="21">
        <v>100</v>
      </c>
      <c r="E435" s="22">
        <v>38153</v>
      </c>
      <c r="F435" t="s">
        <v>13</v>
      </c>
      <c r="G435" t="s">
        <v>187</v>
      </c>
      <c r="H435">
        <v>2</v>
      </c>
      <c r="I435">
        <v>2004</v>
      </c>
      <c r="J435" t="s">
        <v>22</v>
      </c>
      <c r="K435" t="s">
        <v>96</v>
      </c>
    </row>
    <row r="436" spans="1:11">
      <c r="A436" t="s">
        <v>63</v>
      </c>
      <c r="B436">
        <v>10270</v>
      </c>
      <c r="C436">
        <v>43</v>
      </c>
      <c r="D436" s="21">
        <v>96.84</v>
      </c>
      <c r="E436" s="22">
        <v>38187</v>
      </c>
      <c r="F436" t="s">
        <v>13</v>
      </c>
      <c r="G436" t="s">
        <v>187</v>
      </c>
      <c r="H436">
        <v>3</v>
      </c>
      <c r="I436">
        <v>2004</v>
      </c>
      <c r="J436" t="s">
        <v>22</v>
      </c>
      <c r="K436" t="s">
        <v>64</v>
      </c>
    </row>
    <row r="437" spans="1:11">
      <c r="A437" t="s">
        <v>97</v>
      </c>
      <c r="B437">
        <v>10280</v>
      </c>
      <c r="C437">
        <v>24</v>
      </c>
      <c r="D437" s="21">
        <v>100</v>
      </c>
      <c r="E437" s="22">
        <v>38216</v>
      </c>
      <c r="F437" t="s">
        <v>13</v>
      </c>
      <c r="G437" t="s">
        <v>187</v>
      </c>
      <c r="H437">
        <v>3</v>
      </c>
      <c r="I437">
        <v>2004</v>
      </c>
      <c r="J437" t="s">
        <v>15</v>
      </c>
      <c r="K437" t="s">
        <v>98</v>
      </c>
    </row>
    <row r="438" spans="1:11">
      <c r="A438" t="s">
        <v>99</v>
      </c>
      <c r="B438">
        <v>10291</v>
      </c>
      <c r="C438">
        <v>41</v>
      </c>
      <c r="D438" s="21">
        <v>100</v>
      </c>
      <c r="E438" s="22">
        <v>38238</v>
      </c>
      <c r="F438" t="s">
        <v>13</v>
      </c>
      <c r="G438" t="s">
        <v>187</v>
      </c>
      <c r="H438">
        <v>3</v>
      </c>
      <c r="I438">
        <v>2004</v>
      </c>
      <c r="J438" t="s">
        <v>22</v>
      </c>
      <c r="K438" t="s">
        <v>100</v>
      </c>
    </row>
    <row r="439" spans="1:11">
      <c r="A439" t="s">
        <v>101</v>
      </c>
      <c r="B439">
        <v>10304</v>
      </c>
      <c r="C439">
        <v>46</v>
      </c>
      <c r="D439" s="21">
        <v>98</v>
      </c>
      <c r="E439" s="22">
        <v>38271</v>
      </c>
      <c r="F439" t="s">
        <v>13</v>
      </c>
      <c r="G439" t="s">
        <v>187</v>
      </c>
      <c r="H439">
        <v>4</v>
      </c>
      <c r="I439">
        <v>2004</v>
      </c>
      <c r="J439" t="s">
        <v>22</v>
      </c>
      <c r="K439" t="s">
        <v>102</v>
      </c>
    </row>
    <row r="440" spans="1:11">
      <c r="A440" t="s">
        <v>103</v>
      </c>
      <c r="B440">
        <v>10312</v>
      </c>
      <c r="C440">
        <v>32</v>
      </c>
      <c r="D440" s="21">
        <v>100</v>
      </c>
      <c r="E440" s="22">
        <v>38281</v>
      </c>
      <c r="F440" t="s">
        <v>13</v>
      </c>
      <c r="G440" t="s">
        <v>187</v>
      </c>
      <c r="H440">
        <v>4</v>
      </c>
      <c r="I440">
        <v>2004</v>
      </c>
      <c r="J440" t="s">
        <v>22</v>
      </c>
      <c r="K440" t="s">
        <v>104</v>
      </c>
    </row>
    <row r="441" spans="1:11">
      <c r="A441" t="s">
        <v>105</v>
      </c>
      <c r="B441">
        <v>10322</v>
      </c>
      <c r="C441">
        <v>22</v>
      </c>
      <c r="D441" s="21">
        <v>100</v>
      </c>
      <c r="E441" s="22">
        <v>38295</v>
      </c>
      <c r="F441" t="s">
        <v>13</v>
      </c>
      <c r="G441" t="s">
        <v>187</v>
      </c>
      <c r="H441">
        <v>4</v>
      </c>
      <c r="I441">
        <v>2004</v>
      </c>
      <c r="J441" t="s">
        <v>15</v>
      </c>
      <c r="K441" t="s">
        <v>106</v>
      </c>
    </row>
    <row r="442" spans="1:11">
      <c r="A442" t="s">
        <v>38</v>
      </c>
      <c r="B442">
        <v>10333</v>
      </c>
      <c r="C442">
        <v>29</v>
      </c>
      <c r="D442" s="21">
        <v>40.25</v>
      </c>
      <c r="E442" s="22">
        <v>38309</v>
      </c>
      <c r="F442" t="s">
        <v>13</v>
      </c>
      <c r="G442" t="s">
        <v>187</v>
      </c>
      <c r="H442">
        <v>4</v>
      </c>
      <c r="I442">
        <v>2004</v>
      </c>
      <c r="J442" t="s">
        <v>15</v>
      </c>
      <c r="K442" t="s">
        <v>39</v>
      </c>
    </row>
    <row r="443" spans="1:11">
      <c r="A443" t="s">
        <v>42</v>
      </c>
      <c r="B443">
        <v>10347</v>
      </c>
      <c r="C443">
        <v>42</v>
      </c>
      <c r="D443" s="21">
        <v>49.6</v>
      </c>
      <c r="E443" s="22">
        <v>38320</v>
      </c>
      <c r="F443" t="s">
        <v>13</v>
      </c>
      <c r="G443" t="s">
        <v>187</v>
      </c>
      <c r="H443">
        <v>4</v>
      </c>
      <c r="I443">
        <v>2004</v>
      </c>
      <c r="J443" t="s">
        <v>15</v>
      </c>
      <c r="K443" t="s">
        <v>43</v>
      </c>
    </row>
    <row r="444" spans="1:11">
      <c r="A444" t="s">
        <v>103</v>
      </c>
      <c r="B444">
        <v>10357</v>
      </c>
      <c r="C444">
        <v>39</v>
      </c>
      <c r="D444" s="21">
        <v>98</v>
      </c>
      <c r="E444" s="22">
        <v>38331</v>
      </c>
      <c r="F444" t="s">
        <v>13</v>
      </c>
      <c r="G444" t="s">
        <v>187</v>
      </c>
      <c r="H444">
        <v>4</v>
      </c>
      <c r="I444">
        <v>2004</v>
      </c>
      <c r="J444" t="s">
        <v>22</v>
      </c>
      <c r="K444" t="s">
        <v>104</v>
      </c>
    </row>
    <row r="445" spans="1:11">
      <c r="A445" t="s">
        <v>109</v>
      </c>
      <c r="B445">
        <v>10370</v>
      </c>
      <c r="C445">
        <v>27</v>
      </c>
      <c r="D445" s="21">
        <v>100</v>
      </c>
      <c r="E445" s="22">
        <v>38372</v>
      </c>
      <c r="F445" t="s">
        <v>13</v>
      </c>
      <c r="G445" t="s">
        <v>187</v>
      </c>
      <c r="H445">
        <v>1</v>
      </c>
      <c r="I445">
        <v>2005</v>
      </c>
      <c r="J445" t="s">
        <v>22</v>
      </c>
      <c r="K445" t="s">
        <v>110</v>
      </c>
    </row>
    <row r="446" spans="1:11">
      <c r="A446" t="s">
        <v>28</v>
      </c>
      <c r="B446">
        <v>10381</v>
      </c>
      <c r="C446">
        <v>48</v>
      </c>
      <c r="D446" s="21">
        <v>98</v>
      </c>
      <c r="E446" s="22">
        <v>38400</v>
      </c>
      <c r="F446" t="s">
        <v>13</v>
      </c>
      <c r="G446" t="s">
        <v>187</v>
      </c>
      <c r="H446">
        <v>1</v>
      </c>
      <c r="I446">
        <v>2005</v>
      </c>
      <c r="J446" t="s">
        <v>22</v>
      </c>
      <c r="K446" t="s">
        <v>29</v>
      </c>
    </row>
    <row r="447" spans="1:11">
      <c r="A447" t="s">
        <v>109</v>
      </c>
      <c r="B447">
        <v>10391</v>
      </c>
      <c r="C447">
        <v>29</v>
      </c>
      <c r="D447" s="21">
        <v>85.1</v>
      </c>
      <c r="E447" s="22">
        <v>38420</v>
      </c>
      <c r="F447" t="s">
        <v>13</v>
      </c>
      <c r="G447" t="s">
        <v>187</v>
      </c>
      <c r="H447">
        <v>1</v>
      </c>
      <c r="I447">
        <v>2005</v>
      </c>
      <c r="J447" t="s">
        <v>15</v>
      </c>
      <c r="K447" t="s">
        <v>110</v>
      </c>
    </row>
    <row r="448" spans="1:11">
      <c r="A448" t="s">
        <v>111</v>
      </c>
      <c r="B448">
        <v>10411</v>
      </c>
      <c r="C448">
        <v>27</v>
      </c>
      <c r="D448" s="21">
        <v>100</v>
      </c>
      <c r="E448" s="22">
        <v>38473</v>
      </c>
      <c r="F448" t="s">
        <v>13</v>
      </c>
      <c r="G448" t="s">
        <v>187</v>
      </c>
      <c r="H448">
        <v>2</v>
      </c>
      <c r="I448">
        <v>2005</v>
      </c>
      <c r="J448" t="s">
        <v>22</v>
      </c>
      <c r="K448" t="s">
        <v>112</v>
      </c>
    </row>
    <row r="449" spans="1:11">
      <c r="A449" t="s">
        <v>69</v>
      </c>
      <c r="B449">
        <v>10424</v>
      </c>
      <c r="C449">
        <v>54</v>
      </c>
      <c r="D449" s="21">
        <v>100</v>
      </c>
      <c r="E449" s="22">
        <v>38503</v>
      </c>
      <c r="F449" t="s">
        <v>113</v>
      </c>
      <c r="G449" t="s">
        <v>187</v>
      </c>
      <c r="H449">
        <v>2</v>
      </c>
      <c r="I449">
        <v>2005</v>
      </c>
      <c r="J449" t="s">
        <v>61</v>
      </c>
      <c r="K449" t="s">
        <v>71</v>
      </c>
    </row>
    <row r="450" spans="1:11">
      <c r="A450" t="s">
        <v>116</v>
      </c>
      <c r="B450">
        <v>10109</v>
      </c>
      <c r="C450">
        <v>26</v>
      </c>
      <c r="D450" s="21">
        <v>100</v>
      </c>
      <c r="E450" s="22">
        <v>37690</v>
      </c>
      <c r="F450" t="s">
        <v>13</v>
      </c>
      <c r="G450" t="s">
        <v>72</v>
      </c>
      <c r="H450">
        <v>1</v>
      </c>
      <c r="I450">
        <v>2003</v>
      </c>
      <c r="J450" t="s">
        <v>22</v>
      </c>
      <c r="K450" t="s">
        <v>117</v>
      </c>
    </row>
    <row r="451" spans="1:11">
      <c r="A451" t="s">
        <v>163</v>
      </c>
      <c r="B451">
        <v>10122</v>
      </c>
      <c r="C451">
        <v>34</v>
      </c>
      <c r="D451" s="21">
        <v>100</v>
      </c>
      <c r="E451" s="22">
        <v>37749</v>
      </c>
      <c r="F451" t="s">
        <v>13</v>
      </c>
      <c r="G451" t="s">
        <v>72</v>
      </c>
      <c r="H451">
        <v>2</v>
      </c>
      <c r="I451">
        <v>2003</v>
      </c>
      <c r="J451" t="s">
        <v>22</v>
      </c>
      <c r="K451" t="s">
        <v>164</v>
      </c>
    </row>
    <row r="452" spans="1:11">
      <c r="A452" t="s">
        <v>129</v>
      </c>
      <c r="B452">
        <v>10136</v>
      </c>
      <c r="C452">
        <v>25</v>
      </c>
      <c r="D452" s="21">
        <v>100</v>
      </c>
      <c r="E452" s="22">
        <v>37806</v>
      </c>
      <c r="F452" t="s">
        <v>13</v>
      </c>
      <c r="G452" t="s">
        <v>72</v>
      </c>
      <c r="H452">
        <v>3</v>
      </c>
      <c r="I452">
        <v>2003</v>
      </c>
      <c r="J452" t="s">
        <v>22</v>
      </c>
      <c r="K452" t="s">
        <v>130</v>
      </c>
    </row>
    <row r="453" spans="1:11">
      <c r="A453" t="s">
        <v>109</v>
      </c>
      <c r="B453">
        <v>10148</v>
      </c>
      <c r="C453">
        <v>23</v>
      </c>
      <c r="D453" s="21">
        <v>100</v>
      </c>
      <c r="E453" s="22">
        <v>37875</v>
      </c>
      <c r="F453" t="s">
        <v>13</v>
      </c>
      <c r="G453" t="s">
        <v>72</v>
      </c>
      <c r="H453">
        <v>3</v>
      </c>
      <c r="I453">
        <v>2003</v>
      </c>
      <c r="J453" t="s">
        <v>15</v>
      </c>
      <c r="K453" t="s">
        <v>110</v>
      </c>
    </row>
    <row r="454" spans="1:11">
      <c r="A454" t="s">
        <v>185</v>
      </c>
      <c r="B454">
        <v>10161</v>
      </c>
      <c r="C454">
        <v>28</v>
      </c>
      <c r="D454" s="21">
        <v>100</v>
      </c>
      <c r="E454" s="22">
        <v>37911</v>
      </c>
      <c r="F454" t="s">
        <v>13</v>
      </c>
      <c r="G454" t="s">
        <v>72</v>
      </c>
      <c r="H454">
        <v>4</v>
      </c>
      <c r="I454">
        <v>2003</v>
      </c>
      <c r="J454" t="s">
        <v>22</v>
      </c>
      <c r="K454" t="s">
        <v>186</v>
      </c>
    </row>
    <row r="455" spans="1:11">
      <c r="A455" t="s">
        <v>111</v>
      </c>
      <c r="B455">
        <v>10171</v>
      </c>
      <c r="C455">
        <v>35</v>
      </c>
      <c r="D455" s="21">
        <v>100</v>
      </c>
      <c r="E455" s="22">
        <v>37930</v>
      </c>
      <c r="F455" t="s">
        <v>13</v>
      </c>
      <c r="G455" t="s">
        <v>72</v>
      </c>
      <c r="H455">
        <v>4</v>
      </c>
      <c r="I455">
        <v>2003</v>
      </c>
      <c r="J455" t="s">
        <v>22</v>
      </c>
      <c r="K455" t="s">
        <v>112</v>
      </c>
    </row>
    <row r="456" spans="1:11">
      <c r="A456" t="s">
        <v>36</v>
      </c>
      <c r="B456">
        <v>10181</v>
      </c>
      <c r="C456">
        <v>44</v>
      </c>
      <c r="D456" s="21">
        <v>100</v>
      </c>
      <c r="E456" s="22">
        <v>37937</v>
      </c>
      <c r="F456" t="s">
        <v>13</v>
      </c>
      <c r="G456" t="s">
        <v>72</v>
      </c>
      <c r="H456">
        <v>4</v>
      </c>
      <c r="I456">
        <v>2003</v>
      </c>
      <c r="J456" t="s">
        <v>22</v>
      </c>
      <c r="K456" t="s">
        <v>37</v>
      </c>
    </row>
    <row r="457" spans="1:11">
      <c r="A457" t="s">
        <v>105</v>
      </c>
      <c r="B457">
        <v>10192</v>
      </c>
      <c r="C457">
        <v>22</v>
      </c>
      <c r="D457" s="21">
        <v>100</v>
      </c>
      <c r="E457" s="22">
        <v>37945</v>
      </c>
      <c r="F457" t="s">
        <v>13</v>
      </c>
      <c r="G457" t="s">
        <v>72</v>
      </c>
      <c r="H457">
        <v>4</v>
      </c>
      <c r="I457">
        <v>2003</v>
      </c>
      <c r="J457" t="s">
        <v>22</v>
      </c>
      <c r="K457" t="s">
        <v>106</v>
      </c>
    </row>
    <row r="458" spans="1:11">
      <c r="A458" t="s">
        <v>177</v>
      </c>
      <c r="B458">
        <v>10204</v>
      </c>
      <c r="C458">
        <v>42</v>
      </c>
      <c r="D458" s="21">
        <v>100</v>
      </c>
      <c r="E458" s="22">
        <v>37957</v>
      </c>
      <c r="F458" t="s">
        <v>13</v>
      </c>
      <c r="G458" t="s">
        <v>72</v>
      </c>
      <c r="H458">
        <v>4</v>
      </c>
      <c r="I458">
        <v>2003</v>
      </c>
      <c r="J458" t="s">
        <v>22</v>
      </c>
      <c r="K458" t="s">
        <v>178</v>
      </c>
    </row>
    <row r="459" spans="1:11">
      <c r="A459" t="s">
        <v>69</v>
      </c>
      <c r="B459">
        <v>10212</v>
      </c>
      <c r="C459">
        <v>29</v>
      </c>
      <c r="D459" s="21">
        <v>100</v>
      </c>
      <c r="E459" s="22">
        <v>38002</v>
      </c>
      <c r="F459" t="s">
        <v>13</v>
      </c>
      <c r="G459" t="s">
        <v>72</v>
      </c>
      <c r="H459">
        <v>1</v>
      </c>
      <c r="I459">
        <v>2004</v>
      </c>
      <c r="J459" t="s">
        <v>22</v>
      </c>
      <c r="K459" t="s">
        <v>71</v>
      </c>
    </row>
    <row r="460" spans="1:11">
      <c r="A460" t="s">
        <v>167</v>
      </c>
      <c r="B460">
        <v>10225</v>
      </c>
      <c r="C460">
        <v>32</v>
      </c>
      <c r="D460" s="21">
        <v>100</v>
      </c>
      <c r="E460" s="22">
        <v>38039</v>
      </c>
      <c r="F460" t="s">
        <v>13</v>
      </c>
      <c r="G460" t="s">
        <v>72</v>
      </c>
      <c r="H460">
        <v>1</v>
      </c>
      <c r="I460">
        <v>2004</v>
      </c>
      <c r="J460" t="s">
        <v>22</v>
      </c>
      <c r="K460" t="s">
        <v>168</v>
      </c>
    </row>
    <row r="461" spans="1:11">
      <c r="A461" t="s">
        <v>114</v>
      </c>
      <c r="B461">
        <v>10240</v>
      </c>
      <c r="C461">
        <v>41</v>
      </c>
      <c r="D461" s="21">
        <v>100</v>
      </c>
      <c r="E461" s="22">
        <v>38090</v>
      </c>
      <c r="F461" t="s">
        <v>13</v>
      </c>
      <c r="G461" t="s">
        <v>72</v>
      </c>
      <c r="H461">
        <v>2</v>
      </c>
      <c r="I461">
        <v>2004</v>
      </c>
      <c r="J461" t="s">
        <v>22</v>
      </c>
      <c r="K461" t="s">
        <v>115</v>
      </c>
    </row>
    <row r="462" spans="1:11">
      <c r="A462" t="s">
        <v>67</v>
      </c>
      <c r="B462">
        <v>10253</v>
      </c>
      <c r="C462">
        <v>26</v>
      </c>
      <c r="D462" s="21">
        <v>100</v>
      </c>
      <c r="E462" s="22">
        <v>38139</v>
      </c>
      <c r="F462" t="s">
        <v>128</v>
      </c>
      <c r="G462" t="s">
        <v>72</v>
      </c>
      <c r="H462">
        <v>2</v>
      </c>
      <c r="I462">
        <v>2004</v>
      </c>
      <c r="J462" t="s">
        <v>22</v>
      </c>
      <c r="K462" t="s">
        <v>68</v>
      </c>
    </row>
    <row r="463" spans="1:11">
      <c r="A463" t="s">
        <v>169</v>
      </c>
      <c r="B463">
        <v>10266</v>
      </c>
      <c r="C463">
        <v>21</v>
      </c>
      <c r="D463" s="21">
        <v>100</v>
      </c>
      <c r="E463" s="22">
        <v>38174</v>
      </c>
      <c r="F463" t="s">
        <v>13</v>
      </c>
      <c r="G463" t="s">
        <v>72</v>
      </c>
      <c r="H463">
        <v>3</v>
      </c>
      <c r="I463">
        <v>2004</v>
      </c>
      <c r="J463" t="s">
        <v>15</v>
      </c>
      <c r="K463" t="s">
        <v>170</v>
      </c>
    </row>
    <row r="464" spans="1:11">
      <c r="A464" t="s">
        <v>198</v>
      </c>
      <c r="B464">
        <v>10278</v>
      </c>
      <c r="C464">
        <v>34</v>
      </c>
      <c r="D464" s="21">
        <v>100</v>
      </c>
      <c r="E464" s="22">
        <v>38205</v>
      </c>
      <c r="F464" t="s">
        <v>13</v>
      </c>
      <c r="G464" t="s">
        <v>72</v>
      </c>
      <c r="H464">
        <v>3</v>
      </c>
      <c r="I464">
        <v>2004</v>
      </c>
      <c r="J464" t="s">
        <v>22</v>
      </c>
      <c r="K464" t="s">
        <v>199</v>
      </c>
    </row>
    <row r="465" spans="1:11">
      <c r="A465" t="s">
        <v>167</v>
      </c>
      <c r="B465">
        <v>10287</v>
      </c>
      <c r="C465">
        <v>41</v>
      </c>
      <c r="D465" s="21">
        <v>100</v>
      </c>
      <c r="E465" s="22">
        <v>38229</v>
      </c>
      <c r="F465" t="s">
        <v>13</v>
      </c>
      <c r="G465" t="s">
        <v>72</v>
      </c>
      <c r="H465">
        <v>3</v>
      </c>
      <c r="I465">
        <v>2004</v>
      </c>
      <c r="J465" t="s">
        <v>22</v>
      </c>
      <c r="K465" t="s">
        <v>168</v>
      </c>
    </row>
    <row r="466" spans="1:11">
      <c r="A466" t="s">
        <v>200</v>
      </c>
      <c r="B466">
        <v>10301</v>
      </c>
      <c r="C466">
        <v>37</v>
      </c>
      <c r="D466" s="21">
        <v>100</v>
      </c>
      <c r="E466" s="22">
        <v>37899</v>
      </c>
      <c r="F466" t="s">
        <v>13</v>
      </c>
      <c r="G466" t="s">
        <v>72</v>
      </c>
      <c r="H466">
        <v>4</v>
      </c>
      <c r="I466">
        <v>2003</v>
      </c>
      <c r="J466" t="s">
        <v>22</v>
      </c>
      <c r="K466" t="s">
        <v>201</v>
      </c>
    </row>
    <row r="467" spans="1:11">
      <c r="A467" t="s">
        <v>165</v>
      </c>
      <c r="B467">
        <v>10310</v>
      </c>
      <c r="C467">
        <v>37</v>
      </c>
      <c r="D467" s="21">
        <v>100</v>
      </c>
      <c r="E467" s="22">
        <v>38276</v>
      </c>
      <c r="F467" t="s">
        <v>13</v>
      </c>
      <c r="G467" t="s">
        <v>72</v>
      </c>
      <c r="H467">
        <v>4</v>
      </c>
      <c r="I467">
        <v>2004</v>
      </c>
      <c r="J467" t="s">
        <v>22</v>
      </c>
      <c r="K467" t="s">
        <v>166</v>
      </c>
    </row>
    <row r="468" spans="1:11">
      <c r="A468" t="s">
        <v>65</v>
      </c>
      <c r="B468">
        <v>10321</v>
      </c>
      <c r="C468">
        <v>41</v>
      </c>
      <c r="D468" s="21">
        <v>100</v>
      </c>
      <c r="E468" s="22">
        <v>38295</v>
      </c>
      <c r="F468" t="s">
        <v>13</v>
      </c>
      <c r="G468" t="s">
        <v>72</v>
      </c>
      <c r="H468">
        <v>4</v>
      </c>
      <c r="I468">
        <v>2004</v>
      </c>
      <c r="J468" t="s">
        <v>22</v>
      </c>
      <c r="K468" t="s">
        <v>66</v>
      </c>
    </row>
    <row r="469" spans="1:11">
      <c r="A469" t="s">
        <v>116</v>
      </c>
      <c r="B469">
        <v>10331</v>
      </c>
      <c r="C469">
        <v>46</v>
      </c>
      <c r="D469" s="21">
        <v>100</v>
      </c>
      <c r="E469" s="22">
        <v>38308</v>
      </c>
      <c r="F469" t="s">
        <v>13</v>
      </c>
      <c r="G469" t="s">
        <v>72</v>
      </c>
      <c r="H469">
        <v>4</v>
      </c>
      <c r="I469">
        <v>2004</v>
      </c>
      <c r="J469" t="s">
        <v>22</v>
      </c>
      <c r="K469" t="s">
        <v>117</v>
      </c>
    </row>
    <row r="470" spans="1:11">
      <c r="A470" t="s">
        <v>42</v>
      </c>
      <c r="B470">
        <v>10342</v>
      </c>
      <c r="C470">
        <v>40</v>
      </c>
      <c r="D470" s="21">
        <v>100</v>
      </c>
      <c r="E470" s="22">
        <v>38315</v>
      </c>
      <c r="F470" t="s">
        <v>13</v>
      </c>
      <c r="G470" t="s">
        <v>72</v>
      </c>
      <c r="H470">
        <v>4</v>
      </c>
      <c r="I470">
        <v>2004</v>
      </c>
      <c r="J470" t="s">
        <v>22</v>
      </c>
      <c r="K470" t="s">
        <v>43</v>
      </c>
    </row>
    <row r="471" spans="1:11">
      <c r="A471" t="s">
        <v>21</v>
      </c>
      <c r="B471">
        <v>10356</v>
      </c>
      <c r="C471">
        <v>43</v>
      </c>
      <c r="D471" s="21">
        <v>97.6</v>
      </c>
      <c r="E471" s="22">
        <v>38330</v>
      </c>
      <c r="F471" t="s">
        <v>13</v>
      </c>
      <c r="G471" t="s">
        <v>72</v>
      </c>
      <c r="H471">
        <v>4</v>
      </c>
      <c r="I471">
        <v>2004</v>
      </c>
      <c r="J471" t="s">
        <v>22</v>
      </c>
      <c r="K471" t="s">
        <v>23</v>
      </c>
    </row>
    <row r="472" spans="1:11">
      <c r="A472" t="s">
        <v>126</v>
      </c>
      <c r="B472">
        <v>10365</v>
      </c>
      <c r="C472">
        <v>30</v>
      </c>
      <c r="D472" s="21">
        <v>87.06</v>
      </c>
      <c r="E472" s="22">
        <v>38359</v>
      </c>
      <c r="F472" t="s">
        <v>13</v>
      </c>
      <c r="G472" t="s">
        <v>72</v>
      </c>
      <c r="H472">
        <v>1</v>
      </c>
      <c r="I472">
        <v>2005</v>
      </c>
      <c r="J472" t="s">
        <v>15</v>
      </c>
      <c r="K472" t="s">
        <v>127</v>
      </c>
    </row>
    <row r="473" spans="1:11">
      <c r="A473" t="s">
        <v>54</v>
      </c>
      <c r="B473">
        <v>10377</v>
      </c>
      <c r="C473">
        <v>35</v>
      </c>
      <c r="D473" s="21">
        <v>100</v>
      </c>
      <c r="E473" s="22">
        <v>38392</v>
      </c>
      <c r="F473" t="s">
        <v>13</v>
      </c>
      <c r="G473" t="s">
        <v>72</v>
      </c>
      <c r="H473">
        <v>1</v>
      </c>
      <c r="I473">
        <v>2005</v>
      </c>
      <c r="J473" t="s">
        <v>22</v>
      </c>
      <c r="K473" t="s">
        <v>55</v>
      </c>
    </row>
    <row r="474" spans="1:11">
      <c r="A474" t="s">
        <v>103</v>
      </c>
      <c r="B474">
        <v>10390</v>
      </c>
      <c r="C474">
        <v>36</v>
      </c>
      <c r="D474" s="21">
        <v>93.77</v>
      </c>
      <c r="E474" s="22">
        <v>38415</v>
      </c>
      <c r="F474" t="s">
        <v>13</v>
      </c>
      <c r="G474" t="s">
        <v>72</v>
      </c>
      <c r="H474">
        <v>1</v>
      </c>
      <c r="I474">
        <v>2005</v>
      </c>
      <c r="J474" t="s">
        <v>22</v>
      </c>
      <c r="K474" t="s">
        <v>104</v>
      </c>
    </row>
    <row r="475" spans="1:11">
      <c r="A475" t="s">
        <v>122</v>
      </c>
      <c r="B475">
        <v>10406</v>
      </c>
      <c r="C475">
        <v>61</v>
      </c>
      <c r="D475" s="21">
        <v>100</v>
      </c>
      <c r="E475" s="22">
        <v>38457</v>
      </c>
      <c r="F475" t="s">
        <v>70</v>
      </c>
      <c r="G475" t="s">
        <v>72</v>
      </c>
      <c r="H475">
        <v>2</v>
      </c>
      <c r="I475">
        <v>2005</v>
      </c>
      <c r="J475" t="s">
        <v>61</v>
      </c>
      <c r="K475" t="s">
        <v>123</v>
      </c>
    </row>
    <row r="476" spans="1:11">
      <c r="A476" t="s">
        <v>60</v>
      </c>
      <c r="B476">
        <v>10419</v>
      </c>
      <c r="C476">
        <v>38</v>
      </c>
      <c r="D476" s="21">
        <v>100</v>
      </c>
      <c r="E476" s="22">
        <v>38489</v>
      </c>
      <c r="F476" t="s">
        <v>13</v>
      </c>
      <c r="G476" t="s">
        <v>72</v>
      </c>
      <c r="H476">
        <v>2</v>
      </c>
      <c r="I476">
        <v>2005</v>
      </c>
      <c r="J476" t="s">
        <v>22</v>
      </c>
      <c r="K476" t="s">
        <v>62</v>
      </c>
    </row>
    <row r="477" spans="1:11">
      <c r="A477" t="s">
        <v>44</v>
      </c>
      <c r="B477">
        <v>10102</v>
      </c>
      <c r="C477">
        <v>39</v>
      </c>
      <c r="D477" s="21">
        <v>100</v>
      </c>
      <c r="E477" s="22">
        <v>37631</v>
      </c>
      <c r="F477" t="s">
        <v>13</v>
      </c>
      <c r="G477" t="s">
        <v>202</v>
      </c>
      <c r="H477">
        <v>1</v>
      </c>
      <c r="I477">
        <v>2003</v>
      </c>
      <c r="J477" t="s">
        <v>22</v>
      </c>
      <c r="K477" t="s">
        <v>45</v>
      </c>
    </row>
    <row r="478" spans="1:11">
      <c r="A478" t="s">
        <v>38</v>
      </c>
      <c r="B478">
        <v>10111</v>
      </c>
      <c r="C478">
        <v>33</v>
      </c>
      <c r="D478" s="21">
        <v>99.66</v>
      </c>
      <c r="E478" s="22">
        <v>37705</v>
      </c>
      <c r="F478" t="s">
        <v>13</v>
      </c>
      <c r="G478" t="s">
        <v>202</v>
      </c>
      <c r="H478">
        <v>1</v>
      </c>
      <c r="I478">
        <v>2003</v>
      </c>
      <c r="J478" t="s">
        <v>22</v>
      </c>
      <c r="K478" t="s">
        <v>39</v>
      </c>
    </row>
    <row r="479" spans="1:11">
      <c r="A479" t="s">
        <v>42</v>
      </c>
      <c r="B479">
        <v>10125</v>
      </c>
      <c r="C479">
        <v>32</v>
      </c>
      <c r="D479" s="21">
        <v>100</v>
      </c>
      <c r="E479" s="22">
        <v>37762</v>
      </c>
      <c r="F479" t="s">
        <v>13</v>
      </c>
      <c r="G479" t="s">
        <v>202</v>
      </c>
      <c r="H479">
        <v>2</v>
      </c>
      <c r="I479">
        <v>2003</v>
      </c>
      <c r="J479" t="s">
        <v>22</v>
      </c>
      <c r="K479" t="s">
        <v>43</v>
      </c>
    </row>
    <row r="480" spans="1:11">
      <c r="A480" t="s">
        <v>63</v>
      </c>
      <c r="B480">
        <v>10139</v>
      </c>
      <c r="C480">
        <v>31</v>
      </c>
      <c r="D480" s="21">
        <v>100</v>
      </c>
      <c r="E480" s="22">
        <v>37818</v>
      </c>
      <c r="F480" t="s">
        <v>13</v>
      </c>
      <c r="G480" t="s">
        <v>202</v>
      </c>
      <c r="H480">
        <v>3</v>
      </c>
      <c r="I480">
        <v>2003</v>
      </c>
      <c r="J480" t="s">
        <v>22</v>
      </c>
      <c r="K480" t="s">
        <v>64</v>
      </c>
    </row>
    <row r="481" spans="1:11">
      <c r="A481" t="s">
        <v>194</v>
      </c>
      <c r="B481">
        <v>10149</v>
      </c>
      <c r="C481">
        <v>50</v>
      </c>
      <c r="D481" s="21">
        <v>100</v>
      </c>
      <c r="E481" s="22">
        <v>37876</v>
      </c>
      <c r="F481" t="s">
        <v>13</v>
      </c>
      <c r="G481" t="s">
        <v>202</v>
      </c>
      <c r="H481">
        <v>3</v>
      </c>
      <c r="I481">
        <v>2003</v>
      </c>
      <c r="J481" t="s">
        <v>22</v>
      </c>
      <c r="K481" t="s">
        <v>195</v>
      </c>
    </row>
    <row r="482" spans="1:11">
      <c r="A482" t="s">
        <v>28</v>
      </c>
      <c r="B482">
        <v>10162</v>
      </c>
      <c r="C482">
        <v>48</v>
      </c>
      <c r="D482" s="21">
        <v>91.44</v>
      </c>
      <c r="E482" s="22">
        <v>37912</v>
      </c>
      <c r="F482" t="s">
        <v>13</v>
      </c>
      <c r="G482" t="s">
        <v>202</v>
      </c>
      <c r="H482">
        <v>4</v>
      </c>
      <c r="I482">
        <v>2003</v>
      </c>
      <c r="J482" t="s">
        <v>22</v>
      </c>
      <c r="K482" t="s">
        <v>29</v>
      </c>
    </row>
    <row r="483" spans="1:11">
      <c r="A483" t="s">
        <v>203</v>
      </c>
      <c r="B483">
        <v>10173</v>
      </c>
      <c r="C483">
        <v>43</v>
      </c>
      <c r="D483" s="21">
        <v>100</v>
      </c>
      <c r="E483" s="22">
        <v>37930</v>
      </c>
      <c r="F483" t="s">
        <v>13</v>
      </c>
      <c r="G483" t="s">
        <v>202</v>
      </c>
      <c r="H483">
        <v>4</v>
      </c>
      <c r="I483">
        <v>2003</v>
      </c>
      <c r="J483" t="s">
        <v>22</v>
      </c>
      <c r="K483" t="s">
        <v>204</v>
      </c>
    </row>
    <row r="484" spans="1:11">
      <c r="A484" t="s">
        <v>103</v>
      </c>
      <c r="B484">
        <v>10182</v>
      </c>
      <c r="C484">
        <v>25</v>
      </c>
      <c r="D484" s="21">
        <v>87.33</v>
      </c>
      <c r="E484" s="22">
        <v>37937</v>
      </c>
      <c r="F484" t="s">
        <v>13</v>
      </c>
      <c r="G484" t="s">
        <v>202</v>
      </c>
      <c r="H484">
        <v>4</v>
      </c>
      <c r="I484">
        <v>2003</v>
      </c>
      <c r="J484" t="s">
        <v>15</v>
      </c>
      <c r="K484" t="s">
        <v>104</v>
      </c>
    </row>
    <row r="485" spans="1:11">
      <c r="A485" t="s">
        <v>205</v>
      </c>
      <c r="B485">
        <v>10193</v>
      </c>
      <c r="C485">
        <v>28</v>
      </c>
      <c r="D485" s="21">
        <v>100</v>
      </c>
      <c r="E485" s="22">
        <v>37946</v>
      </c>
      <c r="F485" t="s">
        <v>13</v>
      </c>
      <c r="G485" t="s">
        <v>202</v>
      </c>
      <c r="H485">
        <v>4</v>
      </c>
      <c r="I485">
        <v>2003</v>
      </c>
      <c r="J485" t="s">
        <v>22</v>
      </c>
      <c r="K485" t="s">
        <v>206</v>
      </c>
    </row>
    <row r="486" spans="1:11">
      <c r="A486" t="s">
        <v>69</v>
      </c>
      <c r="B486">
        <v>10205</v>
      </c>
      <c r="C486">
        <v>36</v>
      </c>
      <c r="D486" s="21">
        <v>100</v>
      </c>
      <c r="E486" s="22">
        <v>37958</v>
      </c>
      <c r="F486" t="s">
        <v>13</v>
      </c>
      <c r="G486" t="s">
        <v>202</v>
      </c>
      <c r="H486">
        <v>4</v>
      </c>
      <c r="I486">
        <v>2003</v>
      </c>
      <c r="J486" t="s">
        <v>22</v>
      </c>
      <c r="K486" t="s">
        <v>71</v>
      </c>
    </row>
    <row r="487" spans="1:11">
      <c r="A487" t="s">
        <v>89</v>
      </c>
      <c r="B487">
        <v>10215</v>
      </c>
      <c r="C487">
        <v>27</v>
      </c>
      <c r="D487" s="21">
        <v>89.38</v>
      </c>
      <c r="E487" s="22">
        <v>38015</v>
      </c>
      <c r="F487" t="s">
        <v>13</v>
      </c>
      <c r="G487" t="s">
        <v>202</v>
      </c>
      <c r="H487">
        <v>1</v>
      </c>
      <c r="I487">
        <v>2004</v>
      </c>
      <c r="J487" t="s">
        <v>15</v>
      </c>
      <c r="K487" t="s">
        <v>90</v>
      </c>
    </row>
    <row r="488" spans="1:11">
      <c r="A488" t="s">
        <v>85</v>
      </c>
      <c r="B488">
        <v>10227</v>
      </c>
      <c r="C488">
        <v>25</v>
      </c>
      <c r="D488" s="21">
        <v>100</v>
      </c>
      <c r="E488" s="22">
        <v>38048</v>
      </c>
      <c r="F488" t="s">
        <v>13</v>
      </c>
      <c r="G488" t="s">
        <v>202</v>
      </c>
      <c r="H488">
        <v>1</v>
      </c>
      <c r="I488">
        <v>2004</v>
      </c>
      <c r="J488" t="s">
        <v>15</v>
      </c>
      <c r="K488" t="s">
        <v>86</v>
      </c>
    </row>
    <row r="489" spans="1:11">
      <c r="A489" t="s">
        <v>69</v>
      </c>
      <c r="B489">
        <v>10244</v>
      </c>
      <c r="C489">
        <v>40</v>
      </c>
      <c r="D489" s="21">
        <v>100</v>
      </c>
      <c r="E489" s="22">
        <v>38106</v>
      </c>
      <c r="F489" t="s">
        <v>13</v>
      </c>
      <c r="G489" t="s">
        <v>202</v>
      </c>
      <c r="H489">
        <v>2</v>
      </c>
      <c r="I489">
        <v>2004</v>
      </c>
      <c r="J489" t="s">
        <v>22</v>
      </c>
      <c r="K489" t="s">
        <v>71</v>
      </c>
    </row>
    <row r="490" spans="1:11">
      <c r="A490" t="s">
        <v>122</v>
      </c>
      <c r="B490">
        <v>10256</v>
      </c>
      <c r="C490">
        <v>34</v>
      </c>
      <c r="D490" s="21">
        <v>95.55</v>
      </c>
      <c r="E490" s="22">
        <v>38146</v>
      </c>
      <c r="F490" t="s">
        <v>13</v>
      </c>
      <c r="G490" t="s">
        <v>202</v>
      </c>
      <c r="H490">
        <v>2</v>
      </c>
      <c r="I490">
        <v>2004</v>
      </c>
      <c r="J490" t="s">
        <v>22</v>
      </c>
      <c r="K490" t="s">
        <v>123</v>
      </c>
    </row>
    <row r="491" spans="1:11">
      <c r="A491" t="s">
        <v>97</v>
      </c>
      <c r="B491">
        <v>10280</v>
      </c>
      <c r="C491">
        <v>50</v>
      </c>
      <c r="D491" s="21">
        <v>100</v>
      </c>
      <c r="E491" s="22">
        <v>38216</v>
      </c>
      <c r="F491" t="s">
        <v>13</v>
      </c>
      <c r="G491" t="s">
        <v>202</v>
      </c>
      <c r="H491">
        <v>3</v>
      </c>
      <c r="I491">
        <v>2004</v>
      </c>
      <c r="J491" t="s">
        <v>22</v>
      </c>
      <c r="K491" t="s">
        <v>98</v>
      </c>
    </row>
    <row r="492" spans="1:11">
      <c r="A492" t="s">
        <v>36</v>
      </c>
      <c r="B492">
        <v>10289</v>
      </c>
      <c r="C492">
        <v>38</v>
      </c>
      <c r="D492" s="21">
        <v>100</v>
      </c>
      <c r="E492" s="22">
        <v>38233</v>
      </c>
      <c r="F492" t="s">
        <v>13</v>
      </c>
      <c r="G492" t="s">
        <v>202</v>
      </c>
      <c r="H492">
        <v>3</v>
      </c>
      <c r="I492">
        <v>2004</v>
      </c>
      <c r="J492" t="s">
        <v>22</v>
      </c>
      <c r="K492" t="s">
        <v>37</v>
      </c>
    </row>
    <row r="493" spans="1:11">
      <c r="A493" t="s">
        <v>101</v>
      </c>
      <c r="B493">
        <v>10304</v>
      </c>
      <c r="C493">
        <v>37</v>
      </c>
      <c r="D493" s="21">
        <v>95.55</v>
      </c>
      <c r="E493" s="22">
        <v>38271</v>
      </c>
      <c r="F493" t="s">
        <v>13</v>
      </c>
      <c r="G493" t="s">
        <v>202</v>
      </c>
      <c r="H493">
        <v>4</v>
      </c>
      <c r="I493">
        <v>2004</v>
      </c>
      <c r="J493" t="s">
        <v>22</v>
      </c>
      <c r="K493" t="s">
        <v>102</v>
      </c>
    </row>
    <row r="494" spans="1:11">
      <c r="A494" t="s">
        <v>103</v>
      </c>
      <c r="B494">
        <v>10312</v>
      </c>
      <c r="C494">
        <v>43</v>
      </c>
      <c r="D494" s="21">
        <v>89.38</v>
      </c>
      <c r="E494" s="22">
        <v>38281</v>
      </c>
      <c r="F494" t="s">
        <v>13</v>
      </c>
      <c r="G494" t="s">
        <v>202</v>
      </c>
      <c r="H494">
        <v>4</v>
      </c>
      <c r="I494">
        <v>2004</v>
      </c>
      <c r="J494" t="s">
        <v>22</v>
      </c>
      <c r="K494" t="s">
        <v>104</v>
      </c>
    </row>
    <row r="495" spans="1:11">
      <c r="A495" t="s">
        <v>105</v>
      </c>
      <c r="B495">
        <v>10322</v>
      </c>
      <c r="C495">
        <v>43</v>
      </c>
      <c r="D495" s="21">
        <v>86.3</v>
      </c>
      <c r="E495" s="22">
        <v>38295</v>
      </c>
      <c r="F495" t="s">
        <v>13</v>
      </c>
      <c r="G495" t="s">
        <v>202</v>
      </c>
      <c r="H495">
        <v>4</v>
      </c>
      <c r="I495">
        <v>2004</v>
      </c>
      <c r="J495" t="s">
        <v>22</v>
      </c>
      <c r="K495" t="s">
        <v>106</v>
      </c>
    </row>
    <row r="496" spans="1:11">
      <c r="A496" t="s">
        <v>183</v>
      </c>
      <c r="B496">
        <v>10332</v>
      </c>
      <c r="C496">
        <v>46</v>
      </c>
      <c r="D496" s="21">
        <v>95.13</v>
      </c>
      <c r="E496" s="22">
        <v>38308</v>
      </c>
      <c r="F496" t="s">
        <v>13</v>
      </c>
      <c r="G496" t="s">
        <v>202</v>
      </c>
      <c r="H496">
        <v>4</v>
      </c>
      <c r="I496">
        <v>2004</v>
      </c>
      <c r="J496" t="s">
        <v>22</v>
      </c>
      <c r="K496" t="s">
        <v>184</v>
      </c>
    </row>
    <row r="497" spans="1:11">
      <c r="A497" t="s">
        <v>198</v>
      </c>
      <c r="B497">
        <v>10346</v>
      </c>
      <c r="C497">
        <v>42</v>
      </c>
      <c r="D497" s="21">
        <v>36.11</v>
      </c>
      <c r="E497" s="22">
        <v>38320</v>
      </c>
      <c r="F497" t="s">
        <v>13</v>
      </c>
      <c r="G497" t="s">
        <v>202</v>
      </c>
      <c r="H497">
        <v>4</v>
      </c>
      <c r="I497">
        <v>2004</v>
      </c>
      <c r="J497" t="s">
        <v>15</v>
      </c>
      <c r="K497" t="s">
        <v>199</v>
      </c>
    </row>
    <row r="498" spans="1:11">
      <c r="A498" t="s">
        <v>21</v>
      </c>
      <c r="B498">
        <v>10356</v>
      </c>
      <c r="C498">
        <v>50</v>
      </c>
      <c r="D498" s="21">
        <v>50.18</v>
      </c>
      <c r="E498" s="22">
        <v>38330</v>
      </c>
      <c r="F498" t="s">
        <v>13</v>
      </c>
      <c r="G498" t="s">
        <v>202</v>
      </c>
      <c r="H498">
        <v>4</v>
      </c>
      <c r="I498">
        <v>2004</v>
      </c>
      <c r="J498" t="s">
        <v>15</v>
      </c>
      <c r="K498" t="s">
        <v>23</v>
      </c>
    </row>
    <row r="499" spans="1:11">
      <c r="A499" t="s">
        <v>107</v>
      </c>
      <c r="B499">
        <v>10369</v>
      </c>
      <c r="C499">
        <v>44</v>
      </c>
      <c r="D499" s="21">
        <v>100</v>
      </c>
      <c r="E499" s="22">
        <v>38372</v>
      </c>
      <c r="F499" t="s">
        <v>13</v>
      </c>
      <c r="G499" t="s">
        <v>202</v>
      </c>
      <c r="H499">
        <v>1</v>
      </c>
      <c r="I499">
        <v>2005</v>
      </c>
      <c r="J499" t="s">
        <v>61</v>
      </c>
      <c r="K499" t="s">
        <v>108</v>
      </c>
    </row>
    <row r="500" spans="1:11">
      <c r="A500" t="s">
        <v>69</v>
      </c>
      <c r="B500">
        <v>10380</v>
      </c>
      <c r="C500">
        <v>27</v>
      </c>
      <c r="D500" s="21">
        <v>93.16</v>
      </c>
      <c r="E500" s="22">
        <v>38399</v>
      </c>
      <c r="F500" t="s">
        <v>13</v>
      </c>
      <c r="G500" t="s">
        <v>202</v>
      </c>
      <c r="H500">
        <v>1</v>
      </c>
      <c r="I500">
        <v>2005</v>
      </c>
      <c r="J500" t="s">
        <v>15</v>
      </c>
      <c r="K500" t="s">
        <v>71</v>
      </c>
    </row>
    <row r="501" spans="1:11">
      <c r="A501" t="s">
        <v>109</v>
      </c>
      <c r="B501">
        <v>10391</v>
      </c>
      <c r="C501">
        <v>35</v>
      </c>
      <c r="D501" s="21">
        <v>100</v>
      </c>
      <c r="E501" s="22">
        <v>38420</v>
      </c>
      <c r="F501" t="s">
        <v>13</v>
      </c>
      <c r="G501" t="s">
        <v>202</v>
      </c>
      <c r="H501">
        <v>1</v>
      </c>
      <c r="I501">
        <v>2005</v>
      </c>
      <c r="J501" t="s">
        <v>22</v>
      </c>
      <c r="K501" t="s">
        <v>110</v>
      </c>
    </row>
    <row r="502" spans="1:11">
      <c r="A502" t="s">
        <v>58</v>
      </c>
      <c r="B502">
        <v>10422</v>
      </c>
      <c r="C502">
        <v>51</v>
      </c>
      <c r="D502" s="21">
        <v>95.55</v>
      </c>
      <c r="E502" s="22">
        <v>38502</v>
      </c>
      <c r="F502" t="s">
        <v>113</v>
      </c>
      <c r="G502" t="s">
        <v>202</v>
      </c>
      <c r="H502">
        <v>2</v>
      </c>
      <c r="I502">
        <v>2005</v>
      </c>
      <c r="J502" t="s">
        <v>22</v>
      </c>
      <c r="K502" t="s">
        <v>59</v>
      </c>
    </row>
    <row r="503" spans="1:11">
      <c r="A503" t="s">
        <v>44</v>
      </c>
      <c r="B503">
        <v>10102</v>
      </c>
      <c r="C503">
        <v>41</v>
      </c>
      <c r="D503" s="21">
        <v>50.14</v>
      </c>
      <c r="E503" s="22">
        <v>37631</v>
      </c>
      <c r="F503" t="s">
        <v>13</v>
      </c>
      <c r="G503" t="s">
        <v>202</v>
      </c>
      <c r="H503">
        <v>1</v>
      </c>
      <c r="I503">
        <v>2003</v>
      </c>
      <c r="J503" t="s">
        <v>15</v>
      </c>
      <c r="K503" t="s">
        <v>45</v>
      </c>
    </row>
    <row r="504" spans="1:11">
      <c r="A504" t="s">
        <v>38</v>
      </c>
      <c r="B504">
        <v>10111</v>
      </c>
      <c r="C504">
        <v>48</v>
      </c>
      <c r="D504" s="21">
        <v>49.06</v>
      </c>
      <c r="E504" s="22">
        <v>37705</v>
      </c>
      <c r="F504" t="s">
        <v>13</v>
      </c>
      <c r="G504" t="s">
        <v>202</v>
      </c>
      <c r="H504">
        <v>1</v>
      </c>
      <c r="I504">
        <v>2003</v>
      </c>
      <c r="J504" t="s">
        <v>15</v>
      </c>
      <c r="K504" t="s">
        <v>39</v>
      </c>
    </row>
    <row r="505" spans="1:11">
      <c r="A505" t="s">
        <v>75</v>
      </c>
      <c r="B505">
        <v>10126</v>
      </c>
      <c r="C505">
        <v>42</v>
      </c>
      <c r="D505" s="21">
        <v>54.99</v>
      </c>
      <c r="E505" s="22">
        <v>37769</v>
      </c>
      <c r="F505" t="s">
        <v>13</v>
      </c>
      <c r="G505" t="s">
        <v>202</v>
      </c>
      <c r="H505">
        <v>2</v>
      </c>
      <c r="I505">
        <v>2003</v>
      </c>
      <c r="J505" t="s">
        <v>15</v>
      </c>
      <c r="K505" t="s">
        <v>76</v>
      </c>
    </row>
    <row r="506" spans="1:11">
      <c r="A506" t="s">
        <v>63</v>
      </c>
      <c r="B506">
        <v>10139</v>
      </c>
      <c r="C506">
        <v>49</v>
      </c>
      <c r="D506" s="21">
        <v>43.13</v>
      </c>
      <c r="E506" s="22">
        <v>37818</v>
      </c>
      <c r="F506" t="s">
        <v>13</v>
      </c>
      <c r="G506" t="s">
        <v>202</v>
      </c>
      <c r="H506">
        <v>3</v>
      </c>
      <c r="I506">
        <v>2003</v>
      </c>
      <c r="J506" t="s">
        <v>15</v>
      </c>
      <c r="K506" t="s">
        <v>64</v>
      </c>
    </row>
    <row r="507" spans="1:11">
      <c r="A507" t="s">
        <v>194</v>
      </c>
      <c r="B507">
        <v>10149</v>
      </c>
      <c r="C507">
        <v>30</v>
      </c>
      <c r="D507" s="21">
        <v>58.22</v>
      </c>
      <c r="E507" s="22">
        <v>37876</v>
      </c>
      <c r="F507" t="s">
        <v>13</v>
      </c>
      <c r="G507" t="s">
        <v>202</v>
      </c>
      <c r="H507">
        <v>3</v>
      </c>
      <c r="I507">
        <v>2003</v>
      </c>
      <c r="J507" t="s">
        <v>15</v>
      </c>
      <c r="K507" t="s">
        <v>195</v>
      </c>
    </row>
    <row r="508" spans="1:11">
      <c r="A508" t="s">
        <v>28</v>
      </c>
      <c r="B508">
        <v>10162</v>
      </c>
      <c r="C508">
        <v>45</v>
      </c>
      <c r="D508" s="21">
        <v>51.21</v>
      </c>
      <c r="E508" s="22">
        <v>37912</v>
      </c>
      <c r="F508" t="s">
        <v>13</v>
      </c>
      <c r="G508" t="s">
        <v>202</v>
      </c>
      <c r="H508">
        <v>4</v>
      </c>
      <c r="I508">
        <v>2003</v>
      </c>
      <c r="J508" t="s">
        <v>15</v>
      </c>
      <c r="K508" t="s">
        <v>29</v>
      </c>
    </row>
    <row r="509" spans="1:11">
      <c r="A509" t="s">
        <v>203</v>
      </c>
      <c r="B509">
        <v>10173</v>
      </c>
      <c r="C509">
        <v>48</v>
      </c>
      <c r="D509" s="21">
        <v>44.21</v>
      </c>
      <c r="E509" s="22">
        <v>37930</v>
      </c>
      <c r="F509" t="s">
        <v>13</v>
      </c>
      <c r="G509" t="s">
        <v>202</v>
      </c>
      <c r="H509">
        <v>4</v>
      </c>
      <c r="I509">
        <v>2003</v>
      </c>
      <c r="J509" t="s">
        <v>15</v>
      </c>
      <c r="K509" t="s">
        <v>204</v>
      </c>
    </row>
    <row r="510" spans="1:11">
      <c r="A510" t="s">
        <v>103</v>
      </c>
      <c r="B510">
        <v>10182</v>
      </c>
      <c r="C510">
        <v>32</v>
      </c>
      <c r="D510" s="21">
        <v>54.45</v>
      </c>
      <c r="E510" s="22">
        <v>37937</v>
      </c>
      <c r="F510" t="s">
        <v>13</v>
      </c>
      <c r="G510" t="s">
        <v>202</v>
      </c>
      <c r="H510">
        <v>4</v>
      </c>
      <c r="I510">
        <v>2003</v>
      </c>
      <c r="J510" t="s">
        <v>15</v>
      </c>
      <c r="K510" t="s">
        <v>104</v>
      </c>
    </row>
    <row r="511" spans="1:11">
      <c r="A511" t="s">
        <v>205</v>
      </c>
      <c r="B511">
        <v>10193</v>
      </c>
      <c r="C511">
        <v>46</v>
      </c>
      <c r="D511" s="21">
        <v>53.37</v>
      </c>
      <c r="E511" s="22">
        <v>37946</v>
      </c>
      <c r="F511" t="s">
        <v>13</v>
      </c>
      <c r="G511" t="s">
        <v>202</v>
      </c>
      <c r="H511">
        <v>4</v>
      </c>
      <c r="I511">
        <v>2003</v>
      </c>
      <c r="J511" t="s">
        <v>15</v>
      </c>
      <c r="K511" t="s">
        <v>206</v>
      </c>
    </row>
    <row r="512" spans="1:11">
      <c r="A512" t="s">
        <v>69</v>
      </c>
      <c r="B512">
        <v>10205</v>
      </c>
      <c r="C512">
        <v>48</v>
      </c>
      <c r="D512" s="21">
        <v>63.61</v>
      </c>
      <c r="E512" s="22">
        <v>37958</v>
      </c>
      <c r="F512" t="s">
        <v>13</v>
      </c>
      <c r="G512" t="s">
        <v>202</v>
      </c>
      <c r="H512">
        <v>4</v>
      </c>
      <c r="I512">
        <v>2003</v>
      </c>
      <c r="J512" t="s">
        <v>22</v>
      </c>
      <c r="K512" t="s">
        <v>71</v>
      </c>
    </row>
    <row r="513" spans="1:11">
      <c r="A513" t="s">
        <v>89</v>
      </c>
      <c r="B513">
        <v>10215</v>
      </c>
      <c r="C513">
        <v>33</v>
      </c>
      <c r="D513" s="21">
        <v>43.13</v>
      </c>
      <c r="E513" s="22">
        <v>38015</v>
      </c>
      <c r="F513" t="s">
        <v>13</v>
      </c>
      <c r="G513" t="s">
        <v>202</v>
      </c>
      <c r="H513">
        <v>1</v>
      </c>
      <c r="I513">
        <v>2004</v>
      </c>
      <c r="J513" t="s">
        <v>15</v>
      </c>
      <c r="K513" t="s">
        <v>90</v>
      </c>
    </row>
    <row r="514" spans="1:11">
      <c r="A514" t="s">
        <v>85</v>
      </c>
      <c r="B514">
        <v>10227</v>
      </c>
      <c r="C514">
        <v>31</v>
      </c>
      <c r="D514" s="21">
        <v>48.52</v>
      </c>
      <c r="E514" s="22">
        <v>38048</v>
      </c>
      <c r="F514" t="s">
        <v>13</v>
      </c>
      <c r="G514" t="s">
        <v>202</v>
      </c>
      <c r="H514">
        <v>1</v>
      </c>
      <c r="I514">
        <v>2004</v>
      </c>
      <c r="J514" t="s">
        <v>15</v>
      </c>
      <c r="K514" t="s">
        <v>86</v>
      </c>
    </row>
    <row r="515" spans="1:11">
      <c r="A515" t="s">
        <v>69</v>
      </c>
      <c r="B515">
        <v>10244</v>
      </c>
      <c r="C515">
        <v>20</v>
      </c>
      <c r="D515" s="21">
        <v>58.22</v>
      </c>
      <c r="E515" s="22">
        <v>38106</v>
      </c>
      <c r="F515" t="s">
        <v>13</v>
      </c>
      <c r="G515" t="s">
        <v>202</v>
      </c>
      <c r="H515">
        <v>2</v>
      </c>
      <c r="I515">
        <v>2004</v>
      </c>
      <c r="J515" t="s">
        <v>15</v>
      </c>
      <c r="K515" t="s">
        <v>71</v>
      </c>
    </row>
    <row r="516" spans="1:11">
      <c r="A516" t="s">
        <v>122</v>
      </c>
      <c r="B516">
        <v>10256</v>
      </c>
      <c r="C516">
        <v>29</v>
      </c>
      <c r="D516" s="21">
        <v>51.75</v>
      </c>
      <c r="E516" s="22">
        <v>38146</v>
      </c>
      <c r="F516" t="s">
        <v>13</v>
      </c>
      <c r="G516" t="s">
        <v>202</v>
      </c>
      <c r="H516">
        <v>2</v>
      </c>
      <c r="I516">
        <v>2004</v>
      </c>
      <c r="J516" t="s">
        <v>15</v>
      </c>
      <c r="K516" t="s">
        <v>123</v>
      </c>
    </row>
    <row r="517" spans="1:11">
      <c r="A517" t="s">
        <v>97</v>
      </c>
      <c r="B517">
        <v>10280</v>
      </c>
      <c r="C517">
        <v>27</v>
      </c>
      <c r="D517" s="21">
        <v>57.68</v>
      </c>
      <c r="E517" s="22">
        <v>38216</v>
      </c>
      <c r="F517" t="s">
        <v>13</v>
      </c>
      <c r="G517" t="s">
        <v>202</v>
      </c>
      <c r="H517">
        <v>3</v>
      </c>
      <c r="I517">
        <v>2004</v>
      </c>
      <c r="J517" t="s">
        <v>15</v>
      </c>
      <c r="K517" t="s">
        <v>98</v>
      </c>
    </row>
    <row r="518" spans="1:11">
      <c r="A518" t="s">
        <v>36</v>
      </c>
      <c r="B518">
        <v>10289</v>
      </c>
      <c r="C518">
        <v>24</v>
      </c>
      <c r="D518" s="21">
        <v>56.07</v>
      </c>
      <c r="E518" s="22">
        <v>38233</v>
      </c>
      <c r="F518" t="s">
        <v>13</v>
      </c>
      <c r="G518" t="s">
        <v>202</v>
      </c>
      <c r="H518">
        <v>3</v>
      </c>
      <c r="I518">
        <v>2004</v>
      </c>
      <c r="J518" t="s">
        <v>15</v>
      </c>
      <c r="K518" t="s">
        <v>37</v>
      </c>
    </row>
    <row r="519" spans="1:11">
      <c r="A519" t="s">
        <v>101</v>
      </c>
      <c r="B519">
        <v>10304</v>
      </c>
      <c r="C519">
        <v>37</v>
      </c>
      <c r="D519" s="21">
        <v>48.52</v>
      </c>
      <c r="E519" s="22">
        <v>38271</v>
      </c>
      <c r="F519" t="s">
        <v>13</v>
      </c>
      <c r="G519" t="s">
        <v>202</v>
      </c>
      <c r="H519">
        <v>4</v>
      </c>
      <c r="I519">
        <v>2004</v>
      </c>
      <c r="J519" t="s">
        <v>15</v>
      </c>
      <c r="K519" t="s">
        <v>102</v>
      </c>
    </row>
    <row r="520" spans="1:11">
      <c r="A520" t="s">
        <v>103</v>
      </c>
      <c r="B520">
        <v>10312</v>
      </c>
      <c r="C520">
        <v>25</v>
      </c>
      <c r="D520" s="21">
        <v>44.21</v>
      </c>
      <c r="E520" s="22">
        <v>38281</v>
      </c>
      <c r="F520" t="s">
        <v>13</v>
      </c>
      <c r="G520" t="s">
        <v>202</v>
      </c>
      <c r="H520">
        <v>4</v>
      </c>
      <c r="I520">
        <v>2004</v>
      </c>
      <c r="J520" t="s">
        <v>15</v>
      </c>
      <c r="K520" t="s">
        <v>104</v>
      </c>
    </row>
    <row r="521" spans="1:11">
      <c r="A521" t="s">
        <v>105</v>
      </c>
      <c r="B521">
        <v>10322</v>
      </c>
      <c r="C521">
        <v>41</v>
      </c>
      <c r="D521" s="21">
        <v>57.68</v>
      </c>
      <c r="E521" s="22">
        <v>38295</v>
      </c>
      <c r="F521" t="s">
        <v>13</v>
      </c>
      <c r="G521" t="s">
        <v>202</v>
      </c>
      <c r="H521">
        <v>4</v>
      </c>
      <c r="I521">
        <v>2004</v>
      </c>
      <c r="J521" t="s">
        <v>15</v>
      </c>
      <c r="K521" t="s">
        <v>106</v>
      </c>
    </row>
    <row r="522" spans="1:11">
      <c r="A522" t="s">
        <v>183</v>
      </c>
      <c r="B522">
        <v>10332</v>
      </c>
      <c r="C522">
        <v>27</v>
      </c>
      <c r="D522" s="21">
        <v>89.89</v>
      </c>
      <c r="E522" s="22">
        <v>38308</v>
      </c>
      <c r="F522" t="s">
        <v>13</v>
      </c>
      <c r="G522" t="s">
        <v>202</v>
      </c>
      <c r="H522">
        <v>4</v>
      </c>
      <c r="I522">
        <v>2004</v>
      </c>
      <c r="J522" t="s">
        <v>15</v>
      </c>
      <c r="K522" t="s">
        <v>184</v>
      </c>
    </row>
    <row r="523" spans="1:11">
      <c r="A523" t="s">
        <v>42</v>
      </c>
      <c r="B523">
        <v>10347</v>
      </c>
      <c r="C523">
        <v>21</v>
      </c>
      <c r="D523" s="21">
        <v>58.95</v>
      </c>
      <c r="E523" s="22">
        <v>38320</v>
      </c>
      <c r="F523" t="s">
        <v>13</v>
      </c>
      <c r="G523" t="s">
        <v>202</v>
      </c>
      <c r="H523">
        <v>4</v>
      </c>
      <c r="I523">
        <v>2004</v>
      </c>
      <c r="J523" t="s">
        <v>15</v>
      </c>
      <c r="K523" t="s">
        <v>43</v>
      </c>
    </row>
    <row r="524" spans="1:11">
      <c r="A524" t="s">
        <v>21</v>
      </c>
      <c r="B524">
        <v>10356</v>
      </c>
      <c r="C524">
        <v>22</v>
      </c>
      <c r="D524" s="21">
        <v>72.41</v>
      </c>
      <c r="E524" s="22">
        <v>38330</v>
      </c>
      <c r="F524" t="s">
        <v>13</v>
      </c>
      <c r="G524" t="s">
        <v>202</v>
      </c>
      <c r="H524">
        <v>4</v>
      </c>
      <c r="I524">
        <v>2004</v>
      </c>
      <c r="J524" t="s">
        <v>15</v>
      </c>
      <c r="K524" t="s">
        <v>23</v>
      </c>
    </row>
    <row r="525" spans="1:11">
      <c r="A525" t="s">
        <v>107</v>
      </c>
      <c r="B525">
        <v>10369</v>
      </c>
      <c r="C525">
        <v>32</v>
      </c>
      <c r="D525" s="21">
        <v>98.63</v>
      </c>
      <c r="E525" s="22">
        <v>38372</v>
      </c>
      <c r="F525" t="s">
        <v>13</v>
      </c>
      <c r="G525" t="s">
        <v>202</v>
      </c>
      <c r="H525">
        <v>1</v>
      </c>
      <c r="I525">
        <v>2005</v>
      </c>
      <c r="J525" t="s">
        <v>22</v>
      </c>
      <c r="K525" t="s">
        <v>108</v>
      </c>
    </row>
    <row r="526" spans="1:11">
      <c r="A526" t="s">
        <v>28</v>
      </c>
      <c r="B526">
        <v>10381</v>
      </c>
      <c r="C526">
        <v>25</v>
      </c>
      <c r="D526" s="21">
        <v>52.83</v>
      </c>
      <c r="E526" s="22">
        <v>38400</v>
      </c>
      <c r="F526" t="s">
        <v>13</v>
      </c>
      <c r="G526" t="s">
        <v>202</v>
      </c>
      <c r="H526">
        <v>1</v>
      </c>
      <c r="I526">
        <v>2005</v>
      </c>
      <c r="J526" t="s">
        <v>15</v>
      </c>
      <c r="K526" t="s">
        <v>29</v>
      </c>
    </row>
    <row r="527" spans="1:11">
      <c r="A527" t="s">
        <v>109</v>
      </c>
      <c r="B527">
        <v>10391</v>
      </c>
      <c r="C527">
        <v>42</v>
      </c>
      <c r="D527" s="21">
        <v>100</v>
      </c>
      <c r="E527" s="22">
        <v>38420</v>
      </c>
      <c r="F527" t="s">
        <v>13</v>
      </c>
      <c r="G527" t="s">
        <v>202</v>
      </c>
      <c r="H527">
        <v>1</v>
      </c>
      <c r="I527">
        <v>2005</v>
      </c>
      <c r="J527" t="s">
        <v>22</v>
      </c>
      <c r="K527" t="s">
        <v>110</v>
      </c>
    </row>
    <row r="528" spans="1:11">
      <c r="A528" t="s">
        <v>58</v>
      </c>
      <c r="B528">
        <v>10422</v>
      </c>
      <c r="C528">
        <v>25</v>
      </c>
      <c r="D528" s="21">
        <v>51.75</v>
      </c>
      <c r="E528" s="22">
        <v>38502</v>
      </c>
      <c r="F528" t="s">
        <v>113</v>
      </c>
      <c r="G528" t="s">
        <v>202</v>
      </c>
      <c r="H528">
        <v>2</v>
      </c>
      <c r="I528">
        <v>2005</v>
      </c>
      <c r="J528" t="s">
        <v>15</v>
      </c>
      <c r="K528" t="s">
        <v>59</v>
      </c>
    </row>
    <row r="529" spans="1:11">
      <c r="A529" t="s">
        <v>183</v>
      </c>
      <c r="B529">
        <v>10110</v>
      </c>
      <c r="C529">
        <v>37</v>
      </c>
      <c r="D529" s="21">
        <v>100</v>
      </c>
      <c r="E529" s="22">
        <v>37698</v>
      </c>
      <c r="F529" t="s">
        <v>13</v>
      </c>
      <c r="G529" t="s">
        <v>72</v>
      </c>
      <c r="H529">
        <v>1</v>
      </c>
      <c r="I529">
        <v>2003</v>
      </c>
      <c r="J529" t="s">
        <v>22</v>
      </c>
      <c r="K529" t="s">
        <v>184</v>
      </c>
    </row>
    <row r="530" spans="1:11">
      <c r="A530" t="s">
        <v>118</v>
      </c>
      <c r="B530">
        <v>10123</v>
      </c>
      <c r="C530">
        <v>26</v>
      </c>
      <c r="D530" s="21">
        <v>100</v>
      </c>
      <c r="E530" s="22">
        <v>37761</v>
      </c>
      <c r="F530" t="s">
        <v>13</v>
      </c>
      <c r="G530" t="s">
        <v>72</v>
      </c>
      <c r="H530">
        <v>2</v>
      </c>
      <c r="I530">
        <v>2003</v>
      </c>
      <c r="J530" t="s">
        <v>22</v>
      </c>
      <c r="K530" t="s">
        <v>119</v>
      </c>
    </row>
    <row r="531" spans="1:11">
      <c r="A531" t="s">
        <v>18</v>
      </c>
      <c r="B531">
        <v>10137</v>
      </c>
      <c r="C531">
        <v>44</v>
      </c>
      <c r="D531" s="21">
        <v>99.55</v>
      </c>
      <c r="E531" s="22">
        <v>37812</v>
      </c>
      <c r="F531" t="s">
        <v>13</v>
      </c>
      <c r="G531" t="s">
        <v>72</v>
      </c>
      <c r="H531">
        <v>3</v>
      </c>
      <c r="I531">
        <v>2003</v>
      </c>
      <c r="J531" t="s">
        <v>22</v>
      </c>
      <c r="K531" t="s">
        <v>19</v>
      </c>
    </row>
    <row r="532" spans="1:11">
      <c r="A532" t="s">
        <v>109</v>
      </c>
      <c r="B532">
        <v>10148</v>
      </c>
      <c r="C532">
        <v>47</v>
      </c>
      <c r="D532" s="21">
        <v>100</v>
      </c>
      <c r="E532" s="22">
        <v>37875</v>
      </c>
      <c r="F532" t="s">
        <v>13</v>
      </c>
      <c r="G532" t="s">
        <v>72</v>
      </c>
      <c r="H532">
        <v>3</v>
      </c>
      <c r="I532">
        <v>2003</v>
      </c>
      <c r="J532" t="s">
        <v>22</v>
      </c>
      <c r="K532" t="s">
        <v>110</v>
      </c>
    </row>
    <row r="533" spans="1:11">
      <c r="A533" t="s">
        <v>185</v>
      </c>
      <c r="B533">
        <v>10161</v>
      </c>
      <c r="C533">
        <v>43</v>
      </c>
      <c r="D533" s="21">
        <v>100</v>
      </c>
      <c r="E533" s="22">
        <v>37911</v>
      </c>
      <c r="F533" t="s">
        <v>13</v>
      </c>
      <c r="G533" t="s">
        <v>72</v>
      </c>
      <c r="H533">
        <v>4</v>
      </c>
      <c r="I533">
        <v>2003</v>
      </c>
      <c r="J533" t="s">
        <v>22</v>
      </c>
      <c r="K533" t="s">
        <v>186</v>
      </c>
    </row>
    <row r="534" spans="1:11">
      <c r="A534" t="s">
        <v>48</v>
      </c>
      <c r="B534">
        <v>10172</v>
      </c>
      <c r="C534">
        <v>42</v>
      </c>
      <c r="D534" s="21">
        <v>100</v>
      </c>
      <c r="E534" s="22">
        <v>37930</v>
      </c>
      <c r="F534" t="s">
        <v>13</v>
      </c>
      <c r="G534" t="s">
        <v>72</v>
      </c>
      <c r="H534">
        <v>4</v>
      </c>
      <c r="I534">
        <v>2003</v>
      </c>
      <c r="J534" t="s">
        <v>22</v>
      </c>
      <c r="K534" t="s">
        <v>49</v>
      </c>
    </row>
    <row r="535" spans="1:11">
      <c r="A535" t="s">
        <v>36</v>
      </c>
      <c r="B535">
        <v>10181</v>
      </c>
      <c r="C535">
        <v>42</v>
      </c>
      <c r="D535" s="21">
        <v>100</v>
      </c>
      <c r="E535" s="22">
        <v>37937</v>
      </c>
      <c r="F535" t="s">
        <v>13</v>
      </c>
      <c r="G535" t="s">
        <v>72</v>
      </c>
      <c r="H535">
        <v>4</v>
      </c>
      <c r="I535">
        <v>2003</v>
      </c>
      <c r="J535" t="s">
        <v>22</v>
      </c>
      <c r="K535" t="s">
        <v>37</v>
      </c>
    </row>
    <row r="536" spans="1:11">
      <c r="A536" t="s">
        <v>105</v>
      </c>
      <c r="B536">
        <v>10192</v>
      </c>
      <c r="C536">
        <v>29</v>
      </c>
      <c r="D536" s="21">
        <v>100</v>
      </c>
      <c r="E536" s="22">
        <v>37945</v>
      </c>
      <c r="F536" t="s">
        <v>13</v>
      </c>
      <c r="G536" t="s">
        <v>72</v>
      </c>
      <c r="H536">
        <v>4</v>
      </c>
      <c r="I536">
        <v>2003</v>
      </c>
      <c r="J536" t="s">
        <v>22</v>
      </c>
      <c r="K536" t="s">
        <v>106</v>
      </c>
    </row>
    <row r="537" spans="1:11">
      <c r="A537" t="s">
        <v>177</v>
      </c>
      <c r="B537">
        <v>10204</v>
      </c>
      <c r="C537">
        <v>40</v>
      </c>
      <c r="D537" s="21">
        <v>100</v>
      </c>
      <c r="E537" s="22">
        <v>37957</v>
      </c>
      <c r="F537" t="s">
        <v>13</v>
      </c>
      <c r="G537" t="s">
        <v>72</v>
      </c>
      <c r="H537">
        <v>4</v>
      </c>
      <c r="I537">
        <v>2003</v>
      </c>
      <c r="J537" t="s">
        <v>22</v>
      </c>
      <c r="K537" t="s">
        <v>178</v>
      </c>
    </row>
    <row r="538" spans="1:11">
      <c r="A538" t="s">
        <v>69</v>
      </c>
      <c r="B538">
        <v>10212</v>
      </c>
      <c r="C538">
        <v>38</v>
      </c>
      <c r="D538" s="21">
        <v>100</v>
      </c>
      <c r="E538" s="22">
        <v>38002</v>
      </c>
      <c r="F538" t="s">
        <v>13</v>
      </c>
      <c r="G538" t="s">
        <v>72</v>
      </c>
      <c r="H538">
        <v>1</v>
      </c>
      <c r="I538">
        <v>2004</v>
      </c>
      <c r="J538" t="s">
        <v>22</v>
      </c>
      <c r="K538" t="s">
        <v>71</v>
      </c>
    </row>
    <row r="539" spans="1:11">
      <c r="A539" t="s">
        <v>137</v>
      </c>
      <c r="B539">
        <v>10226</v>
      </c>
      <c r="C539">
        <v>38</v>
      </c>
      <c r="D539" s="21">
        <v>100</v>
      </c>
      <c r="E539" s="22">
        <v>38043</v>
      </c>
      <c r="F539" t="s">
        <v>13</v>
      </c>
      <c r="G539" t="s">
        <v>72</v>
      </c>
      <c r="H539">
        <v>1</v>
      </c>
      <c r="I539">
        <v>2004</v>
      </c>
      <c r="J539" t="s">
        <v>22</v>
      </c>
      <c r="K539" t="s">
        <v>138</v>
      </c>
    </row>
    <row r="540" spans="1:11">
      <c r="A540" t="s">
        <v>196</v>
      </c>
      <c r="B540">
        <v>10241</v>
      </c>
      <c r="C540">
        <v>21</v>
      </c>
      <c r="D540" s="21">
        <v>100</v>
      </c>
      <c r="E540" s="22">
        <v>38090</v>
      </c>
      <c r="F540" t="s">
        <v>13</v>
      </c>
      <c r="G540" t="s">
        <v>72</v>
      </c>
      <c r="H540">
        <v>2</v>
      </c>
      <c r="I540">
        <v>2004</v>
      </c>
      <c r="J540" t="s">
        <v>15</v>
      </c>
      <c r="K540" t="s">
        <v>197</v>
      </c>
    </row>
    <row r="541" spans="1:11">
      <c r="A541" t="s">
        <v>67</v>
      </c>
      <c r="B541">
        <v>10253</v>
      </c>
      <c r="C541">
        <v>24</v>
      </c>
      <c r="D541" s="21">
        <v>100</v>
      </c>
      <c r="E541" s="22">
        <v>38139</v>
      </c>
      <c r="F541" t="s">
        <v>128</v>
      </c>
      <c r="G541" t="s">
        <v>72</v>
      </c>
      <c r="H541">
        <v>2</v>
      </c>
      <c r="I541">
        <v>2004</v>
      </c>
      <c r="J541" t="s">
        <v>22</v>
      </c>
      <c r="K541" t="s">
        <v>68</v>
      </c>
    </row>
    <row r="542" spans="1:11">
      <c r="A542" t="s">
        <v>169</v>
      </c>
      <c r="B542">
        <v>10266</v>
      </c>
      <c r="C542">
        <v>36</v>
      </c>
      <c r="D542" s="21">
        <v>100</v>
      </c>
      <c r="E542" s="22">
        <v>38174</v>
      </c>
      <c r="F542" t="s">
        <v>13</v>
      </c>
      <c r="G542" t="s">
        <v>72</v>
      </c>
      <c r="H542">
        <v>3</v>
      </c>
      <c r="I542">
        <v>2004</v>
      </c>
      <c r="J542" t="s">
        <v>22</v>
      </c>
      <c r="K542" t="s">
        <v>170</v>
      </c>
    </row>
    <row r="543" spans="1:11">
      <c r="A543" t="s">
        <v>198</v>
      </c>
      <c r="B543">
        <v>10278</v>
      </c>
      <c r="C543">
        <v>23</v>
      </c>
      <c r="D543" s="21">
        <v>100</v>
      </c>
      <c r="E543" s="22">
        <v>38205</v>
      </c>
      <c r="F543" t="s">
        <v>13</v>
      </c>
      <c r="G543" t="s">
        <v>72</v>
      </c>
      <c r="H543">
        <v>3</v>
      </c>
      <c r="I543">
        <v>2004</v>
      </c>
      <c r="J543" t="s">
        <v>15</v>
      </c>
      <c r="K543" t="s">
        <v>199</v>
      </c>
    </row>
    <row r="544" spans="1:11">
      <c r="A544" t="s">
        <v>159</v>
      </c>
      <c r="B544">
        <v>10288</v>
      </c>
      <c r="C544">
        <v>20</v>
      </c>
      <c r="D544" s="21">
        <v>100</v>
      </c>
      <c r="E544" s="22">
        <v>38231</v>
      </c>
      <c r="F544" t="s">
        <v>13</v>
      </c>
      <c r="G544" t="s">
        <v>72</v>
      </c>
      <c r="H544">
        <v>3</v>
      </c>
      <c r="I544">
        <v>2004</v>
      </c>
      <c r="J544" t="s">
        <v>15</v>
      </c>
      <c r="K544" t="s">
        <v>160</v>
      </c>
    </row>
    <row r="545" spans="1:11">
      <c r="A545" t="s">
        <v>200</v>
      </c>
      <c r="B545">
        <v>10301</v>
      </c>
      <c r="C545">
        <v>32</v>
      </c>
      <c r="D545" s="21">
        <v>100</v>
      </c>
      <c r="E545" s="22">
        <v>37899</v>
      </c>
      <c r="F545" t="s">
        <v>13</v>
      </c>
      <c r="G545" t="s">
        <v>72</v>
      </c>
      <c r="H545">
        <v>4</v>
      </c>
      <c r="I545">
        <v>2003</v>
      </c>
      <c r="J545" t="s">
        <v>22</v>
      </c>
      <c r="K545" t="s">
        <v>201</v>
      </c>
    </row>
    <row r="546" spans="1:11">
      <c r="A546" t="s">
        <v>69</v>
      </c>
      <c r="B546">
        <v>10311</v>
      </c>
      <c r="C546">
        <v>29</v>
      </c>
      <c r="D546" s="21">
        <v>100</v>
      </c>
      <c r="E546" s="22">
        <v>38276</v>
      </c>
      <c r="F546" t="s">
        <v>13</v>
      </c>
      <c r="G546" t="s">
        <v>72</v>
      </c>
      <c r="H546">
        <v>4</v>
      </c>
      <c r="I546">
        <v>2004</v>
      </c>
      <c r="J546" t="s">
        <v>15</v>
      </c>
      <c r="K546" t="s">
        <v>71</v>
      </c>
    </row>
    <row r="547" spans="1:11">
      <c r="A547" t="s">
        <v>65</v>
      </c>
      <c r="B547">
        <v>10321</v>
      </c>
      <c r="C547">
        <v>44</v>
      </c>
      <c r="D547" s="21">
        <v>100</v>
      </c>
      <c r="E547" s="22">
        <v>38295</v>
      </c>
      <c r="F547" t="s">
        <v>13</v>
      </c>
      <c r="G547" t="s">
        <v>72</v>
      </c>
      <c r="H547">
        <v>4</v>
      </c>
      <c r="I547">
        <v>2004</v>
      </c>
      <c r="J547" t="s">
        <v>22</v>
      </c>
      <c r="K547" t="s">
        <v>66</v>
      </c>
    </row>
    <row r="548" spans="1:11">
      <c r="A548" t="s">
        <v>116</v>
      </c>
      <c r="B548">
        <v>10331</v>
      </c>
      <c r="C548">
        <v>44</v>
      </c>
      <c r="D548" s="21">
        <v>100</v>
      </c>
      <c r="E548" s="22">
        <v>38308</v>
      </c>
      <c r="F548" t="s">
        <v>13</v>
      </c>
      <c r="G548" t="s">
        <v>72</v>
      </c>
      <c r="H548">
        <v>4</v>
      </c>
      <c r="I548">
        <v>2004</v>
      </c>
      <c r="J548" t="s">
        <v>22</v>
      </c>
      <c r="K548" t="s">
        <v>117</v>
      </c>
    </row>
    <row r="549" spans="1:11">
      <c r="A549" t="s">
        <v>18</v>
      </c>
      <c r="B549">
        <v>10343</v>
      </c>
      <c r="C549">
        <v>36</v>
      </c>
      <c r="D549" s="21">
        <v>100</v>
      </c>
      <c r="E549" s="22">
        <v>38315</v>
      </c>
      <c r="F549" t="s">
        <v>13</v>
      </c>
      <c r="G549" t="s">
        <v>72</v>
      </c>
      <c r="H549">
        <v>4</v>
      </c>
      <c r="I549">
        <v>2004</v>
      </c>
      <c r="J549" t="s">
        <v>22</v>
      </c>
      <c r="K549" t="s">
        <v>19</v>
      </c>
    </row>
    <row r="550" spans="1:11">
      <c r="A550" t="s">
        <v>25</v>
      </c>
      <c r="B550">
        <v>10367</v>
      </c>
      <c r="C550">
        <v>49</v>
      </c>
      <c r="D550" s="21">
        <v>56.3</v>
      </c>
      <c r="E550" s="22">
        <v>38364</v>
      </c>
      <c r="F550" t="s">
        <v>155</v>
      </c>
      <c r="G550" t="s">
        <v>72</v>
      </c>
      <c r="H550">
        <v>1</v>
      </c>
      <c r="I550">
        <v>2005</v>
      </c>
      <c r="J550" t="s">
        <v>15</v>
      </c>
      <c r="K550" t="s">
        <v>26</v>
      </c>
    </row>
    <row r="551" spans="1:11">
      <c r="A551" t="s">
        <v>69</v>
      </c>
      <c r="B551">
        <v>10378</v>
      </c>
      <c r="C551">
        <v>34</v>
      </c>
      <c r="D551" s="21">
        <v>42.64</v>
      </c>
      <c r="E551" s="22">
        <v>38393</v>
      </c>
      <c r="F551" t="s">
        <v>13</v>
      </c>
      <c r="G551" t="s">
        <v>72</v>
      </c>
      <c r="H551">
        <v>1</v>
      </c>
      <c r="I551">
        <v>2005</v>
      </c>
      <c r="J551" t="s">
        <v>15</v>
      </c>
      <c r="K551" t="s">
        <v>71</v>
      </c>
    </row>
    <row r="552" spans="1:11">
      <c r="A552" t="s">
        <v>149</v>
      </c>
      <c r="B552">
        <v>10407</v>
      </c>
      <c r="C552">
        <v>59</v>
      </c>
      <c r="D552" s="21">
        <v>100</v>
      </c>
      <c r="E552" s="22">
        <v>38464</v>
      </c>
      <c r="F552" t="s">
        <v>151</v>
      </c>
      <c r="G552" t="s">
        <v>72</v>
      </c>
      <c r="H552">
        <v>2</v>
      </c>
      <c r="I552">
        <v>2005</v>
      </c>
      <c r="J552" t="s">
        <v>61</v>
      </c>
      <c r="K552" t="s">
        <v>150</v>
      </c>
    </row>
    <row r="553" spans="1:11">
      <c r="A553" t="s">
        <v>60</v>
      </c>
      <c r="B553">
        <v>10419</v>
      </c>
      <c r="C553">
        <v>37</v>
      </c>
      <c r="D553" s="21">
        <v>100</v>
      </c>
      <c r="E553" s="22">
        <v>38489</v>
      </c>
      <c r="F553" t="s">
        <v>13</v>
      </c>
      <c r="G553" t="s">
        <v>72</v>
      </c>
      <c r="H553">
        <v>2</v>
      </c>
      <c r="I553">
        <v>2005</v>
      </c>
      <c r="J553" t="s">
        <v>22</v>
      </c>
      <c r="K553" t="s">
        <v>62</v>
      </c>
    </row>
    <row r="554" spans="1:11">
      <c r="A554" t="s">
        <v>203</v>
      </c>
      <c r="B554">
        <v>10106</v>
      </c>
      <c r="C554">
        <v>36</v>
      </c>
      <c r="D554" s="21">
        <v>100</v>
      </c>
      <c r="E554" s="22">
        <v>37669</v>
      </c>
      <c r="F554" t="s">
        <v>13</v>
      </c>
      <c r="G554" t="s">
        <v>207</v>
      </c>
      <c r="H554">
        <v>1</v>
      </c>
      <c r="I554">
        <v>2003</v>
      </c>
      <c r="J554" t="s">
        <v>22</v>
      </c>
      <c r="K554" t="s">
        <v>204</v>
      </c>
    </row>
    <row r="555" spans="1:11">
      <c r="A555" t="s">
        <v>60</v>
      </c>
      <c r="B555">
        <v>10119</v>
      </c>
      <c r="C555">
        <v>43</v>
      </c>
      <c r="D555" s="21">
        <v>100</v>
      </c>
      <c r="E555" s="22">
        <v>37739</v>
      </c>
      <c r="F555" t="s">
        <v>13</v>
      </c>
      <c r="G555" t="s">
        <v>207</v>
      </c>
      <c r="H555">
        <v>2</v>
      </c>
      <c r="I555">
        <v>2003</v>
      </c>
      <c r="J555" t="s">
        <v>22</v>
      </c>
      <c r="K555" t="s">
        <v>62</v>
      </c>
    </row>
    <row r="556" spans="1:11">
      <c r="A556" t="s">
        <v>208</v>
      </c>
      <c r="B556">
        <v>10131</v>
      </c>
      <c r="C556">
        <v>21</v>
      </c>
      <c r="D556" s="21">
        <v>100</v>
      </c>
      <c r="E556" s="22">
        <v>37788</v>
      </c>
      <c r="F556" t="s">
        <v>13</v>
      </c>
      <c r="G556" t="s">
        <v>207</v>
      </c>
      <c r="H556">
        <v>2</v>
      </c>
      <c r="I556">
        <v>2003</v>
      </c>
      <c r="J556" t="s">
        <v>15</v>
      </c>
      <c r="K556" t="s">
        <v>209</v>
      </c>
    </row>
    <row r="557" spans="1:11">
      <c r="A557" t="s">
        <v>126</v>
      </c>
      <c r="B557">
        <v>10143</v>
      </c>
      <c r="C557">
        <v>32</v>
      </c>
      <c r="D557" s="21">
        <v>100</v>
      </c>
      <c r="E557" s="22">
        <v>37843</v>
      </c>
      <c r="F557" t="s">
        <v>13</v>
      </c>
      <c r="G557" t="s">
        <v>207</v>
      </c>
      <c r="H557">
        <v>3</v>
      </c>
      <c r="I557">
        <v>2003</v>
      </c>
      <c r="J557" t="s">
        <v>22</v>
      </c>
      <c r="K557" t="s">
        <v>127</v>
      </c>
    </row>
    <row r="558" spans="1:11">
      <c r="A558" t="s">
        <v>54</v>
      </c>
      <c r="B558">
        <v>10155</v>
      </c>
      <c r="C558">
        <v>38</v>
      </c>
      <c r="D558" s="21">
        <v>100</v>
      </c>
      <c r="E558" s="22">
        <v>37900</v>
      </c>
      <c r="F558" t="s">
        <v>13</v>
      </c>
      <c r="G558" t="s">
        <v>207</v>
      </c>
      <c r="H558">
        <v>4</v>
      </c>
      <c r="I558">
        <v>2003</v>
      </c>
      <c r="J558" t="s">
        <v>22</v>
      </c>
      <c r="K558" t="s">
        <v>55</v>
      </c>
    </row>
    <row r="559" spans="1:11">
      <c r="A559" t="s">
        <v>99</v>
      </c>
      <c r="B559">
        <v>10167</v>
      </c>
      <c r="C559">
        <v>43</v>
      </c>
      <c r="D559" s="21">
        <v>100</v>
      </c>
      <c r="E559" s="22">
        <v>37917</v>
      </c>
      <c r="F559" t="s">
        <v>128</v>
      </c>
      <c r="G559" t="s">
        <v>207</v>
      </c>
      <c r="H559">
        <v>4</v>
      </c>
      <c r="I559">
        <v>2003</v>
      </c>
      <c r="J559" t="s">
        <v>22</v>
      </c>
      <c r="K559" t="s">
        <v>100</v>
      </c>
    </row>
    <row r="560" spans="1:11">
      <c r="A560" t="s">
        <v>129</v>
      </c>
      <c r="B560">
        <v>10178</v>
      </c>
      <c r="C560">
        <v>42</v>
      </c>
      <c r="D560" s="21">
        <v>100</v>
      </c>
      <c r="E560" s="22">
        <v>37933</v>
      </c>
      <c r="F560" t="s">
        <v>13</v>
      </c>
      <c r="G560" t="s">
        <v>207</v>
      </c>
      <c r="H560">
        <v>4</v>
      </c>
      <c r="I560">
        <v>2003</v>
      </c>
      <c r="J560" t="s">
        <v>22</v>
      </c>
      <c r="K560" t="s">
        <v>130</v>
      </c>
    </row>
    <row r="561" spans="1:11">
      <c r="A561" t="s">
        <v>131</v>
      </c>
      <c r="B561">
        <v>10186</v>
      </c>
      <c r="C561">
        <v>32</v>
      </c>
      <c r="D561" s="21">
        <v>100</v>
      </c>
      <c r="E561" s="22">
        <v>37939</v>
      </c>
      <c r="F561" t="s">
        <v>13</v>
      </c>
      <c r="G561" t="s">
        <v>207</v>
      </c>
      <c r="H561">
        <v>4</v>
      </c>
      <c r="I561">
        <v>2003</v>
      </c>
      <c r="J561" t="s">
        <v>22</v>
      </c>
      <c r="K561" t="s">
        <v>132</v>
      </c>
    </row>
    <row r="562" spans="1:11">
      <c r="A562" t="s">
        <v>161</v>
      </c>
      <c r="B562">
        <v>10198</v>
      </c>
      <c r="C562">
        <v>42</v>
      </c>
      <c r="D562" s="21">
        <v>100</v>
      </c>
      <c r="E562" s="22">
        <v>37952</v>
      </c>
      <c r="F562" t="s">
        <v>13</v>
      </c>
      <c r="G562" t="s">
        <v>207</v>
      </c>
      <c r="H562">
        <v>4</v>
      </c>
      <c r="I562">
        <v>2003</v>
      </c>
      <c r="J562" t="s">
        <v>61</v>
      </c>
      <c r="K562" t="s">
        <v>162</v>
      </c>
    </row>
    <row r="563" spans="1:11">
      <c r="A563" t="s">
        <v>114</v>
      </c>
      <c r="B563">
        <v>10210</v>
      </c>
      <c r="C563">
        <v>31</v>
      </c>
      <c r="D563" s="21">
        <v>100</v>
      </c>
      <c r="E563" s="22">
        <v>37998</v>
      </c>
      <c r="F563" t="s">
        <v>13</v>
      </c>
      <c r="G563" t="s">
        <v>207</v>
      </c>
      <c r="H563">
        <v>1</v>
      </c>
      <c r="I563">
        <v>2004</v>
      </c>
      <c r="J563" t="s">
        <v>22</v>
      </c>
      <c r="K563" t="s">
        <v>115</v>
      </c>
    </row>
    <row r="564" spans="1:11">
      <c r="A564" t="s">
        <v>137</v>
      </c>
      <c r="B564">
        <v>10222</v>
      </c>
      <c r="C564">
        <v>49</v>
      </c>
      <c r="D564" s="21">
        <v>100</v>
      </c>
      <c r="E564" s="22">
        <v>38036</v>
      </c>
      <c r="F564" t="s">
        <v>13</v>
      </c>
      <c r="G564" t="s">
        <v>207</v>
      </c>
      <c r="H564">
        <v>1</v>
      </c>
      <c r="I564">
        <v>2004</v>
      </c>
      <c r="J564" t="s">
        <v>22</v>
      </c>
      <c r="K564" t="s">
        <v>138</v>
      </c>
    </row>
    <row r="565" spans="1:11">
      <c r="A565" t="s">
        <v>149</v>
      </c>
      <c r="B565">
        <v>10250</v>
      </c>
      <c r="C565">
        <v>45</v>
      </c>
      <c r="D565" s="21">
        <v>100</v>
      </c>
      <c r="E565" s="22">
        <v>38118</v>
      </c>
      <c r="F565" t="s">
        <v>13</v>
      </c>
      <c r="G565" t="s">
        <v>207</v>
      </c>
      <c r="H565">
        <v>2</v>
      </c>
      <c r="I565">
        <v>2004</v>
      </c>
      <c r="J565" t="s">
        <v>61</v>
      </c>
      <c r="K565" t="s">
        <v>150</v>
      </c>
    </row>
    <row r="566" spans="1:11">
      <c r="A566" t="s">
        <v>69</v>
      </c>
      <c r="B566">
        <v>10262</v>
      </c>
      <c r="C566">
        <v>49</v>
      </c>
      <c r="D566" s="21">
        <v>100</v>
      </c>
      <c r="E566" s="22">
        <v>38162</v>
      </c>
      <c r="F566" t="s">
        <v>128</v>
      </c>
      <c r="G566" t="s">
        <v>207</v>
      </c>
      <c r="H566">
        <v>2</v>
      </c>
      <c r="I566">
        <v>2004</v>
      </c>
      <c r="J566" t="s">
        <v>22</v>
      </c>
      <c r="K566" t="s">
        <v>71</v>
      </c>
    </row>
    <row r="567" spans="1:11">
      <c r="A567" t="s">
        <v>107</v>
      </c>
      <c r="B567">
        <v>10274</v>
      </c>
      <c r="C567">
        <v>41</v>
      </c>
      <c r="D567" s="21">
        <v>100</v>
      </c>
      <c r="E567" s="22">
        <v>38189</v>
      </c>
      <c r="F567" t="s">
        <v>13</v>
      </c>
      <c r="G567" t="s">
        <v>207</v>
      </c>
      <c r="H567">
        <v>3</v>
      </c>
      <c r="I567">
        <v>2004</v>
      </c>
      <c r="J567" t="s">
        <v>22</v>
      </c>
      <c r="K567" t="s">
        <v>108</v>
      </c>
    </row>
    <row r="568" spans="1:11">
      <c r="A568" t="s">
        <v>200</v>
      </c>
      <c r="B568">
        <v>10284</v>
      </c>
      <c r="C568">
        <v>45</v>
      </c>
      <c r="D568" s="21">
        <v>100</v>
      </c>
      <c r="E568" s="22">
        <v>38220</v>
      </c>
      <c r="F568" t="s">
        <v>13</v>
      </c>
      <c r="G568" t="s">
        <v>207</v>
      </c>
      <c r="H568">
        <v>3</v>
      </c>
      <c r="I568">
        <v>2004</v>
      </c>
      <c r="J568" t="s">
        <v>22</v>
      </c>
      <c r="K568" t="s">
        <v>201</v>
      </c>
    </row>
    <row r="569" spans="1:11">
      <c r="A569" t="s">
        <v>210</v>
      </c>
      <c r="B569">
        <v>10296</v>
      </c>
      <c r="C569">
        <v>36</v>
      </c>
      <c r="D569" s="21">
        <v>100</v>
      </c>
      <c r="E569" s="22">
        <v>38245</v>
      </c>
      <c r="F569" t="s">
        <v>13</v>
      </c>
      <c r="G569" t="s">
        <v>207</v>
      </c>
      <c r="H569">
        <v>3</v>
      </c>
      <c r="I569">
        <v>2004</v>
      </c>
      <c r="J569" t="s">
        <v>22</v>
      </c>
      <c r="K569" t="s">
        <v>211</v>
      </c>
    </row>
    <row r="570" spans="1:11">
      <c r="A570" t="s">
        <v>83</v>
      </c>
      <c r="B570">
        <v>10307</v>
      </c>
      <c r="C570">
        <v>39</v>
      </c>
      <c r="D570" s="21">
        <v>100</v>
      </c>
      <c r="E570" s="22">
        <v>38274</v>
      </c>
      <c r="F570" t="s">
        <v>13</v>
      </c>
      <c r="G570" t="s">
        <v>207</v>
      </c>
      <c r="H570">
        <v>4</v>
      </c>
      <c r="I570">
        <v>2004</v>
      </c>
      <c r="J570" t="s">
        <v>61</v>
      </c>
      <c r="K570" t="s">
        <v>84</v>
      </c>
    </row>
    <row r="571" spans="1:11">
      <c r="A571" t="s">
        <v>145</v>
      </c>
      <c r="B571">
        <v>10316</v>
      </c>
      <c r="C571">
        <v>27</v>
      </c>
      <c r="D571" s="21">
        <v>100</v>
      </c>
      <c r="E571" s="22">
        <v>38292</v>
      </c>
      <c r="F571" t="s">
        <v>13</v>
      </c>
      <c r="G571" t="s">
        <v>207</v>
      </c>
      <c r="H571">
        <v>4</v>
      </c>
      <c r="I571">
        <v>2004</v>
      </c>
      <c r="J571" t="s">
        <v>22</v>
      </c>
      <c r="K571" t="s">
        <v>146</v>
      </c>
    </row>
    <row r="572" spans="1:11">
      <c r="A572" t="s">
        <v>122</v>
      </c>
      <c r="B572">
        <v>10327</v>
      </c>
      <c r="C572">
        <v>25</v>
      </c>
      <c r="D572" s="21">
        <v>100</v>
      </c>
      <c r="E572" s="22">
        <v>38301</v>
      </c>
      <c r="F572" t="s">
        <v>155</v>
      </c>
      <c r="G572" t="s">
        <v>207</v>
      </c>
      <c r="H572">
        <v>4</v>
      </c>
      <c r="I572">
        <v>2004</v>
      </c>
      <c r="J572" t="s">
        <v>15</v>
      </c>
      <c r="K572" t="s">
        <v>123</v>
      </c>
    </row>
    <row r="573" spans="1:11">
      <c r="A573" t="s">
        <v>212</v>
      </c>
      <c r="B573">
        <v>10338</v>
      </c>
      <c r="C573">
        <v>41</v>
      </c>
      <c r="D573" s="21">
        <v>100</v>
      </c>
      <c r="E573" s="22">
        <v>38313</v>
      </c>
      <c r="F573" t="s">
        <v>13</v>
      </c>
      <c r="G573" t="s">
        <v>207</v>
      </c>
      <c r="H573">
        <v>4</v>
      </c>
      <c r="I573">
        <v>2004</v>
      </c>
      <c r="J573" t="s">
        <v>22</v>
      </c>
      <c r="K573" t="s">
        <v>213</v>
      </c>
    </row>
    <row r="574" spans="1:11">
      <c r="A574" t="s">
        <v>124</v>
      </c>
      <c r="B574">
        <v>10351</v>
      </c>
      <c r="C574">
        <v>39</v>
      </c>
      <c r="D574" s="21">
        <v>99.52</v>
      </c>
      <c r="E574" s="22">
        <v>38324</v>
      </c>
      <c r="F574" t="s">
        <v>13</v>
      </c>
      <c r="G574" t="s">
        <v>207</v>
      </c>
      <c r="H574">
        <v>4</v>
      </c>
      <c r="I574">
        <v>2004</v>
      </c>
      <c r="J574" t="s">
        <v>22</v>
      </c>
      <c r="K574" t="s">
        <v>125</v>
      </c>
    </row>
    <row r="575" spans="1:11">
      <c r="A575" t="s">
        <v>147</v>
      </c>
      <c r="B575">
        <v>10373</v>
      </c>
      <c r="C575">
        <v>28</v>
      </c>
      <c r="D575" s="21">
        <v>57.55</v>
      </c>
      <c r="E575" s="22">
        <v>38383</v>
      </c>
      <c r="F575" t="s">
        <v>13</v>
      </c>
      <c r="G575" t="s">
        <v>207</v>
      </c>
      <c r="H575">
        <v>1</v>
      </c>
      <c r="I575">
        <v>2005</v>
      </c>
      <c r="J575" t="s">
        <v>15</v>
      </c>
      <c r="K575" t="s">
        <v>148</v>
      </c>
    </row>
    <row r="576" spans="1:11">
      <c r="A576" t="s">
        <v>69</v>
      </c>
      <c r="B576">
        <v>10386</v>
      </c>
      <c r="C576">
        <v>25</v>
      </c>
      <c r="D576" s="21">
        <v>54.57</v>
      </c>
      <c r="E576" s="22">
        <v>38412</v>
      </c>
      <c r="F576" t="s">
        <v>155</v>
      </c>
      <c r="G576" t="s">
        <v>207</v>
      </c>
      <c r="H576">
        <v>1</v>
      </c>
      <c r="I576">
        <v>2005</v>
      </c>
      <c r="J576" t="s">
        <v>15</v>
      </c>
      <c r="K576" t="s">
        <v>71</v>
      </c>
    </row>
    <row r="577" spans="1:11">
      <c r="A577" t="s">
        <v>18</v>
      </c>
      <c r="B577">
        <v>10398</v>
      </c>
      <c r="C577">
        <v>33</v>
      </c>
      <c r="D577" s="21">
        <v>100</v>
      </c>
      <c r="E577" s="22">
        <v>38441</v>
      </c>
      <c r="F577" t="s">
        <v>13</v>
      </c>
      <c r="G577" t="s">
        <v>207</v>
      </c>
      <c r="H577">
        <v>1</v>
      </c>
      <c r="I577">
        <v>2005</v>
      </c>
      <c r="J577" t="s">
        <v>22</v>
      </c>
      <c r="K577" t="s">
        <v>19</v>
      </c>
    </row>
    <row r="578" spans="1:11">
      <c r="A578" t="s">
        <v>149</v>
      </c>
      <c r="B578">
        <v>10400</v>
      </c>
      <c r="C578">
        <v>34</v>
      </c>
      <c r="D578" s="21">
        <v>100</v>
      </c>
      <c r="E578" s="22">
        <v>38443</v>
      </c>
      <c r="F578" t="s">
        <v>13</v>
      </c>
      <c r="G578" t="s">
        <v>207</v>
      </c>
      <c r="H578">
        <v>2</v>
      </c>
      <c r="I578">
        <v>2005</v>
      </c>
      <c r="J578" t="s">
        <v>22</v>
      </c>
      <c r="K578" t="s">
        <v>150</v>
      </c>
    </row>
    <row r="579" spans="1:11">
      <c r="A579" t="s">
        <v>169</v>
      </c>
      <c r="B579">
        <v>10416</v>
      </c>
      <c r="C579">
        <v>24</v>
      </c>
      <c r="D579" s="21">
        <v>100</v>
      </c>
      <c r="E579" s="22">
        <v>38482</v>
      </c>
      <c r="F579" t="s">
        <v>13</v>
      </c>
      <c r="G579" t="s">
        <v>207</v>
      </c>
      <c r="H579">
        <v>2</v>
      </c>
      <c r="I579">
        <v>2005</v>
      </c>
      <c r="J579" t="s">
        <v>22</v>
      </c>
      <c r="K579" t="s">
        <v>170</v>
      </c>
    </row>
    <row r="580" spans="1:11">
      <c r="A580" t="s">
        <v>105</v>
      </c>
      <c r="B580">
        <v>10100</v>
      </c>
      <c r="C580">
        <v>30</v>
      </c>
      <c r="D580" s="21">
        <v>100</v>
      </c>
      <c r="E580" s="22">
        <v>37627</v>
      </c>
      <c r="F580" t="s">
        <v>13</v>
      </c>
      <c r="G580" t="s">
        <v>202</v>
      </c>
      <c r="H580">
        <v>1</v>
      </c>
      <c r="I580">
        <v>2003</v>
      </c>
      <c r="J580" t="s">
        <v>22</v>
      </c>
      <c r="K580" t="s">
        <v>106</v>
      </c>
    </row>
    <row r="581" spans="1:11">
      <c r="A581" t="s">
        <v>183</v>
      </c>
      <c r="B581">
        <v>10110</v>
      </c>
      <c r="C581">
        <v>42</v>
      </c>
      <c r="D581" s="21">
        <v>100</v>
      </c>
      <c r="E581" s="22">
        <v>37698</v>
      </c>
      <c r="F581" t="s">
        <v>13</v>
      </c>
      <c r="G581" t="s">
        <v>202</v>
      </c>
      <c r="H581">
        <v>1</v>
      </c>
      <c r="I581">
        <v>2003</v>
      </c>
      <c r="J581" t="s">
        <v>22</v>
      </c>
      <c r="K581" t="s">
        <v>184</v>
      </c>
    </row>
    <row r="582" spans="1:11">
      <c r="A582" t="s">
        <v>198</v>
      </c>
      <c r="B582">
        <v>10124</v>
      </c>
      <c r="C582">
        <v>21</v>
      </c>
      <c r="D582" s="21">
        <v>100</v>
      </c>
      <c r="E582" s="22">
        <v>37762</v>
      </c>
      <c r="F582" t="s">
        <v>13</v>
      </c>
      <c r="G582" t="s">
        <v>202</v>
      </c>
      <c r="H582">
        <v>2</v>
      </c>
      <c r="I582">
        <v>2003</v>
      </c>
      <c r="J582" t="s">
        <v>15</v>
      </c>
      <c r="K582" t="s">
        <v>199</v>
      </c>
    </row>
    <row r="583" spans="1:11">
      <c r="A583" t="s">
        <v>194</v>
      </c>
      <c r="B583">
        <v>10149</v>
      </c>
      <c r="C583">
        <v>34</v>
      </c>
      <c r="D583" s="21">
        <v>100</v>
      </c>
      <c r="E583" s="22">
        <v>37876</v>
      </c>
      <c r="F583" t="s">
        <v>13</v>
      </c>
      <c r="G583" t="s">
        <v>202</v>
      </c>
      <c r="H583">
        <v>3</v>
      </c>
      <c r="I583">
        <v>2003</v>
      </c>
      <c r="J583" t="s">
        <v>22</v>
      </c>
      <c r="K583" t="s">
        <v>195</v>
      </c>
    </row>
    <row r="584" spans="1:11">
      <c r="A584" t="s">
        <v>28</v>
      </c>
      <c r="B584">
        <v>10162</v>
      </c>
      <c r="C584">
        <v>29</v>
      </c>
      <c r="D584" s="21">
        <v>100</v>
      </c>
      <c r="E584" s="22">
        <v>37912</v>
      </c>
      <c r="F584" t="s">
        <v>13</v>
      </c>
      <c r="G584" t="s">
        <v>202</v>
      </c>
      <c r="H584">
        <v>4</v>
      </c>
      <c r="I584">
        <v>2003</v>
      </c>
      <c r="J584" t="s">
        <v>22</v>
      </c>
      <c r="K584" t="s">
        <v>29</v>
      </c>
    </row>
    <row r="585" spans="1:11">
      <c r="A585" t="s">
        <v>203</v>
      </c>
      <c r="B585">
        <v>10173</v>
      </c>
      <c r="C585">
        <v>24</v>
      </c>
      <c r="D585" s="21">
        <v>100</v>
      </c>
      <c r="E585" s="22">
        <v>37930</v>
      </c>
      <c r="F585" t="s">
        <v>13</v>
      </c>
      <c r="G585" t="s">
        <v>202</v>
      </c>
      <c r="H585">
        <v>4</v>
      </c>
      <c r="I585">
        <v>2003</v>
      </c>
      <c r="J585" t="s">
        <v>22</v>
      </c>
      <c r="K585" t="s">
        <v>204</v>
      </c>
    </row>
    <row r="586" spans="1:11">
      <c r="A586" t="s">
        <v>103</v>
      </c>
      <c r="B586">
        <v>10182</v>
      </c>
      <c r="C586">
        <v>44</v>
      </c>
      <c r="D586" s="21">
        <v>100</v>
      </c>
      <c r="E586" s="22">
        <v>37937</v>
      </c>
      <c r="F586" t="s">
        <v>13</v>
      </c>
      <c r="G586" t="s">
        <v>202</v>
      </c>
      <c r="H586">
        <v>4</v>
      </c>
      <c r="I586">
        <v>2003</v>
      </c>
      <c r="J586" t="s">
        <v>61</v>
      </c>
      <c r="K586" t="s">
        <v>104</v>
      </c>
    </row>
    <row r="587" spans="1:11">
      <c r="A587" t="s">
        <v>205</v>
      </c>
      <c r="B587">
        <v>10193</v>
      </c>
      <c r="C587">
        <v>21</v>
      </c>
      <c r="D587" s="21">
        <v>100</v>
      </c>
      <c r="E587" s="22">
        <v>37946</v>
      </c>
      <c r="F587" t="s">
        <v>13</v>
      </c>
      <c r="G587" t="s">
        <v>202</v>
      </c>
      <c r="H587">
        <v>4</v>
      </c>
      <c r="I587">
        <v>2003</v>
      </c>
      <c r="J587" t="s">
        <v>22</v>
      </c>
      <c r="K587" t="s">
        <v>206</v>
      </c>
    </row>
    <row r="588" spans="1:11">
      <c r="A588" t="s">
        <v>177</v>
      </c>
      <c r="B588">
        <v>10204</v>
      </c>
      <c r="C588">
        <v>33</v>
      </c>
      <c r="D588" s="21">
        <v>100</v>
      </c>
      <c r="E588" s="22">
        <v>37957</v>
      </c>
      <c r="F588" t="s">
        <v>13</v>
      </c>
      <c r="G588" t="s">
        <v>202</v>
      </c>
      <c r="H588">
        <v>4</v>
      </c>
      <c r="I588">
        <v>2003</v>
      </c>
      <c r="J588" t="s">
        <v>22</v>
      </c>
      <c r="K588" t="s">
        <v>178</v>
      </c>
    </row>
    <row r="589" spans="1:11">
      <c r="A589" t="s">
        <v>75</v>
      </c>
      <c r="B589">
        <v>10214</v>
      </c>
      <c r="C589">
        <v>30</v>
      </c>
      <c r="D589" s="21">
        <v>100</v>
      </c>
      <c r="E589" s="22">
        <v>38012</v>
      </c>
      <c r="F589" t="s">
        <v>13</v>
      </c>
      <c r="G589" t="s">
        <v>202</v>
      </c>
      <c r="H589">
        <v>1</v>
      </c>
      <c r="I589">
        <v>2004</v>
      </c>
      <c r="J589" t="s">
        <v>22</v>
      </c>
      <c r="K589" t="s">
        <v>76</v>
      </c>
    </row>
    <row r="590" spans="1:11">
      <c r="A590" t="s">
        <v>85</v>
      </c>
      <c r="B590">
        <v>10227</v>
      </c>
      <c r="C590">
        <v>26</v>
      </c>
      <c r="D590" s="21">
        <v>100</v>
      </c>
      <c r="E590" s="22">
        <v>38048</v>
      </c>
      <c r="F590" t="s">
        <v>13</v>
      </c>
      <c r="G590" t="s">
        <v>202</v>
      </c>
      <c r="H590">
        <v>1</v>
      </c>
      <c r="I590">
        <v>2004</v>
      </c>
      <c r="J590" t="s">
        <v>22</v>
      </c>
      <c r="K590" t="s">
        <v>86</v>
      </c>
    </row>
    <row r="591" spans="1:11">
      <c r="A591" t="s">
        <v>196</v>
      </c>
      <c r="B591">
        <v>10241</v>
      </c>
      <c r="C591">
        <v>41</v>
      </c>
      <c r="D591" s="21">
        <v>100</v>
      </c>
      <c r="E591" s="22">
        <v>38090</v>
      </c>
      <c r="F591" t="s">
        <v>13</v>
      </c>
      <c r="G591" t="s">
        <v>202</v>
      </c>
      <c r="H591">
        <v>2</v>
      </c>
      <c r="I591">
        <v>2004</v>
      </c>
      <c r="J591" t="s">
        <v>61</v>
      </c>
      <c r="K591" t="s">
        <v>197</v>
      </c>
    </row>
    <row r="592" spans="1:11">
      <c r="A592" t="s">
        <v>97</v>
      </c>
      <c r="B592">
        <v>10280</v>
      </c>
      <c r="C592">
        <v>26</v>
      </c>
      <c r="D592" s="21">
        <v>100</v>
      </c>
      <c r="E592" s="22">
        <v>38216</v>
      </c>
      <c r="F592" t="s">
        <v>13</v>
      </c>
      <c r="G592" t="s">
        <v>202</v>
      </c>
      <c r="H592">
        <v>3</v>
      </c>
      <c r="I592">
        <v>2004</v>
      </c>
      <c r="J592" t="s">
        <v>22</v>
      </c>
      <c r="K592" t="s">
        <v>98</v>
      </c>
    </row>
    <row r="593" spans="1:11">
      <c r="A593" t="s">
        <v>159</v>
      </c>
      <c r="B593">
        <v>10288</v>
      </c>
      <c r="C593">
        <v>32</v>
      </c>
      <c r="D593" s="21">
        <v>100</v>
      </c>
      <c r="E593" s="22">
        <v>38231</v>
      </c>
      <c r="F593" t="s">
        <v>13</v>
      </c>
      <c r="G593" t="s">
        <v>202</v>
      </c>
      <c r="H593">
        <v>3</v>
      </c>
      <c r="I593">
        <v>2004</v>
      </c>
      <c r="J593" t="s">
        <v>22</v>
      </c>
      <c r="K593" t="s">
        <v>160</v>
      </c>
    </row>
    <row r="594" spans="1:11">
      <c r="A594" t="s">
        <v>67</v>
      </c>
      <c r="B594">
        <v>10302</v>
      </c>
      <c r="C594">
        <v>43</v>
      </c>
      <c r="D594" s="21">
        <v>100</v>
      </c>
      <c r="E594" s="22">
        <v>37900</v>
      </c>
      <c r="F594" t="s">
        <v>13</v>
      </c>
      <c r="G594" t="s">
        <v>202</v>
      </c>
      <c r="H594">
        <v>4</v>
      </c>
      <c r="I594">
        <v>2003</v>
      </c>
      <c r="J594" t="s">
        <v>61</v>
      </c>
      <c r="K594" t="s">
        <v>68</v>
      </c>
    </row>
    <row r="595" spans="1:11">
      <c r="A595" t="s">
        <v>103</v>
      </c>
      <c r="B595">
        <v>10312</v>
      </c>
      <c r="C595">
        <v>48</v>
      </c>
      <c r="D595" s="21">
        <v>100</v>
      </c>
      <c r="E595" s="22">
        <v>38281</v>
      </c>
      <c r="F595" t="s">
        <v>13</v>
      </c>
      <c r="G595" t="s">
        <v>202</v>
      </c>
      <c r="H595">
        <v>4</v>
      </c>
      <c r="I595">
        <v>2004</v>
      </c>
      <c r="J595" t="s">
        <v>61</v>
      </c>
      <c r="K595" t="s">
        <v>104</v>
      </c>
    </row>
    <row r="596" spans="1:11">
      <c r="A596" t="s">
        <v>116</v>
      </c>
      <c r="B596">
        <v>10331</v>
      </c>
      <c r="C596">
        <v>44</v>
      </c>
      <c r="D596" s="21">
        <v>74.04</v>
      </c>
      <c r="E596" s="22">
        <v>38308</v>
      </c>
      <c r="F596" t="s">
        <v>13</v>
      </c>
      <c r="G596" t="s">
        <v>202</v>
      </c>
      <c r="H596">
        <v>4</v>
      </c>
      <c r="I596">
        <v>2004</v>
      </c>
      <c r="J596" t="s">
        <v>22</v>
      </c>
      <c r="K596" t="s">
        <v>117</v>
      </c>
    </row>
    <row r="597" spans="1:11">
      <c r="A597" t="s">
        <v>163</v>
      </c>
      <c r="B597">
        <v>10344</v>
      </c>
      <c r="C597">
        <v>45</v>
      </c>
      <c r="D597" s="21">
        <v>100</v>
      </c>
      <c r="E597" s="22">
        <v>38316</v>
      </c>
      <c r="F597" t="s">
        <v>13</v>
      </c>
      <c r="G597" t="s">
        <v>202</v>
      </c>
      <c r="H597">
        <v>4</v>
      </c>
      <c r="I597">
        <v>2004</v>
      </c>
      <c r="J597" t="s">
        <v>61</v>
      </c>
      <c r="K597" t="s">
        <v>164</v>
      </c>
    </row>
    <row r="598" spans="1:11">
      <c r="A598" t="s">
        <v>25</v>
      </c>
      <c r="B598">
        <v>10367</v>
      </c>
      <c r="C598">
        <v>37</v>
      </c>
      <c r="D598" s="21">
        <v>100</v>
      </c>
      <c r="E598" s="22">
        <v>38364</v>
      </c>
      <c r="F598" t="s">
        <v>155</v>
      </c>
      <c r="G598" t="s">
        <v>202</v>
      </c>
      <c r="H598">
        <v>1</v>
      </c>
      <c r="I598">
        <v>2005</v>
      </c>
      <c r="J598" t="s">
        <v>22</v>
      </c>
      <c r="K598" t="s">
        <v>26</v>
      </c>
    </row>
    <row r="599" spans="1:11">
      <c r="A599" t="s">
        <v>69</v>
      </c>
      <c r="B599">
        <v>10379</v>
      </c>
      <c r="C599">
        <v>39</v>
      </c>
      <c r="D599" s="21">
        <v>100</v>
      </c>
      <c r="E599" s="22">
        <v>38393</v>
      </c>
      <c r="F599" t="s">
        <v>13</v>
      </c>
      <c r="G599" t="s">
        <v>202</v>
      </c>
      <c r="H599">
        <v>1</v>
      </c>
      <c r="I599">
        <v>2005</v>
      </c>
      <c r="J599" t="s">
        <v>22</v>
      </c>
      <c r="K599" t="s">
        <v>71</v>
      </c>
    </row>
    <row r="600" spans="1:11">
      <c r="A600" t="s">
        <v>149</v>
      </c>
      <c r="B600">
        <v>10407</v>
      </c>
      <c r="C600">
        <v>76</v>
      </c>
      <c r="D600" s="21">
        <v>100</v>
      </c>
      <c r="E600" s="22">
        <v>38464</v>
      </c>
      <c r="F600" t="s">
        <v>151</v>
      </c>
      <c r="G600" t="s">
        <v>202</v>
      </c>
      <c r="H600">
        <v>2</v>
      </c>
      <c r="I600">
        <v>2005</v>
      </c>
      <c r="J600" t="s">
        <v>61</v>
      </c>
      <c r="K600" t="s">
        <v>150</v>
      </c>
    </row>
    <row r="601" spans="1:11">
      <c r="A601" t="s">
        <v>63</v>
      </c>
      <c r="B601">
        <v>10420</v>
      </c>
      <c r="C601">
        <v>37</v>
      </c>
      <c r="D601" s="21">
        <v>100</v>
      </c>
      <c r="E601" s="22">
        <v>38501</v>
      </c>
      <c r="F601" t="s">
        <v>113</v>
      </c>
      <c r="G601" t="s">
        <v>202</v>
      </c>
      <c r="H601">
        <v>2</v>
      </c>
      <c r="I601">
        <v>2005</v>
      </c>
      <c r="J601" t="s">
        <v>22</v>
      </c>
      <c r="K601" t="s">
        <v>64</v>
      </c>
    </row>
    <row r="602" spans="1:11">
      <c r="A602" t="s">
        <v>161</v>
      </c>
      <c r="B602">
        <v>10108</v>
      </c>
      <c r="C602">
        <v>38</v>
      </c>
      <c r="D602" s="21">
        <v>82.39</v>
      </c>
      <c r="E602" s="22">
        <v>37683</v>
      </c>
      <c r="F602" t="s">
        <v>13</v>
      </c>
      <c r="G602" t="s">
        <v>72</v>
      </c>
      <c r="H602">
        <v>1</v>
      </c>
      <c r="I602">
        <v>2003</v>
      </c>
      <c r="J602" t="s">
        <v>22</v>
      </c>
      <c r="K602" t="s">
        <v>162</v>
      </c>
    </row>
    <row r="603" spans="1:11">
      <c r="A603" t="s">
        <v>163</v>
      </c>
      <c r="B603">
        <v>10122</v>
      </c>
      <c r="C603">
        <v>43</v>
      </c>
      <c r="D603" s="21">
        <v>72.38</v>
      </c>
      <c r="E603" s="22">
        <v>37749</v>
      </c>
      <c r="F603" t="s">
        <v>13</v>
      </c>
      <c r="G603" t="s">
        <v>72</v>
      </c>
      <c r="H603">
        <v>2</v>
      </c>
      <c r="I603">
        <v>2003</v>
      </c>
      <c r="J603" t="s">
        <v>22</v>
      </c>
      <c r="K603" t="s">
        <v>164</v>
      </c>
    </row>
    <row r="604" spans="1:11">
      <c r="A604" t="s">
        <v>103</v>
      </c>
      <c r="B604">
        <v>10135</v>
      </c>
      <c r="C604">
        <v>48</v>
      </c>
      <c r="D604" s="21">
        <v>79.31</v>
      </c>
      <c r="E604" s="22">
        <v>37804</v>
      </c>
      <c r="F604" t="s">
        <v>13</v>
      </c>
      <c r="G604" t="s">
        <v>72</v>
      </c>
      <c r="H604">
        <v>3</v>
      </c>
      <c r="I604">
        <v>2003</v>
      </c>
      <c r="J604" t="s">
        <v>22</v>
      </c>
      <c r="K604" t="s">
        <v>104</v>
      </c>
    </row>
    <row r="605" spans="1:11">
      <c r="A605" t="s">
        <v>107</v>
      </c>
      <c r="B605">
        <v>10147</v>
      </c>
      <c r="C605">
        <v>26</v>
      </c>
      <c r="D605" s="21">
        <v>82.39</v>
      </c>
      <c r="E605" s="22">
        <v>37869</v>
      </c>
      <c r="F605" t="s">
        <v>13</v>
      </c>
      <c r="G605" t="s">
        <v>72</v>
      </c>
      <c r="H605">
        <v>3</v>
      </c>
      <c r="I605">
        <v>2003</v>
      </c>
      <c r="J605" t="s">
        <v>15</v>
      </c>
      <c r="K605" t="s">
        <v>108</v>
      </c>
    </row>
    <row r="606" spans="1:11">
      <c r="A606" t="s">
        <v>135</v>
      </c>
      <c r="B606">
        <v>10160</v>
      </c>
      <c r="C606">
        <v>38</v>
      </c>
      <c r="D606" s="21">
        <v>88.55</v>
      </c>
      <c r="E606" s="22">
        <v>37905</v>
      </c>
      <c r="F606" t="s">
        <v>13</v>
      </c>
      <c r="G606" t="s">
        <v>72</v>
      </c>
      <c r="H606">
        <v>4</v>
      </c>
      <c r="I606">
        <v>2003</v>
      </c>
      <c r="J606" t="s">
        <v>22</v>
      </c>
      <c r="K606" t="s">
        <v>136</v>
      </c>
    </row>
    <row r="607" spans="1:11">
      <c r="A607" t="s">
        <v>154</v>
      </c>
      <c r="B607">
        <v>10170</v>
      </c>
      <c r="C607">
        <v>20</v>
      </c>
      <c r="D607" s="21">
        <v>63.14</v>
      </c>
      <c r="E607" s="22">
        <v>37929</v>
      </c>
      <c r="F607" t="s">
        <v>13</v>
      </c>
      <c r="G607" t="s">
        <v>72</v>
      </c>
      <c r="H607">
        <v>4</v>
      </c>
      <c r="I607">
        <v>2003</v>
      </c>
      <c r="J607" t="s">
        <v>15</v>
      </c>
      <c r="K607" t="s">
        <v>156</v>
      </c>
    </row>
    <row r="608" spans="1:11">
      <c r="A608" t="s">
        <v>36</v>
      </c>
      <c r="B608">
        <v>10181</v>
      </c>
      <c r="C608">
        <v>22</v>
      </c>
      <c r="D608" s="21">
        <v>73.92</v>
      </c>
      <c r="E608" s="22">
        <v>37937</v>
      </c>
      <c r="F608" t="s">
        <v>13</v>
      </c>
      <c r="G608" t="s">
        <v>72</v>
      </c>
      <c r="H608">
        <v>4</v>
      </c>
      <c r="I608">
        <v>2003</v>
      </c>
      <c r="J608" t="s">
        <v>15</v>
      </c>
      <c r="K608" t="s">
        <v>37</v>
      </c>
    </row>
    <row r="609" spans="1:11">
      <c r="A609" t="s">
        <v>105</v>
      </c>
      <c r="B609">
        <v>10192</v>
      </c>
      <c r="C609">
        <v>45</v>
      </c>
      <c r="D609" s="21">
        <v>90.86</v>
      </c>
      <c r="E609" s="22">
        <v>37945</v>
      </c>
      <c r="F609" t="s">
        <v>13</v>
      </c>
      <c r="G609" t="s">
        <v>72</v>
      </c>
      <c r="H609">
        <v>4</v>
      </c>
      <c r="I609">
        <v>2003</v>
      </c>
      <c r="J609" t="s">
        <v>22</v>
      </c>
      <c r="K609" t="s">
        <v>106</v>
      </c>
    </row>
    <row r="610" spans="1:11">
      <c r="A610" t="s">
        <v>69</v>
      </c>
      <c r="B610">
        <v>10203</v>
      </c>
      <c r="C610">
        <v>45</v>
      </c>
      <c r="D610" s="21">
        <v>85.47</v>
      </c>
      <c r="E610" s="22">
        <v>37957</v>
      </c>
      <c r="F610" t="s">
        <v>13</v>
      </c>
      <c r="G610" t="s">
        <v>72</v>
      </c>
      <c r="H610">
        <v>4</v>
      </c>
      <c r="I610">
        <v>2003</v>
      </c>
      <c r="J610" t="s">
        <v>22</v>
      </c>
      <c r="K610" t="s">
        <v>71</v>
      </c>
    </row>
    <row r="611" spans="1:11">
      <c r="A611" t="s">
        <v>69</v>
      </c>
      <c r="B611">
        <v>10212</v>
      </c>
      <c r="C611">
        <v>20</v>
      </c>
      <c r="D611" s="21">
        <v>66.99</v>
      </c>
      <c r="E611" s="22">
        <v>38002</v>
      </c>
      <c r="F611" t="s">
        <v>13</v>
      </c>
      <c r="G611" t="s">
        <v>72</v>
      </c>
      <c r="H611">
        <v>1</v>
      </c>
      <c r="I611">
        <v>2004</v>
      </c>
      <c r="J611" t="s">
        <v>15</v>
      </c>
      <c r="K611" t="s">
        <v>71</v>
      </c>
    </row>
    <row r="612" spans="1:11">
      <c r="A612" t="s">
        <v>167</v>
      </c>
      <c r="B612">
        <v>10225</v>
      </c>
      <c r="C612">
        <v>47</v>
      </c>
      <c r="D612" s="21">
        <v>64.68</v>
      </c>
      <c r="E612" s="22">
        <v>38039</v>
      </c>
      <c r="F612" t="s">
        <v>13</v>
      </c>
      <c r="G612" t="s">
        <v>72</v>
      </c>
      <c r="H612">
        <v>1</v>
      </c>
      <c r="I612">
        <v>2004</v>
      </c>
      <c r="J612" t="s">
        <v>22</v>
      </c>
      <c r="K612" t="s">
        <v>168</v>
      </c>
    </row>
    <row r="613" spans="1:11">
      <c r="A613" t="s">
        <v>147</v>
      </c>
      <c r="B613">
        <v>10239</v>
      </c>
      <c r="C613">
        <v>46</v>
      </c>
      <c r="D613" s="21">
        <v>73.92</v>
      </c>
      <c r="E613" s="22">
        <v>38089</v>
      </c>
      <c r="F613" t="s">
        <v>13</v>
      </c>
      <c r="G613" t="s">
        <v>72</v>
      </c>
      <c r="H613">
        <v>2</v>
      </c>
      <c r="I613">
        <v>2004</v>
      </c>
      <c r="J613" t="s">
        <v>22</v>
      </c>
      <c r="K613" t="s">
        <v>148</v>
      </c>
    </row>
    <row r="614" spans="1:11">
      <c r="A614" t="s">
        <v>67</v>
      </c>
      <c r="B614">
        <v>10253</v>
      </c>
      <c r="C614">
        <v>23</v>
      </c>
      <c r="D614" s="21">
        <v>83.93</v>
      </c>
      <c r="E614" s="22">
        <v>38139</v>
      </c>
      <c r="F614" t="s">
        <v>128</v>
      </c>
      <c r="G614" t="s">
        <v>72</v>
      </c>
      <c r="H614">
        <v>2</v>
      </c>
      <c r="I614">
        <v>2004</v>
      </c>
      <c r="J614" t="s">
        <v>15</v>
      </c>
      <c r="K614" t="s">
        <v>68</v>
      </c>
    </row>
    <row r="615" spans="1:11">
      <c r="A615" t="s">
        <v>169</v>
      </c>
      <c r="B615">
        <v>10266</v>
      </c>
      <c r="C615">
        <v>33</v>
      </c>
      <c r="D615" s="21">
        <v>74.69</v>
      </c>
      <c r="E615" s="22">
        <v>38174</v>
      </c>
      <c r="F615" t="s">
        <v>13</v>
      </c>
      <c r="G615" t="s">
        <v>72</v>
      </c>
      <c r="H615">
        <v>3</v>
      </c>
      <c r="I615">
        <v>2004</v>
      </c>
      <c r="J615" t="s">
        <v>15</v>
      </c>
      <c r="K615" t="s">
        <v>170</v>
      </c>
    </row>
    <row r="616" spans="1:11">
      <c r="A616" t="s">
        <v>198</v>
      </c>
      <c r="B616">
        <v>10278</v>
      </c>
      <c r="C616">
        <v>29</v>
      </c>
      <c r="D616" s="21">
        <v>90.86</v>
      </c>
      <c r="E616" s="22">
        <v>38205</v>
      </c>
      <c r="F616" t="s">
        <v>13</v>
      </c>
      <c r="G616" t="s">
        <v>72</v>
      </c>
      <c r="H616">
        <v>3</v>
      </c>
      <c r="I616">
        <v>2004</v>
      </c>
      <c r="J616" t="s">
        <v>15</v>
      </c>
      <c r="K616" t="s">
        <v>199</v>
      </c>
    </row>
    <row r="617" spans="1:11">
      <c r="A617" t="s">
        <v>167</v>
      </c>
      <c r="B617">
        <v>10287</v>
      </c>
      <c r="C617">
        <v>44</v>
      </c>
      <c r="D617" s="21">
        <v>82.39</v>
      </c>
      <c r="E617" s="22">
        <v>38229</v>
      </c>
      <c r="F617" t="s">
        <v>13</v>
      </c>
      <c r="G617" t="s">
        <v>72</v>
      </c>
      <c r="H617">
        <v>3</v>
      </c>
      <c r="I617">
        <v>2004</v>
      </c>
      <c r="J617" t="s">
        <v>22</v>
      </c>
      <c r="K617" t="s">
        <v>168</v>
      </c>
    </row>
    <row r="618" spans="1:11">
      <c r="A618" t="s">
        <v>173</v>
      </c>
      <c r="B618">
        <v>10300</v>
      </c>
      <c r="C618">
        <v>41</v>
      </c>
      <c r="D618" s="21">
        <v>92.4</v>
      </c>
      <c r="E618" s="22">
        <v>37898</v>
      </c>
      <c r="F618" t="s">
        <v>13</v>
      </c>
      <c r="G618" t="s">
        <v>72</v>
      </c>
      <c r="H618">
        <v>4</v>
      </c>
      <c r="I618">
        <v>2003</v>
      </c>
      <c r="J618" t="s">
        <v>22</v>
      </c>
      <c r="K618" t="s">
        <v>174</v>
      </c>
    </row>
    <row r="619" spans="1:11">
      <c r="A619" t="s">
        <v>165</v>
      </c>
      <c r="B619">
        <v>10310</v>
      </c>
      <c r="C619">
        <v>20</v>
      </c>
      <c r="D619" s="21">
        <v>91.63</v>
      </c>
      <c r="E619" s="22">
        <v>38276</v>
      </c>
      <c r="F619" t="s">
        <v>13</v>
      </c>
      <c r="G619" t="s">
        <v>72</v>
      </c>
      <c r="H619">
        <v>4</v>
      </c>
      <c r="I619">
        <v>2004</v>
      </c>
      <c r="J619" t="s">
        <v>15</v>
      </c>
      <c r="K619" t="s">
        <v>166</v>
      </c>
    </row>
    <row r="620" spans="1:11">
      <c r="A620" t="s">
        <v>65</v>
      </c>
      <c r="B620">
        <v>10321</v>
      </c>
      <c r="C620">
        <v>37</v>
      </c>
      <c r="D620" s="21">
        <v>78.54</v>
      </c>
      <c r="E620" s="22">
        <v>38295</v>
      </c>
      <c r="F620" t="s">
        <v>13</v>
      </c>
      <c r="G620" t="s">
        <v>72</v>
      </c>
      <c r="H620">
        <v>4</v>
      </c>
      <c r="I620">
        <v>2004</v>
      </c>
      <c r="J620" t="s">
        <v>15</v>
      </c>
      <c r="K620" t="s">
        <v>66</v>
      </c>
    </row>
    <row r="621" spans="1:11">
      <c r="A621" t="s">
        <v>12</v>
      </c>
      <c r="B621">
        <v>10329</v>
      </c>
      <c r="C621">
        <v>29</v>
      </c>
      <c r="D621" s="21">
        <v>100</v>
      </c>
      <c r="E621" s="22">
        <v>38306</v>
      </c>
      <c r="F621" t="s">
        <v>13</v>
      </c>
      <c r="G621" t="s">
        <v>72</v>
      </c>
      <c r="H621">
        <v>4</v>
      </c>
      <c r="I621">
        <v>2004</v>
      </c>
      <c r="J621" t="s">
        <v>15</v>
      </c>
      <c r="K621" t="s">
        <v>16</v>
      </c>
    </row>
    <row r="622" spans="1:11">
      <c r="A622" t="s">
        <v>42</v>
      </c>
      <c r="B622">
        <v>10342</v>
      </c>
      <c r="C622">
        <v>55</v>
      </c>
      <c r="D622" s="21">
        <v>65.45</v>
      </c>
      <c r="E622" s="22">
        <v>38315</v>
      </c>
      <c r="F622" t="s">
        <v>13</v>
      </c>
      <c r="G622" t="s">
        <v>72</v>
      </c>
      <c r="H622">
        <v>4</v>
      </c>
      <c r="I622">
        <v>2004</v>
      </c>
      <c r="J622" t="s">
        <v>22</v>
      </c>
      <c r="K622" t="s">
        <v>43</v>
      </c>
    </row>
    <row r="623" spans="1:11">
      <c r="A623" t="s">
        <v>175</v>
      </c>
      <c r="B623">
        <v>10363</v>
      </c>
      <c r="C623">
        <v>22</v>
      </c>
      <c r="D623" s="21">
        <v>100</v>
      </c>
      <c r="E623" s="22">
        <v>38358</v>
      </c>
      <c r="F623" t="s">
        <v>13</v>
      </c>
      <c r="G623" t="s">
        <v>72</v>
      </c>
      <c r="H623">
        <v>1</v>
      </c>
      <c r="I623">
        <v>2005</v>
      </c>
      <c r="J623" t="s">
        <v>22</v>
      </c>
      <c r="K623" t="s">
        <v>176</v>
      </c>
    </row>
    <row r="624" spans="1:11">
      <c r="A624" t="s">
        <v>54</v>
      </c>
      <c r="B624">
        <v>10377</v>
      </c>
      <c r="C624">
        <v>31</v>
      </c>
      <c r="D624" s="21">
        <v>67.76</v>
      </c>
      <c r="E624" s="22">
        <v>38392</v>
      </c>
      <c r="F624" t="s">
        <v>13</v>
      </c>
      <c r="G624" t="s">
        <v>72</v>
      </c>
      <c r="H624">
        <v>1</v>
      </c>
      <c r="I624">
        <v>2005</v>
      </c>
      <c r="J624" t="s">
        <v>15</v>
      </c>
      <c r="K624" t="s">
        <v>55</v>
      </c>
    </row>
    <row r="625" spans="1:11">
      <c r="A625" t="s">
        <v>99</v>
      </c>
      <c r="B625">
        <v>10389</v>
      </c>
      <c r="C625">
        <v>49</v>
      </c>
      <c r="D625" s="21">
        <v>79.22</v>
      </c>
      <c r="E625" s="22">
        <v>38414</v>
      </c>
      <c r="F625" t="s">
        <v>13</v>
      </c>
      <c r="G625" t="s">
        <v>72</v>
      </c>
      <c r="H625">
        <v>1</v>
      </c>
      <c r="I625">
        <v>2005</v>
      </c>
      <c r="J625" t="s">
        <v>22</v>
      </c>
      <c r="K625" t="s">
        <v>100</v>
      </c>
    </row>
    <row r="626" spans="1:11">
      <c r="A626" t="s">
        <v>196</v>
      </c>
      <c r="B626">
        <v>10405</v>
      </c>
      <c r="C626">
        <v>61</v>
      </c>
      <c r="D626" s="21">
        <v>73.92</v>
      </c>
      <c r="E626" s="22">
        <v>38456</v>
      </c>
      <c r="F626" t="s">
        <v>13</v>
      </c>
      <c r="G626" t="s">
        <v>72</v>
      </c>
      <c r="H626">
        <v>2</v>
      </c>
      <c r="I626">
        <v>2005</v>
      </c>
      <c r="J626" t="s">
        <v>22</v>
      </c>
      <c r="K626" t="s">
        <v>197</v>
      </c>
    </row>
    <row r="627" spans="1:11">
      <c r="A627" t="s">
        <v>60</v>
      </c>
      <c r="B627">
        <v>10419</v>
      </c>
      <c r="C627">
        <v>39</v>
      </c>
      <c r="D627" s="21">
        <v>83.93</v>
      </c>
      <c r="E627" s="22">
        <v>38489</v>
      </c>
      <c r="F627" t="s">
        <v>13</v>
      </c>
      <c r="G627" t="s">
        <v>72</v>
      </c>
      <c r="H627">
        <v>2</v>
      </c>
      <c r="I627">
        <v>2005</v>
      </c>
      <c r="J627" t="s">
        <v>22</v>
      </c>
      <c r="K627" t="s">
        <v>62</v>
      </c>
    </row>
    <row r="628" spans="1:11">
      <c r="A628" t="s">
        <v>116</v>
      </c>
      <c r="B628">
        <v>10109</v>
      </c>
      <c r="C628">
        <v>38</v>
      </c>
      <c r="D628" s="21">
        <v>100</v>
      </c>
      <c r="E628" s="22">
        <v>37690</v>
      </c>
      <c r="F628" t="s">
        <v>13</v>
      </c>
      <c r="G628" t="s">
        <v>72</v>
      </c>
      <c r="H628">
        <v>1</v>
      </c>
      <c r="I628">
        <v>2003</v>
      </c>
      <c r="J628" t="s">
        <v>22</v>
      </c>
      <c r="K628" t="s">
        <v>117</v>
      </c>
    </row>
    <row r="629" spans="1:11">
      <c r="A629" t="s">
        <v>163</v>
      </c>
      <c r="B629">
        <v>10122</v>
      </c>
      <c r="C629">
        <v>31</v>
      </c>
      <c r="D629" s="21">
        <v>100</v>
      </c>
      <c r="E629" s="22">
        <v>37749</v>
      </c>
      <c r="F629" t="s">
        <v>13</v>
      </c>
      <c r="G629" t="s">
        <v>72</v>
      </c>
      <c r="H629">
        <v>2</v>
      </c>
      <c r="I629">
        <v>2003</v>
      </c>
      <c r="J629" t="s">
        <v>22</v>
      </c>
      <c r="K629" t="s">
        <v>164</v>
      </c>
    </row>
    <row r="630" spans="1:11">
      <c r="A630" t="s">
        <v>129</v>
      </c>
      <c r="B630">
        <v>10136</v>
      </c>
      <c r="C630">
        <v>36</v>
      </c>
      <c r="D630" s="21">
        <v>100</v>
      </c>
      <c r="E630" s="22">
        <v>37806</v>
      </c>
      <c r="F630" t="s">
        <v>13</v>
      </c>
      <c r="G630" t="s">
        <v>72</v>
      </c>
      <c r="H630">
        <v>3</v>
      </c>
      <c r="I630">
        <v>2003</v>
      </c>
      <c r="J630" t="s">
        <v>22</v>
      </c>
      <c r="K630" t="s">
        <v>130</v>
      </c>
    </row>
    <row r="631" spans="1:11">
      <c r="A631" t="s">
        <v>109</v>
      </c>
      <c r="B631">
        <v>10148</v>
      </c>
      <c r="C631">
        <v>25</v>
      </c>
      <c r="D631" s="21">
        <v>100</v>
      </c>
      <c r="E631" s="22">
        <v>37875</v>
      </c>
      <c r="F631" t="s">
        <v>13</v>
      </c>
      <c r="G631" t="s">
        <v>72</v>
      </c>
      <c r="H631">
        <v>3</v>
      </c>
      <c r="I631">
        <v>2003</v>
      </c>
      <c r="J631" t="s">
        <v>22</v>
      </c>
      <c r="K631" t="s">
        <v>110</v>
      </c>
    </row>
    <row r="632" spans="1:11">
      <c r="A632" t="s">
        <v>185</v>
      </c>
      <c r="B632">
        <v>10161</v>
      </c>
      <c r="C632">
        <v>48</v>
      </c>
      <c r="D632" s="21">
        <v>100</v>
      </c>
      <c r="E632" s="22">
        <v>37911</v>
      </c>
      <c r="F632" t="s">
        <v>13</v>
      </c>
      <c r="G632" t="s">
        <v>72</v>
      </c>
      <c r="H632">
        <v>4</v>
      </c>
      <c r="I632">
        <v>2003</v>
      </c>
      <c r="J632" t="s">
        <v>22</v>
      </c>
      <c r="K632" t="s">
        <v>186</v>
      </c>
    </row>
    <row r="633" spans="1:11">
      <c r="A633" t="s">
        <v>111</v>
      </c>
      <c r="B633">
        <v>10171</v>
      </c>
      <c r="C633">
        <v>35</v>
      </c>
      <c r="D633" s="21">
        <v>100</v>
      </c>
      <c r="E633" s="22">
        <v>37930</v>
      </c>
      <c r="F633" t="s">
        <v>13</v>
      </c>
      <c r="G633" t="s">
        <v>72</v>
      </c>
      <c r="H633">
        <v>4</v>
      </c>
      <c r="I633">
        <v>2003</v>
      </c>
      <c r="J633" t="s">
        <v>22</v>
      </c>
      <c r="K633" t="s">
        <v>112</v>
      </c>
    </row>
    <row r="634" spans="1:11">
      <c r="A634" t="s">
        <v>36</v>
      </c>
      <c r="B634">
        <v>10181</v>
      </c>
      <c r="C634">
        <v>21</v>
      </c>
      <c r="D634" s="21">
        <v>100</v>
      </c>
      <c r="E634" s="22">
        <v>37937</v>
      </c>
      <c r="F634" t="s">
        <v>13</v>
      </c>
      <c r="G634" t="s">
        <v>72</v>
      </c>
      <c r="H634">
        <v>4</v>
      </c>
      <c r="I634">
        <v>2003</v>
      </c>
      <c r="J634" t="s">
        <v>22</v>
      </c>
      <c r="K634" t="s">
        <v>37</v>
      </c>
    </row>
    <row r="635" spans="1:11">
      <c r="A635" t="s">
        <v>105</v>
      </c>
      <c r="B635">
        <v>10192</v>
      </c>
      <c r="C635">
        <v>47</v>
      </c>
      <c r="D635" s="21">
        <v>100</v>
      </c>
      <c r="E635" s="22">
        <v>37945</v>
      </c>
      <c r="F635" t="s">
        <v>13</v>
      </c>
      <c r="G635" t="s">
        <v>72</v>
      </c>
      <c r="H635">
        <v>4</v>
      </c>
      <c r="I635">
        <v>2003</v>
      </c>
      <c r="J635" t="s">
        <v>61</v>
      </c>
      <c r="K635" t="s">
        <v>106</v>
      </c>
    </row>
    <row r="636" spans="1:11">
      <c r="A636" t="s">
        <v>177</v>
      </c>
      <c r="B636">
        <v>10204</v>
      </c>
      <c r="C636">
        <v>38</v>
      </c>
      <c r="D636" s="21">
        <v>100</v>
      </c>
      <c r="E636" s="22">
        <v>37957</v>
      </c>
      <c r="F636" t="s">
        <v>13</v>
      </c>
      <c r="G636" t="s">
        <v>72</v>
      </c>
      <c r="H636">
        <v>4</v>
      </c>
      <c r="I636">
        <v>2003</v>
      </c>
      <c r="J636" t="s">
        <v>22</v>
      </c>
      <c r="K636" t="s">
        <v>178</v>
      </c>
    </row>
    <row r="637" spans="1:11">
      <c r="A637" t="s">
        <v>69</v>
      </c>
      <c r="B637">
        <v>10212</v>
      </c>
      <c r="C637">
        <v>41</v>
      </c>
      <c r="D637" s="21">
        <v>100</v>
      </c>
      <c r="E637" s="22">
        <v>38002</v>
      </c>
      <c r="F637" t="s">
        <v>13</v>
      </c>
      <c r="G637" t="s">
        <v>72</v>
      </c>
      <c r="H637">
        <v>1</v>
      </c>
      <c r="I637">
        <v>2004</v>
      </c>
      <c r="J637" t="s">
        <v>22</v>
      </c>
      <c r="K637" t="s">
        <v>71</v>
      </c>
    </row>
    <row r="638" spans="1:11">
      <c r="A638" t="s">
        <v>137</v>
      </c>
      <c r="B638">
        <v>10226</v>
      </c>
      <c r="C638">
        <v>24</v>
      </c>
      <c r="D638" s="21">
        <v>100</v>
      </c>
      <c r="E638" s="22">
        <v>38043</v>
      </c>
      <c r="F638" t="s">
        <v>13</v>
      </c>
      <c r="G638" t="s">
        <v>72</v>
      </c>
      <c r="H638">
        <v>1</v>
      </c>
      <c r="I638">
        <v>2004</v>
      </c>
      <c r="J638" t="s">
        <v>22</v>
      </c>
      <c r="K638" t="s">
        <v>138</v>
      </c>
    </row>
    <row r="639" spans="1:11">
      <c r="A639" t="s">
        <v>114</v>
      </c>
      <c r="B639">
        <v>10240</v>
      </c>
      <c r="C639">
        <v>37</v>
      </c>
      <c r="D639" s="21">
        <v>100</v>
      </c>
      <c r="E639" s="22">
        <v>38090</v>
      </c>
      <c r="F639" t="s">
        <v>13</v>
      </c>
      <c r="G639" t="s">
        <v>72</v>
      </c>
      <c r="H639">
        <v>2</v>
      </c>
      <c r="I639">
        <v>2004</v>
      </c>
      <c r="J639" t="s">
        <v>22</v>
      </c>
      <c r="K639" t="s">
        <v>115</v>
      </c>
    </row>
    <row r="640" spans="1:11">
      <c r="A640" t="s">
        <v>67</v>
      </c>
      <c r="B640">
        <v>10253</v>
      </c>
      <c r="C640">
        <v>33</v>
      </c>
      <c r="D640" s="21">
        <v>100</v>
      </c>
      <c r="E640" s="22">
        <v>38139</v>
      </c>
      <c r="F640" t="s">
        <v>128</v>
      </c>
      <c r="G640" t="s">
        <v>72</v>
      </c>
      <c r="H640">
        <v>2</v>
      </c>
      <c r="I640">
        <v>2004</v>
      </c>
      <c r="J640" t="s">
        <v>22</v>
      </c>
      <c r="K640" t="s">
        <v>68</v>
      </c>
    </row>
    <row r="641" spans="1:11">
      <c r="A641" t="s">
        <v>169</v>
      </c>
      <c r="B641">
        <v>10266</v>
      </c>
      <c r="C641">
        <v>49</v>
      </c>
      <c r="D641" s="21">
        <v>100</v>
      </c>
      <c r="E641" s="22">
        <v>38174</v>
      </c>
      <c r="F641" t="s">
        <v>13</v>
      </c>
      <c r="G641" t="s">
        <v>72</v>
      </c>
      <c r="H641">
        <v>3</v>
      </c>
      <c r="I641">
        <v>2004</v>
      </c>
      <c r="J641" t="s">
        <v>22</v>
      </c>
      <c r="K641" t="s">
        <v>170</v>
      </c>
    </row>
    <row r="642" spans="1:11">
      <c r="A642" t="s">
        <v>198</v>
      </c>
      <c r="B642">
        <v>10278</v>
      </c>
      <c r="C642">
        <v>29</v>
      </c>
      <c r="D642" s="21">
        <v>100</v>
      </c>
      <c r="E642" s="22">
        <v>38205</v>
      </c>
      <c r="F642" t="s">
        <v>13</v>
      </c>
      <c r="G642" t="s">
        <v>72</v>
      </c>
      <c r="H642">
        <v>3</v>
      </c>
      <c r="I642">
        <v>2004</v>
      </c>
      <c r="J642" t="s">
        <v>22</v>
      </c>
      <c r="K642" t="s">
        <v>199</v>
      </c>
    </row>
    <row r="643" spans="1:11">
      <c r="A643" t="s">
        <v>167</v>
      </c>
      <c r="B643">
        <v>10287</v>
      </c>
      <c r="C643">
        <v>24</v>
      </c>
      <c r="D643" s="21">
        <v>100</v>
      </c>
      <c r="E643" s="22">
        <v>38229</v>
      </c>
      <c r="F643" t="s">
        <v>13</v>
      </c>
      <c r="G643" t="s">
        <v>72</v>
      </c>
      <c r="H643">
        <v>3</v>
      </c>
      <c r="I643">
        <v>2004</v>
      </c>
      <c r="J643" t="s">
        <v>22</v>
      </c>
      <c r="K643" t="s">
        <v>168</v>
      </c>
    </row>
    <row r="644" spans="1:11">
      <c r="A644" t="s">
        <v>200</v>
      </c>
      <c r="B644">
        <v>10301</v>
      </c>
      <c r="C644">
        <v>47</v>
      </c>
      <c r="D644" s="21">
        <v>100</v>
      </c>
      <c r="E644" s="22">
        <v>37899</v>
      </c>
      <c r="F644" t="s">
        <v>13</v>
      </c>
      <c r="G644" t="s">
        <v>72</v>
      </c>
      <c r="H644">
        <v>4</v>
      </c>
      <c r="I644">
        <v>2003</v>
      </c>
      <c r="J644" t="s">
        <v>61</v>
      </c>
      <c r="K644" t="s">
        <v>201</v>
      </c>
    </row>
    <row r="645" spans="1:11">
      <c r="A645" t="s">
        <v>165</v>
      </c>
      <c r="B645">
        <v>10310</v>
      </c>
      <c r="C645">
        <v>24</v>
      </c>
      <c r="D645" s="21">
        <v>100</v>
      </c>
      <c r="E645" s="22">
        <v>38276</v>
      </c>
      <c r="F645" t="s">
        <v>13</v>
      </c>
      <c r="G645" t="s">
        <v>72</v>
      </c>
      <c r="H645">
        <v>4</v>
      </c>
      <c r="I645">
        <v>2004</v>
      </c>
      <c r="J645" t="s">
        <v>22</v>
      </c>
      <c r="K645" t="s">
        <v>166</v>
      </c>
    </row>
    <row r="646" spans="1:11">
      <c r="A646" t="s">
        <v>65</v>
      </c>
      <c r="B646">
        <v>10321</v>
      </c>
      <c r="C646">
        <v>25</v>
      </c>
      <c r="D646" s="21">
        <v>100</v>
      </c>
      <c r="E646" s="22">
        <v>38295</v>
      </c>
      <c r="F646" t="s">
        <v>13</v>
      </c>
      <c r="G646" t="s">
        <v>72</v>
      </c>
      <c r="H646">
        <v>4</v>
      </c>
      <c r="I646">
        <v>2004</v>
      </c>
      <c r="J646" t="s">
        <v>22</v>
      </c>
      <c r="K646" t="s">
        <v>66</v>
      </c>
    </row>
    <row r="647" spans="1:11">
      <c r="A647" t="s">
        <v>116</v>
      </c>
      <c r="B647">
        <v>10331</v>
      </c>
      <c r="C647">
        <v>30</v>
      </c>
      <c r="D647" s="21">
        <v>32.47</v>
      </c>
      <c r="E647" s="22">
        <v>38308</v>
      </c>
      <c r="F647" t="s">
        <v>13</v>
      </c>
      <c r="G647" t="s">
        <v>72</v>
      </c>
      <c r="H647">
        <v>4</v>
      </c>
      <c r="I647">
        <v>2004</v>
      </c>
      <c r="J647" t="s">
        <v>15</v>
      </c>
      <c r="K647" t="s">
        <v>117</v>
      </c>
    </row>
    <row r="648" spans="1:11">
      <c r="A648" t="s">
        <v>42</v>
      </c>
      <c r="B648">
        <v>10342</v>
      </c>
      <c r="C648">
        <v>22</v>
      </c>
      <c r="D648" s="21">
        <v>100</v>
      </c>
      <c r="E648" s="22">
        <v>38315</v>
      </c>
      <c r="F648" t="s">
        <v>13</v>
      </c>
      <c r="G648" t="s">
        <v>72</v>
      </c>
      <c r="H648">
        <v>4</v>
      </c>
      <c r="I648">
        <v>2004</v>
      </c>
      <c r="J648" t="s">
        <v>22</v>
      </c>
      <c r="K648" t="s">
        <v>43</v>
      </c>
    </row>
    <row r="649" spans="1:11">
      <c r="A649" t="s">
        <v>21</v>
      </c>
      <c r="B649">
        <v>10356</v>
      </c>
      <c r="C649">
        <v>27</v>
      </c>
      <c r="D649" s="21">
        <v>64.69</v>
      </c>
      <c r="E649" s="22">
        <v>38330</v>
      </c>
      <c r="F649" t="s">
        <v>13</v>
      </c>
      <c r="G649" t="s">
        <v>72</v>
      </c>
      <c r="H649">
        <v>4</v>
      </c>
      <c r="I649">
        <v>2004</v>
      </c>
      <c r="J649" t="s">
        <v>15</v>
      </c>
      <c r="K649" t="s">
        <v>23</v>
      </c>
    </row>
    <row r="650" spans="1:11">
      <c r="A650" t="s">
        <v>212</v>
      </c>
      <c r="B650">
        <v>10366</v>
      </c>
      <c r="C650">
        <v>34</v>
      </c>
      <c r="D650" s="21">
        <v>100</v>
      </c>
      <c r="E650" s="22">
        <v>38362</v>
      </c>
      <c r="F650" t="s">
        <v>13</v>
      </c>
      <c r="G650" t="s">
        <v>72</v>
      </c>
      <c r="H650">
        <v>1</v>
      </c>
      <c r="I650">
        <v>2005</v>
      </c>
      <c r="J650" t="s">
        <v>22</v>
      </c>
      <c r="K650" t="s">
        <v>213</v>
      </c>
    </row>
    <row r="651" spans="1:11">
      <c r="A651" t="s">
        <v>54</v>
      </c>
      <c r="B651">
        <v>10377</v>
      </c>
      <c r="C651">
        <v>36</v>
      </c>
      <c r="D651" s="21">
        <v>100</v>
      </c>
      <c r="E651" s="22">
        <v>38392</v>
      </c>
      <c r="F651" t="s">
        <v>13</v>
      </c>
      <c r="G651" t="s">
        <v>72</v>
      </c>
      <c r="H651">
        <v>1</v>
      </c>
      <c r="I651">
        <v>2005</v>
      </c>
      <c r="J651" t="s">
        <v>22</v>
      </c>
      <c r="K651" t="s">
        <v>55</v>
      </c>
    </row>
    <row r="652" spans="1:11">
      <c r="A652" t="s">
        <v>103</v>
      </c>
      <c r="B652">
        <v>10390</v>
      </c>
      <c r="C652">
        <v>34</v>
      </c>
      <c r="D652" s="21">
        <v>43.05</v>
      </c>
      <c r="E652" s="22">
        <v>38415</v>
      </c>
      <c r="F652" t="s">
        <v>13</v>
      </c>
      <c r="G652" t="s">
        <v>72</v>
      </c>
      <c r="H652">
        <v>1</v>
      </c>
      <c r="I652">
        <v>2005</v>
      </c>
      <c r="J652" t="s">
        <v>15</v>
      </c>
      <c r="K652" t="s">
        <v>104</v>
      </c>
    </row>
    <row r="653" spans="1:11">
      <c r="A653" t="s">
        <v>122</v>
      </c>
      <c r="B653">
        <v>10406</v>
      </c>
      <c r="C653">
        <v>48</v>
      </c>
      <c r="D653" s="21">
        <v>100</v>
      </c>
      <c r="E653" s="22">
        <v>38457</v>
      </c>
      <c r="F653" t="s">
        <v>70</v>
      </c>
      <c r="G653" t="s">
        <v>72</v>
      </c>
      <c r="H653">
        <v>2</v>
      </c>
      <c r="I653">
        <v>2005</v>
      </c>
      <c r="J653" t="s">
        <v>61</v>
      </c>
      <c r="K653" t="s">
        <v>123</v>
      </c>
    </row>
    <row r="654" spans="1:11">
      <c r="A654" t="s">
        <v>60</v>
      </c>
      <c r="B654">
        <v>10419</v>
      </c>
      <c r="C654">
        <v>34</v>
      </c>
      <c r="D654" s="21">
        <v>100</v>
      </c>
      <c r="E654" s="22">
        <v>38489</v>
      </c>
      <c r="F654" t="s">
        <v>13</v>
      </c>
      <c r="G654" t="s">
        <v>72</v>
      </c>
      <c r="H654">
        <v>2</v>
      </c>
      <c r="I654">
        <v>2005</v>
      </c>
      <c r="J654" t="s">
        <v>22</v>
      </c>
      <c r="K654" t="s">
        <v>62</v>
      </c>
    </row>
    <row r="655" spans="1:11">
      <c r="A655" t="s">
        <v>69</v>
      </c>
      <c r="B655">
        <v>10104</v>
      </c>
      <c r="C655">
        <v>24</v>
      </c>
      <c r="D655" s="21">
        <v>100</v>
      </c>
      <c r="E655" s="22">
        <v>37652</v>
      </c>
      <c r="F655" t="s">
        <v>13</v>
      </c>
      <c r="G655" t="s">
        <v>72</v>
      </c>
      <c r="H655">
        <v>1</v>
      </c>
      <c r="I655">
        <v>2003</v>
      </c>
      <c r="J655" t="s">
        <v>22</v>
      </c>
      <c r="K655" t="s">
        <v>71</v>
      </c>
    </row>
    <row r="656" spans="1:11">
      <c r="A656" t="s">
        <v>79</v>
      </c>
      <c r="B656">
        <v>10115</v>
      </c>
      <c r="C656">
        <v>46</v>
      </c>
      <c r="D656" s="21">
        <v>100</v>
      </c>
      <c r="E656" s="22">
        <v>37715</v>
      </c>
      <c r="F656" t="s">
        <v>13</v>
      </c>
      <c r="G656" t="s">
        <v>72</v>
      </c>
      <c r="H656">
        <v>2</v>
      </c>
      <c r="I656">
        <v>2003</v>
      </c>
      <c r="J656" t="s">
        <v>61</v>
      </c>
      <c r="K656" t="s">
        <v>80</v>
      </c>
    </row>
    <row r="657" spans="1:11">
      <c r="A657" t="s">
        <v>177</v>
      </c>
      <c r="B657">
        <v>10127</v>
      </c>
      <c r="C657">
        <v>45</v>
      </c>
      <c r="D657" s="21">
        <v>100</v>
      </c>
      <c r="E657" s="22">
        <v>37775</v>
      </c>
      <c r="F657" t="s">
        <v>13</v>
      </c>
      <c r="G657" t="s">
        <v>72</v>
      </c>
      <c r="H657">
        <v>2</v>
      </c>
      <c r="I657">
        <v>2003</v>
      </c>
      <c r="J657" t="s">
        <v>61</v>
      </c>
      <c r="K657" t="s">
        <v>178</v>
      </c>
    </row>
    <row r="658" spans="1:11">
      <c r="A658" t="s">
        <v>175</v>
      </c>
      <c r="B658">
        <v>10141</v>
      </c>
      <c r="C658">
        <v>39</v>
      </c>
      <c r="D658" s="21">
        <v>100</v>
      </c>
      <c r="E658" s="22">
        <v>37834</v>
      </c>
      <c r="F658" t="s">
        <v>13</v>
      </c>
      <c r="G658" t="s">
        <v>72</v>
      </c>
      <c r="H658">
        <v>3</v>
      </c>
      <c r="I658">
        <v>2003</v>
      </c>
      <c r="J658" t="s">
        <v>22</v>
      </c>
      <c r="K658" t="s">
        <v>176</v>
      </c>
    </row>
    <row r="659" spans="1:11">
      <c r="A659" t="s">
        <v>147</v>
      </c>
      <c r="B659">
        <v>10151</v>
      </c>
      <c r="C659">
        <v>43</v>
      </c>
      <c r="D659" s="21">
        <v>100</v>
      </c>
      <c r="E659" s="22">
        <v>37885</v>
      </c>
      <c r="F659" t="s">
        <v>13</v>
      </c>
      <c r="G659" t="s">
        <v>72</v>
      </c>
      <c r="H659">
        <v>3</v>
      </c>
      <c r="I659">
        <v>2003</v>
      </c>
      <c r="J659" t="s">
        <v>61</v>
      </c>
      <c r="K659" t="s">
        <v>148</v>
      </c>
    </row>
    <row r="660" spans="1:11">
      <c r="A660" t="s">
        <v>77</v>
      </c>
      <c r="B660">
        <v>10165</v>
      </c>
      <c r="C660">
        <v>29</v>
      </c>
      <c r="D660" s="21">
        <v>100</v>
      </c>
      <c r="E660" s="22">
        <v>37916</v>
      </c>
      <c r="F660" t="s">
        <v>13</v>
      </c>
      <c r="G660" t="s">
        <v>72</v>
      </c>
      <c r="H660">
        <v>4</v>
      </c>
      <c r="I660">
        <v>2003</v>
      </c>
      <c r="J660" t="s">
        <v>22</v>
      </c>
      <c r="K660" t="s">
        <v>78</v>
      </c>
    </row>
    <row r="661" spans="1:11">
      <c r="A661" t="s">
        <v>169</v>
      </c>
      <c r="B661">
        <v>10176</v>
      </c>
      <c r="C661">
        <v>20</v>
      </c>
      <c r="D661" s="21">
        <v>100</v>
      </c>
      <c r="E661" s="22">
        <v>37931</v>
      </c>
      <c r="F661" t="s">
        <v>13</v>
      </c>
      <c r="G661" t="s">
        <v>72</v>
      </c>
      <c r="H661">
        <v>4</v>
      </c>
      <c r="I661">
        <v>2003</v>
      </c>
      <c r="J661" t="s">
        <v>22</v>
      </c>
      <c r="K661" t="s">
        <v>170</v>
      </c>
    </row>
    <row r="662" spans="1:11">
      <c r="A662" t="s">
        <v>192</v>
      </c>
      <c r="B662">
        <v>10184</v>
      </c>
      <c r="C662">
        <v>46</v>
      </c>
      <c r="D662" s="21">
        <v>100</v>
      </c>
      <c r="E662" s="22">
        <v>37939</v>
      </c>
      <c r="F662" t="s">
        <v>13</v>
      </c>
      <c r="G662" t="s">
        <v>72</v>
      </c>
      <c r="H662">
        <v>4</v>
      </c>
      <c r="I662">
        <v>2003</v>
      </c>
      <c r="J662" t="s">
        <v>61</v>
      </c>
      <c r="K662" t="s">
        <v>193</v>
      </c>
    </row>
    <row r="663" spans="1:11">
      <c r="A663" t="s">
        <v>120</v>
      </c>
      <c r="B663">
        <v>10195</v>
      </c>
      <c r="C663">
        <v>27</v>
      </c>
      <c r="D663" s="21">
        <v>100</v>
      </c>
      <c r="E663" s="22">
        <v>37950</v>
      </c>
      <c r="F663" t="s">
        <v>13</v>
      </c>
      <c r="G663" t="s">
        <v>72</v>
      </c>
      <c r="H663">
        <v>4</v>
      </c>
      <c r="I663">
        <v>2003</v>
      </c>
      <c r="J663" t="s">
        <v>22</v>
      </c>
      <c r="K663" t="s">
        <v>121</v>
      </c>
    </row>
    <row r="664" spans="1:11">
      <c r="A664" t="s">
        <v>157</v>
      </c>
      <c r="B664">
        <v>10207</v>
      </c>
      <c r="C664">
        <v>44</v>
      </c>
      <c r="D664" s="21">
        <v>100</v>
      </c>
      <c r="E664" s="22">
        <v>37964</v>
      </c>
      <c r="F664" t="s">
        <v>13</v>
      </c>
      <c r="G664" t="s">
        <v>72</v>
      </c>
      <c r="H664">
        <v>4</v>
      </c>
      <c r="I664">
        <v>2003</v>
      </c>
      <c r="J664" t="s">
        <v>61</v>
      </c>
      <c r="K664" t="s">
        <v>158</v>
      </c>
    </row>
    <row r="665" spans="1:11">
      <c r="A665" t="s">
        <v>194</v>
      </c>
      <c r="B665">
        <v>10219</v>
      </c>
      <c r="C665">
        <v>43</v>
      </c>
      <c r="D665" s="21">
        <v>100</v>
      </c>
      <c r="E665" s="22">
        <v>38027</v>
      </c>
      <c r="F665" t="s">
        <v>13</v>
      </c>
      <c r="G665" t="s">
        <v>72</v>
      </c>
      <c r="H665">
        <v>1</v>
      </c>
      <c r="I665">
        <v>2004</v>
      </c>
      <c r="J665" t="s">
        <v>61</v>
      </c>
      <c r="K665" t="s">
        <v>195</v>
      </c>
    </row>
    <row r="666" spans="1:11">
      <c r="A666" t="s">
        <v>173</v>
      </c>
      <c r="B666">
        <v>10230</v>
      </c>
      <c r="C666">
        <v>49</v>
      </c>
      <c r="D666" s="21">
        <v>100</v>
      </c>
      <c r="E666" s="22">
        <v>38061</v>
      </c>
      <c r="F666" t="s">
        <v>13</v>
      </c>
      <c r="G666" t="s">
        <v>72</v>
      </c>
      <c r="H666">
        <v>1</v>
      </c>
      <c r="I666">
        <v>2004</v>
      </c>
      <c r="J666" t="s">
        <v>61</v>
      </c>
      <c r="K666" t="s">
        <v>174</v>
      </c>
    </row>
    <row r="667" spans="1:11">
      <c r="A667" t="s">
        <v>69</v>
      </c>
      <c r="B667">
        <v>10246</v>
      </c>
      <c r="C667">
        <v>40</v>
      </c>
      <c r="D667" s="21">
        <v>100</v>
      </c>
      <c r="E667" s="22">
        <v>38112</v>
      </c>
      <c r="F667" t="s">
        <v>13</v>
      </c>
      <c r="G667" t="s">
        <v>72</v>
      </c>
      <c r="H667">
        <v>2</v>
      </c>
      <c r="I667">
        <v>2004</v>
      </c>
      <c r="J667" t="s">
        <v>22</v>
      </c>
      <c r="K667" t="s">
        <v>71</v>
      </c>
    </row>
    <row r="668" spans="1:11">
      <c r="A668" t="s">
        <v>159</v>
      </c>
      <c r="B668">
        <v>10259</v>
      </c>
      <c r="C668">
        <v>30</v>
      </c>
      <c r="D668" s="21">
        <v>100</v>
      </c>
      <c r="E668" s="22">
        <v>38153</v>
      </c>
      <c r="F668" t="s">
        <v>13</v>
      </c>
      <c r="G668" t="s">
        <v>72</v>
      </c>
      <c r="H668">
        <v>2</v>
      </c>
      <c r="I668">
        <v>2004</v>
      </c>
      <c r="J668" t="s">
        <v>22</v>
      </c>
      <c r="K668" t="s">
        <v>160</v>
      </c>
    </row>
    <row r="669" spans="1:11">
      <c r="A669" t="s">
        <v>103</v>
      </c>
      <c r="B669">
        <v>10271</v>
      </c>
      <c r="C669">
        <v>50</v>
      </c>
      <c r="D669" s="21">
        <v>100</v>
      </c>
      <c r="E669" s="22">
        <v>38188</v>
      </c>
      <c r="F669" t="s">
        <v>13</v>
      </c>
      <c r="G669" t="s">
        <v>72</v>
      </c>
      <c r="H669">
        <v>3</v>
      </c>
      <c r="I669">
        <v>2004</v>
      </c>
      <c r="J669" t="s">
        <v>61</v>
      </c>
      <c r="K669" t="s">
        <v>104</v>
      </c>
    </row>
    <row r="670" spans="1:11">
      <c r="A670" t="s">
        <v>103</v>
      </c>
      <c r="B670">
        <v>10282</v>
      </c>
      <c r="C670">
        <v>23</v>
      </c>
      <c r="D670" s="21">
        <v>100</v>
      </c>
      <c r="E670" s="22">
        <v>38219</v>
      </c>
      <c r="F670" t="s">
        <v>13</v>
      </c>
      <c r="G670" t="s">
        <v>72</v>
      </c>
      <c r="H670">
        <v>3</v>
      </c>
      <c r="I670">
        <v>2004</v>
      </c>
      <c r="J670" t="s">
        <v>22</v>
      </c>
      <c r="K670" t="s">
        <v>104</v>
      </c>
    </row>
    <row r="671" spans="1:11">
      <c r="A671" t="s">
        <v>12</v>
      </c>
      <c r="B671">
        <v>10292</v>
      </c>
      <c r="C671">
        <v>26</v>
      </c>
      <c r="D671" s="21">
        <v>100</v>
      </c>
      <c r="E671" s="22">
        <v>38238</v>
      </c>
      <c r="F671" t="s">
        <v>13</v>
      </c>
      <c r="G671" t="s">
        <v>72</v>
      </c>
      <c r="H671">
        <v>3</v>
      </c>
      <c r="I671">
        <v>2004</v>
      </c>
      <c r="J671" t="s">
        <v>22</v>
      </c>
      <c r="K671" t="s">
        <v>16</v>
      </c>
    </row>
    <row r="672" spans="1:11">
      <c r="A672" t="s">
        <v>52</v>
      </c>
      <c r="B672">
        <v>10305</v>
      </c>
      <c r="C672">
        <v>27</v>
      </c>
      <c r="D672" s="21">
        <v>100</v>
      </c>
      <c r="E672" s="22">
        <v>38273</v>
      </c>
      <c r="F672" t="s">
        <v>13</v>
      </c>
      <c r="G672" t="s">
        <v>72</v>
      </c>
      <c r="H672">
        <v>4</v>
      </c>
      <c r="I672">
        <v>2004</v>
      </c>
      <c r="J672" t="s">
        <v>22</v>
      </c>
      <c r="K672" t="s">
        <v>53</v>
      </c>
    </row>
    <row r="673" spans="1:11">
      <c r="A673" t="s">
        <v>185</v>
      </c>
      <c r="B673">
        <v>10314</v>
      </c>
      <c r="C673">
        <v>42</v>
      </c>
      <c r="D673" s="21">
        <v>100</v>
      </c>
      <c r="E673" s="22">
        <v>38282</v>
      </c>
      <c r="F673" t="s">
        <v>13</v>
      </c>
      <c r="G673" t="s">
        <v>72</v>
      </c>
      <c r="H673">
        <v>4</v>
      </c>
      <c r="I673">
        <v>2004</v>
      </c>
      <c r="J673" t="s">
        <v>22</v>
      </c>
      <c r="K673" t="s">
        <v>186</v>
      </c>
    </row>
    <row r="674" spans="1:11">
      <c r="A674" t="s">
        <v>44</v>
      </c>
      <c r="B674">
        <v>10324</v>
      </c>
      <c r="C674">
        <v>47</v>
      </c>
      <c r="D674" s="21">
        <v>100</v>
      </c>
      <c r="E674" s="22">
        <v>38296</v>
      </c>
      <c r="F674" t="s">
        <v>13</v>
      </c>
      <c r="G674" t="s">
        <v>72</v>
      </c>
      <c r="H674">
        <v>4</v>
      </c>
      <c r="I674">
        <v>2004</v>
      </c>
      <c r="J674" t="s">
        <v>61</v>
      </c>
      <c r="K674" t="s">
        <v>45</v>
      </c>
    </row>
    <row r="675" spans="1:11">
      <c r="A675" t="s">
        <v>152</v>
      </c>
      <c r="B675">
        <v>10336</v>
      </c>
      <c r="C675">
        <v>49</v>
      </c>
      <c r="D675" s="21">
        <v>100</v>
      </c>
      <c r="E675" s="22">
        <v>38311</v>
      </c>
      <c r="F675" t="s">
        <v>13</v>
      </c>
      <c r="G675" t="s">
        <v>72</v>
      </c>
      <c r="H675">
        <v>4</v>
      </c>
      <c r="I675">
        <v>2004</v>
      </c>
      <c r="J675" t="s">
        <v>61</v>
      </c>
      <c r="K675" t="s">
        <v>153</v>
      </c>
    </row>
    <row r="676" spans="1:11">
      <c r="A676" t="s">
        <v>177</v>
      </c>
      <c r="B676">
        <v>10349</v>
      </c>
      <c r="C676">
        <v>38</v>
      </c>
      <c r="D676" s="21">
        <v>100</v>
      </c>
      <c r="E676" s="22">
        <v>38322</v>
      </c>
      <c r="F676" t="s">
        <v>13</v>
      </c>
      <c r="G676" t="s">
        <v>72</v>
      </c>
      <c r="H676">
        <v>4</v>
      </c>
      <c r="I676">
        <v>2004</v>
      </c>
      <c r="J676" t="s">
        <v>22</v>
      </c>
      <c r="K676" t="s">
        <v>178</v>
      </c>
    </row>
    <row r="677" spans="1:11">
      <c r="A677" t="s">
        <v>69</v>
      </c>
      <c r="B677">
        <v>10358</v>
      </c>
      <c r="C677">
        <v>20</v>
      </c>
      <c r="D677" s="21">
        <v>100</v>
      </c>
      <c r="E677" s="22">
        <v>38331</v>
      </c>
      <c r="F677" t="s">
        <v>13</v>
      </c>
      <c r="G677" t="s">
        <v>72</v>
      </c>
      <c r="H677">
        <v>4</v>
      </c>
      <c r="I677">
        <v>2004</v>
      </c>
      <c r="J677" t="s">
        <v>15</v>
      </c>
      <c r="K677" t="s">
        <v>71</v>
      </c>
    </row>
    <row r="678" spans="1:11">
      <c r="A678" t="s">
        <v>103</v>
      </c>
      <c r="B678">
        <v>10371</v>
      </c>
      <c r="C678">
        <v>25</v>
      </c>
      <c r="D678" s="21">
        <v>100</v>
      </c>
      <c r="E678" s="22">
        <v>38375</v>
      </c>
      <c r="F678" t="s">
        <v>13</v>
      </c>
      <c r="G678" t="s">
        <v>72</v>
      </c>
      <c r="H678">
        <v>1</v>
      </c>
      <c r="I678">
        <v>2005</v>
      </c>
      <c r="J678" t="s">
        <v>15</v>
      </c>
      <c r="K678" t="s">
        <v>104</v>
      </c>
    </row>
    <row r="679" spans="1:11">
      <c r="A679" t="s">
        <v>103</v>
      </c>
      <c r="B679">
        <v>10382</v>
      </c>
      <c r="C679">
        <v>25</v>
      </c>
      <c r="D679" s="21">
        <v>88</v>
      </c>
      <c r="E679" s="22">
        <v>38400</v>
      </c>
      <c r="F679" t="s">
        <v>13</v>
      </c>
      <c r="G679" t="s">
        <v>72</v>
      </c>
      <c r="H679">
        <v>1</v>
      </c>
      <c r="I679">
        <v>2005</v>
      </c>
      <c r="J679" t="s">
        <v>15</v>
      </c>
      <c r="K679" t="s">
        <v>104</v>
      </c>
    </row>
    <row r="680" spans="1:11">
      <c r="A680" t="s">
        <v>69</v>
      </c>
      <c r="B680">
        <v>10412</v>
      </c>
      <c r="C680">
        <v>41</v>
      </c>
      <c r="D680" s="21">
        <v>100</v>
      </c>
      <c r="E680" s="22">
        <v>38475</v>
      </c>
      <c r="F680" t="s">
        <v>13</v>
      </c>
      <c r="G680" t="s">
        <v>72</v>
      </c>
      <c r="H680">
        <v>2</v>
      </c>
      <c r="I680">
        <v>2005</v>
      </c>
      <c r="J680" t="s">
        <v>22</v>
      </c>
      <c r="K680" t="s">
        <v>71</v>
      </c>
    </row>
    <row r="681" spans="1:11">
      <c r="A681" t="s">
        <v>50</v>
      </c>
      <c r="B681">
        <v>10425</v>
      </c>
      <c r="C681">
        <v>28</v>
      </c>
      <c r="D681" s="21">
        <v>100</v>
      </c>
      <c r="E681" s="22">
        <v>38503</v>
      </c>
      <c r="F681" t="s">
        <v>113</v>
      </c>
      <c r="G681" t="s">
        <v>72</v>
      </c>
      <c r="H681">
        <v>2</v>
      </c>
      <c r="I681">
        <v>2005</v>
      </c>
      <c r="J681" t="s">
        <v>22</v>
      </c>
      <c r="K681" t="s">
        <v>51</v>
      </c>
    </row>
    <row r="682" spans="1:11">
      <c r="A682" t="s">
        <v>105</v>
      </c>
      <c r="B682">
        <v>10100</v>
      </c>
      <c r="C682">
        <v>50</v>
      </c>
      <c r="D682" s="21">
        <v>67.8</v>
      </c>
      <c r="E682" s="22">
        <v>37627</v>
      </c>
      <c r="F682" t="s">
        <v>13</v>
      </c>
      <c r="G682" t="s">
        <v>202</v>
      </c>
      <c r="H682">
        <v>1</v>
      </c>
      <c r="I682">
        <v>2003</v>
      </c>
      <c r="J682" t="s">
        <v>22</v>
      </c>
      <c r="K682" t="s">
        <v>106</v>
      </c>
    </row>
    <row r="683" spans="1:11">
      <c r="A683" t="s">
        <v>183</v>
      </c>
      <c r="B683">
        <v>10110</v>
      </c>
      <c r="C683">
        <v>32</v>
      </c>
      <c r="D683" s="21">
        <v>50.25</v>
      </c>
      <c r="E683" s="22">
        <v>37698</v>
      </c>
      <c r="F683" t="s">
        <v>13</v>
      </c>
      <c r="G683" t="s">
        <v>202</v>
      </c>
      <c r="H683">
        <v>1</v>
      </c>
      <c r="I683">
        <v>2003</v>
      </c>
      <c r="J683" t="s">
        <v>15</v>
      </c>
      <c r="K683" t="s">
        <v>184</v>
      </c>
    </row>
    <row r="684" spans="1:11">
      <c r="A684" t="s">
        <v>198</v>
      </c>
      <c r="B684">
        <v>10124</v>
      </c>
      <c r="C684">
        <v>42</v>
      </c>
      <c r="D684" s="21">
        <v>53.88</v>
      </c>
      <c r="E684" s="22">
        <v>37762</v>
      </c>
      <c r="F684" t="s">
        <v>13</v>
      </c>
      <c r="G684" t="s">
        <v>202</v>
      </c>
      <c r="H684">
        <v>2</v>
      </c>
      <c r="I684">
        <v>2003</v>
      </c>
      <c r="J684" t="s">
        <v>15</v>
      </c>
      <c r="K684" t="s">
        <v>199</v>
      </c>
    </row>
    <row r="685" spans="1:11">
      <c r="A685" t="s">
        <v>194</v>
      </c>
      <c r="B685">
        <v>10149</v>
      </c>
      <c r="C685">
        <v>24</v>
      </c>
      <c r="D685" s="21">
        <v>62.36</v>
      </c>
      <c r="E685" s="22">
        <v>37876</v>
      </c>
      <c r="F685" t="s">
        <v>13</v>
      </c>
      <c r="G685" t="s">
        <v>202</v>
      </c>
      <c r="H685">
        <v>3</v>
      </c>
      <c r="I685">
        <v>2003</v>
      </c>
      <c r="J685" t="s">
        <v>15</v>
      </c>
      <c r="K685" t="s">
        <v>195</v>
      </c>
    </row>
    <row r="686" spans="1:11">
      <c r="A686" t="s">
        <v>28</v>
      </c>
      <c r="B686">
        <v>10162</v>
      </c>
      <c r="C686">
        <v>27</v>
      </c>
      <c r="D686" s="21">
        <v>69.62</v>
      </c>
      <c r="E686" s="22">
        <v>37912</v>
      </c>
      <c r="F686" t="s">
        <v>13</v>
      </c>
      <c r="G686" t="s">
        <v>202</v>
      </c>
      <c r="H686">
        <v>4</v>
      </c>
      <c r="I686">
        <v>2003</v>
      </c>
      <c r="J686" t="s">
        <v>15</v>
      </c>
      <c r="K686" t="s">
        <v>29</v>
      </c>
    </row>
    <row r="687" spans="1:11">
      <c r="A687" t="s">
        <v>203</v>
      </c>
      <c r="B687">
        <v>10173</v>
      </c>
      <c r="C687">
        <v>26</v>
      </c>
      <c r="D687" s="21">
        <v>57.51</v>
      </c>
      <c r="E687" s="22">
        <v>37930</v>
      </c>
      <c r="F687" t="s">
        <v>13</v>
      </c>
      <c r="G687" t="s">
        <v>202</v>
      </c>
      <c r="H687">
        <v>4</v>
      </c>
      <c r="I687">
        <v>2003</v>
      </c>
      <c r="J687" t="s">
        <v>15</v>
      </c>
      <c r="K687" t="s">
        <v>204</v>
      </c>
    </row>
    <row r="688" spans="1:11">
      <c r="A688" t="s">
        <v>103</v>
      </c>
      <c r="B688">
        <v>10182</v>
      </c>
      <c r="C688">
        <v>38</v>
      </c>
      <c r="D688" s="21">
        <v>61.15</v>
      </c>
      <c r="E688" s="22">
        <v>37937</v>
      </c>
      <c r="F688" t="s">
        <v>13</v>
      </c>
      <c r="G688" t="s">
        <v>202</v>
      </c>
      <c r="H688">
        <v>4</v>
      </c>
      <c r="I688">
        <v>2003</v>
      </c>
      <c r="J688" t="s">
        <v>15</v>
      </c>
      <c r="K688" t="s">
        <v>104</v>
      </c>
    </row>
    <row r="689" spans="1:11">
      <c r="A689" t="s">
        <v>205</v>
      </c>
      <c r="B689">
        <v>10193</v>
      </c>
      <c r="C689">
        <v>42</v>
      </c>
      <c r="D689" s="21">
        <v>59.33</v>
      </c>
      <c r="E689" s="22">
        <v>37946</v>
      </c>
      <c r="F689" t="s">
        <v>13</v>
      </c>
      <c r="G689" t="s">
        <v>202</v>
      </c>
      <c r="H689">
        <v>4</v>
      </c>
      <c r="I689">
        <v>2003</v>
      </c>
      <c r="J689" t="s">
        <v>15</v>
      </c>
      <c r="K689" t="s">
        <v>206</v>
      </c>
    </row>
    <row r="690" spans="1:11">
      <c r="A690" t="s">
        <v>177</v>
      </c>
      <c r="B690">
        <v>10204</v>
      </c>
      <c r="C690">
        <v>23</v>
      </c>
      <c r="D690" s="21">
        <v>71.44</v>
      </c>
      <c r="E690" s="22">
        <v>37957</v>
      </c>
      <c r="F690" t="s">
        <v>13</v>
      </c>
      <c r="G690" t="s">
        <v>202</v>
      </c>
      <c r="H690">
        <v>4</v>
      </c>
      <c r="I690">
        <v>2003</v>
      </c>
      <c r="J690" t="s">
        <v>15</v>
      </c>
      <c r="K690" t="s">
        <v>178</v>
      </c>
    </row>
    <row r="691" spans="1:11">
      <c r="A691" t="s">
        <v>75</v>
      </c>
      <c r="B691">
        <v>10214</v>
      </c>
      <c r="C691">
        <v>21</v>
      </c>
      <c r="D691" s="21">
        <v>62.96</v>
      </c>
      <c r="E691" s="22">
        <v>38012</v>
      </c>
      <c r="F691" t="s">
        <v>13</v>
      </c>
      <c r="G691" t="s">
        <v>202</v>
      </c>
      <c r="H691">
        <v>1</v>
      </c>
      <c r="I691">
        <v>2004</v>
      </c>
      <c r="J691" t="s">
        <v>15</v>
      </c>
      <c r="K691" t="s">
        <v>76</v>
      </c>
    </row>
    <row r="692" spans="1:11">
      <c r="A692" t="s">
        <v>85</v>
      </c>
      <c r="B692">
        <v>10227</v>
      </c>
      <c r="C692">
        <v>28</v>
      </c>
      <c r="D692" s="21">
        <v>50.85</v>
      </c>
      <c r="E692" s="22">
        <v>38048</v>
      </c>
      <c r="F692" t="s">
        <v>13</v>
      </c>
      <c r="G692" t="s">
        <v>202</v>
      </c>
      <c r="H692">
        <v>1</v>
      </c>
      <c r="I692">
        <v>2004</v>
      </c>
      <c r="J692" t="s">
        <v>15</v>
      </c>
      <c r="K692" t="s">
        <v>86</v>
      </c>
    </row>
    <row r="693" spans="1:11">
      <c r="A693" t="s">
        <v>196</v>
      </c>
      <c r="B693">
        <v>10241</v>
      </c>
      <c r="C693">
        <v>33</v>
      </c>
      <c r="D693" s="21">
        <v>72.65</v>
      </c>
      <c r="E693" s="22">
        <v>38090</v>
      </c>
      <c r="F693" t="s">
        <v>13</v>
      </c>
      <c r="G693" t="s">
        <v>202</v>
      </c>
      <c r="H693">
        <v>2</v>
      </c>
      <c r="I693">
        <v>2004</v>
      </c>
      <c r="J693" t="s">
        <v>15</v>
      </c>
      <c r="K693" t="s">
        <v>197</v>
      </c>
    </row>
    <row r="694" spans="1:11">
      <c r="A694" t="s">
        <v>97</v>
      </c>
      <c r="B694">
        <v>10280</v>
      </c>
      <c r="C694">
        <v>25</v>
      </c>
      <c r="D694" s="21">
        <v>62.96</v>
      </c>
      <c r="E694" s="22">
        <v>38216</v>
      </c>
      <c r="F694" t="s">
        <v>13</v>
      </c>
      <c r="G694" t="s">
        <v>202</v>
      </c>
      <c r="H694">
        <v>3</v>
      </c>
      <c r="I694">
        <v>2004</v>
      </c>
      <c r="J694" t="s">
        <v>15</v>
      </c>
      <c r="K694" t="s">
        <v>98</v>
      </c>
    </row>
    <row r="695" spans="1:11">
      <c r="A695" t="s">
        <v>159</v>
      </c>
      <c r="B695">
        <v>10288</v>
      </c>
      <c r="C695">
        <v>28</v>
      </c>
      <c r="D695" s="21">
        <v>61.75</v>
      </c>
      <c r="E695" s="22">
        <v>38231</v>
      </c>
      <c r="F695" t="s">
        <v>13</v>
      </c>
      <c r="G695" t="s">
        <v>202</v>
      </c>
      <c r="H695">
        <v>3</v>
      </c>
      <c r="I695">
        <v>2004</v>
      </c>
      <c r="J695" t="s">
        <v>15</v>
      </c>
      <c r="K695" t="s">
        <v>160</v>
      </c>
    </row>
    <row r="696" spans="1:11">
      <c r="A696" t="s">
        <v>192</v>
      </c>
      <c r="B696">
        <v>10303</v>
      </c>
      <c r="C696">
        <v>46</v>
      </c>
      <c r="D696" s="21">
        <v>49.04</v>
      </c>
      <c r="E696" s="22">
        <v>38266</v>
      </c>
      <c r="F696" t="s">
        <v>13</v>
      </c>
      <c r="G696" t="s">
        <v>202</v>
      </c>
      <c r="H696">
        <v>4</v>
      </c>
      <c r="I696">
        <v>2004</v>
      </c>
      <c r="J696" t="s">
        <v>15</v>
      </c>
      <c r="K696" t="s">
        <v>193</v>
      </c>
    </row>
    <row r="697" spans="1:11">
      <c r="A697" t="s">
        <v>103</v>
      </c>
      <c r="B697">
        <v>10312</v>
      </c>
      <c r="C697">
        <v>30</v>
      </c>
      <c r="D697" s="21">
        <v>61.15</v>
      </c>
      <c r="E697" s="22">
        <v>38281</v>
      </c>
      <c r="F697" t="s">
        <v>13</v>
      </c>
      <c r="G697" t="s">
        <v>202</v>
      </c>
      <c r="H697">
        <v>4</v>
      </c>
      <c r="I697">
        <v>2004</v>
      </c>
      <c r="J697" t="s">
        <v>15</v>
      </c>
      <c r="K697" t="s">
        <v>104</v>
      </c>
    </row>
    <row r="698" spans="1:11">
      <c r="A698" t="s">
        <v>183</v>
      </c>
      <c r="B698">
        <v>10332</v>
      </c>
      <c r="C698">
        <v>38</v>
      </c>
      <c r="D698" s="21">
        <v>84.25</v>
      </c>
      <c r="E698" s="22">
        <v>38308</v>
      </c>
      <c r="F698" t="s">
        <v>13</v>
      </c>
      <c r="G698" t="s">
        <v>202</v>
      </c>
      <c r="H698">
        <v>4</v>
      </c>
      <c r="I698">
        <v>2004</v>
      </c>
      <c r="J698" t="s">
        <v>22</v>
      </c>
      <c r="K698" t="s">
        <v>184</v>
      </c>
    </row>
    <row r="699" spans="1:11">
      <c r="A699" t="s">
        <v>163</v>
      </c>
      <c r="B699">
        <v>10344</v>
      </c>
      <c r="C699">
        <v>40</v>
      </c>
      <c r="D699" s="21">
        <v>56.91</v>
      </c>
      <c r="E699" s="22">
        <v>38316</v>
      </c>
      <c r="F699" t="s">
        <v>13</v>
      </c>
      <c r="G699" t="s">
        <v>202</v>
      </c>
      <c r="H699">
        <v>4</v>
      </c>
      <c r="I699">
        <v>2004</v>
      </c>
      <c r="J699" t="s">
        <v>15</v>
      </c>
      <c r="K699" t="s">
        <v>164</v>
      </c>
    </row>
    <row r="700" spans="1:11">
      <c r="A700" t="s">
        <v>25</v>
      </c>
      <c r="B700">
        <v>10367</v>
      </c>
      <c r="C700">
        <v>45</v>
      </c>
      <c r="D700" s="21">
        <v>100</v>
      </c>
      <c r="E700" s="22">
        <v>38364</v>
      </c>
      <c r="F700" t="s">
        <v>155</v>
      </c>
      <c r="G700" t="s">
        <v>202</v>
      </c>
      <c r="H700">
        <v>1</v>
      </c>
      <c r="I700">
        <v>2005</v>
      </c>
      <c r="J700" t="s">
        <v>61</v>
      </c>
      <c r="K700" t="s">
        <v>26</v>
      </c>
    </row>
    <row r="701" spans="1:11">
      <c r="A701" t="s">
        <v>69</v>
      </c>
      <c r="B701">
        <v>10379</v>
      </c>
      <c r="C701">
        <v>27</v>
      </c>
      <c r="D701" s="21">
        <v>49.3</v>
      </c>
      <c r="E701" s="22">
        <v>38393</v>
      </c>
      <c r="F701" t="s">
        <v>13</v>
      </c>
      <c r="G701" t="s">
        <v>202</v>
      </c>
      <c r="H701">
        <v>1</v>
      </c>
      <c r="I701">
        <v>2005</v>
      </c>
      <c r="J701" t="s">
        <v>15</v>
      </c>
      <c r="K701" t="s">
        <v>71</v>
      </c>
    </row>
    <row r="702" spans="1:11">
      <c r="A702" t="s">
        <v>149</v>
      </c>
      <c r="B702">
        <v>10407</v>
      </c>
      <c r="C702">
        <v>42</v>
      </c>
      <c r="D702" s="21">
        <v>72.65</v>
      </c>
      <c r="E702" s="22">
        <v>38464</v>
      </c>
      <c r="F702" t="s">
        <v>151</v>
      </c>
      <c r="G702" t="s">
        <v>202</v>
      </c>
      <c r="H702">
        <v>2</v>
      </c>
      <c r="I702">
        <v>2005</v>
      </c>
      <c r="J702" t="s">
        <v>22</v>
      </c>
      <c r="K702" t="s">
        <v>150</v>
      </c>
    </row>
    <row r="703" spans="1:11">
      <c r="A703" t="s">
        <v>63</v>
      </c>
      <c r="B703">
        <v>10420</v>
      </c>
      <c r="C703">
        <v>36</v>
      </c>
      <c r="D703" s="21">
        <v>63.57</v>
      </c>
      <c r="E703" s="22">
        <v>38501</v>
      </c>
      <c r="F703" t="s">
        <v>113</v>
      </c>
      <c r="G703" t="s">
        <v>202</v>
      </c>
      <c r="H703">
        <v>2</v>
      </c>
      <c r="I703">
        <v>2005</v>
      </c>
      <c r="J703" t="s">
        <v>15</v>
      </c>
      <c r="K703" t="s">
        <v>64</v>
      </c>
    </row>
    <row r="704" spans="1:11">
      <c r="A704" t="s">
        <v>69</v>
      </c>
      <c r="B704">
        <v>10104</v>
      </c>
      <c r="C704">
        <v>29</v>
      </c>
      <c r="D704" s="21">
        <v>100</v>
      </c>
      <c r="E704" s="22">
        <v>37652</v>
      </c>
      <c r="F704" t="s">
        <v>13</v>
      </c>
      <c r="G704" t="s">
        <v>187</v>
      </c>
      <c r="H704">
        <v>1</v>
      </c>
      <c r="I704">
        <v>2003</v>
      </c>
      <c r="J704" t="s">
        <v>22</v>
      </c>
      <c r="K704" t="s">
        <v>71</v>
      </c>
    </row>
    <row r="705" spans="1:11">
      <c r="A705" t="s">
        <v>152</v>
      </c>
      <c r="B705">
        <v>10114</v>
      </c>
      <c r="C705">
        <v>39</v>
      </c>
      <c r="D705" s="21">
        <v>100</v>
      </c>
      <c r="E705" s="22">
        <v>37712</v>
      </c>
      <c r="F705" t="s">
        <v>13</v>
      </c>
      <c r="G705" t="s">
        <v>187</v>
      </c>
      <c r="H705">
        <v>2</v>
      </c>
      <c r="I705">
        <v>2003</v>
      </c>
      <c r="J705" t="s">
        <v>22</v>
      </c>
      <c r="K705" t="s">
        <v>153</v>
      </c>
    </row>
    <row r="706" spans="1:11">
      <c r="A706" t="s">
        <v>177</v>
      </c>
      <c r="B706">
        <v>10127</v>
      </c>
      <c r="C706">
        <v>45</v>
      </c>
      <c r="D706" s="21">
        <v>100</v>
      </c>
      <c r="E706" s="22">
        <v>37775</v>
      </c>
      <c r="F706" t="s">
        <v>13</v>
      </c>
      <c r="G706" t="s">
        <v>187</v>
      </c>
      <c r="H706">
        <v>2</v>
      </c>
      <c r="I706">
        <v>2003</v>
      </c>
      <c r="J706" t="s">
        <v>22</v>
      </c>
      <c r="K706" t="s">
        <v>178</v>
      </c>
    </row>
    <row r="707" spans="1:11">
      <c r="A707" t="s">
        <v>175</v>
      </c>
      <c r="B707">
        <v>10141</v>
      </c>
      <c r="C707">
        <v>47</v>
      </c>
      <c r="D707" s="21">
        <v>100</v>
      </c>
      <c r="E707" s="22">
        <v>37834</v>
      </c>
      <c r="F707" t="s">
        <v>13</v>
      </c>
      <c r="G707" t="s">
        <v>187</v>
      </c>
      <c r="H707">
        <v>3</v>
      </c>
      <c r="I707">
        <v>2003</v>
      </c>
      <c r="J707" t="s">
        <v>22</v>
      </c>
      <c r="K707" t="s">
        <v>176</v>
      </c>
    </row>
    <row r="708" spans="1:11">
      <c r="A708" t="s">
        <v>147</v>
      </c>
      <c r="B708">
        <v>10151</v>
      </c>
      <c r="C708">
        <v>49</v>
      </c>
      <c r="D708" s="21">
        <v>100</v>
      </c>
      <c r="E708" s="22">
        <v>37885</v>
      </c>
      <c r="F708" t="s">
        <v>13</v>
      </c>
      <c r="G708" t="s">
        <v>187</v>
      </c>
      <c r="H708">
        <v>3</v>
      </c>
      <c r="I708">
        <v>2003</v>
      </c>
      <c r="J708" t="s">
        <v>22</v>
      </c>
      <c r="K708" t="s">
        <v>148</v>
      </c>
    </row>
    <row r="709" spans="1:11">
      <c r="A709" t="s">
        <v>77</v>
      </c>
      <c r="B709">
        <v>10165</v>
      </c>
      <c r="C709">
        <v>46</v>
      </c>
      <c r="D709" s="21">
        <v>100</v>
      </c>
      <c r="E709" s="22">
        <v>37916</v>
      </c>
      <c r="F709" t="s">
        <v>13</v>
      </c>
      <c r="G709" t="s">
        <v>187</v>
      </c>
      <c r="H709">
        <v>4</v>
      </c>
      <c r="I709">
        <v>2003</v>
      </c>
      <c r="J709" t="s">
        <v>22</v>
      </c>
      <c r="K709" t="s">
        <v>78</v>
      </c>
    </row>
    <row r="710" spans="1:11">
      <c r="A710" t="s">
        <v>124</v>
      </c>
      <c r="B710">
        <v>10175</v>
      </c>
      <c r="C710">
        <v>48</v>
      </c>
      <c r="D710" s="21">
        <v>100</v>
      </c>
      <c r="E710" s="22">
        <v>37931</v>
      </c>
      <c r="F710" t="s">
        <v>13</v>
      </c>
      <c r="G710" t="s">
        <v>187</v>
      </c>
      <c r="H710">
        <v>4</v>
      </c>
      <c r="I710">
        <v>2003</v>
      </c>
      <c r="J710" t="s">
        <v>22</v>
      </c>
      <c r="K710" t="s">
        <v>125</v>
      </c>
    </row>
    <row r="711" spans="1:11">
      <c r="A711" t="s">
        <v>192</v>
      </c>
      <c r="B711">
        <v>10184</v>
      </c>
      <c r="C711">
        <v>46</v>
      </c>
      <c r="D711" s="21">
        <v>100</v>
      </c>
      <c r="E711" s="22">
        <v>37939</v>
      </c>
      <c r="F711" t="s">
        <v>13</v>
      </c>
      <c r="G711" t="s">
        <v>187</v>
      </c>
      <c r="H711">
        <v>4</v>
      </c>
      <c r="I711">
        <v>2003</v>
      </c>
      <c r="J711" t="s">
        <v>22</v>
      </c>
      <c r="K711" t="s">
        <v>193</v>
      </c>
    </row>
    <row r="712" spans="1:11">
      <c r="A712" t="s">
        <v>120</v>
      </c>
      <c r="B712">
        <v>10195</v>
      </c>
      <c r="C712">
        <v>35</v>
      </c>
      <c r="D712" s="21">
        <v>100</v>
      </c>
      <c r="E712" s="22">
        <v>37950</v>
      </c>
      <c r="F712" t="s">
        <v>13</v>
      </c>
      <c r="G712" t="s">
        <v>187</v>
      </c>
      <c r="H712">
        <v>4</v>
      </c>
      <c r="I712">
        <v>2003</v>
      </c>
      <c r="J712" t="s">
        <v>22</v>
      </c>
      <c r="K712" t="s">
        <v>121</v>
      </c>
    </row>
    <row r="713" spans="1:11">
      <c r="A713" t="s">
        <v>157</v>
      </c>
      <c r="B713">
        <v>10207</v>
      </c>
      <c r="C713">
        <v>43</v>
      </c>
      <c r="D713" s="21">
        <v>100</v>
      </c>
      <c r="E713" s="22">
        <v>37964</v>
      </c>
      <c r="F713" t="s">
        <v>13</v>
      </c>
      <c r="G713" t="s">
        <v>187</v>
      </c>
      <c r="H713">
        <v>4</v>
      </c>
      <c r="I713">
        <v>2003</v>
      </c>
      <c r="J713" t="s">
        <v>22</v>
      </c>
      <c r="K713" t="s">
        <v>158</v>
      </c>
    </row>
    <row r="714" spans="1:11">
      <c r="A714" t="s">
        <v>103</v>
      </c>
      <c r="B714">
        <v>10229</v>
      </c>
      <c r="C714">
        <v>26</v>
      </c>
      <c r="D714" s="21">
        <v>100</v>
      </c>
      <c r="E714" s="22">
        <v>38057</v>
      </c>
      <c r="F714" t="s">
        <v>13</v>
      </c>
      <c r="G714" t="s">
        <v>187</v>
      </c>
      <c r="H714">
        <v>1</v>
      </c>
      <c r="I714">
        <v>2004</v>
      </c>
      <c r="J714" t="s">
        <v>22</v>
      </c>
      <c r="K714" t="s">
        <v>104</v>
      </c>
    </row>
    <row r="715" spans="1:11">
      <c r="A715" t="s">
        <v>69</v>
      </c>
      <c r="B715">
        <v>10246</v>
      </c>
      <c r="C715">
        <v>22</v>
      </c>
      <c r="D715" s="21">
        <v>98.18</v>
      </c>
      <c r="E715" s="22">
        <v>38112</v>
      </c>
      <c r="F715" t="s">
        <v>13</v>
      </c>
      <c r="G715" t="s">
        <v>187</v>
      </c>
      <c r="H715">
        <v>2</v>
      </c>
      <c r="I715">
        <v>2004</v>
      </c>
      <c r="J715" t="s">
        <v>15</v>
      </c>
      <c r="K715" t="s">
        <v>71</v>
      </c>
    </row>
    <row r="716" spans="1:11">
      <c r="A716" t="s">
        <v>159</v>
      </c>
      <c r="B716">
        <v>10259</v>
      </c>
      <c r="C716">
        <v>34</v>
      </c>
      <c r="D716" s="21">
        <v>99.41</v>
      </c>
      <c r="E716" s="22">
        <v>38153</v>
      </c>
      <c r="F716" t="s">
        <v>13</v>
      </c>
      <c r="G716" t="s">
        <v>187</v>
      </c>
      <c r="H716">
        <v>2</v>
      </c>
      <c r="I716">
        <v>2004</v>
      </c>
      <c r="J716" t="s">
        <v>22</v>
      </c>
      <c r="K716" t="s">
        <v>160</v>
      </c>
    </row>
    <row r="717" spans="1:11">
      <c r="A717" t="s">
        <v>103</v>
      </c>
      <c r="B717">
        <v>10271</v>
      </c>
      <c r="C717">
        <v>50</v>
      </c>
      <c r="D717" s="21">
        <v>100</v>
      </c>
      <c r="E717" s="22">
        <v>38188</v>
      </c>
      <c r="F717" t="s">
        <v>13</v>
      </c>
      <c r="G717" t="s">
        <v>187</v>
      </c>
      <c r="H717">
        <v>3</v>
      </c>
      <c r="I717">
        <v>2004</v>
      </c>
      <c r="J717" t="s">
        <v>22</v>
      </c>
      <c r="K717" t="s">
        <v>104</v>
      </c>
    </row>
    <row r="718" spans="1:11">
      <c r="A718" t="s">
        <v>58</v>
      </c>
      <c r="B718">
        <v>10281</v>
      </c>
      <c r="C718">
        <v>48</v>
      </c>
      <c r="D718" s="21">
        <v>100</v>
      </c>
      <c r="E718" s="22">
        <v>38218</v>
      </c>
      <c r="F718" t="s">
        <v>13</v>
      </c>
      <c r="G718" t="s">
        <v>187</v>
      </c>
      <c r="H718">
        <v>3</v>
      </c>
      <c r="I718">
        <v>2004</v>
      </c>
      <c r="J718" t="s">
        <v>22</v>
      </c>
      <c r="K718" t="s">
        <v>59</v>
      </c>
    </row>
    <row r="719" spans="1:11">
      <c r="A719" t="s">
        <v>12</v>
      </c>
      <c r="B719">
        <v>10292</v>
      </c>
      <c r="C719">
        <v>41</v>
      </c>
      <c r="D719" s="21">
        <v>100</v>
      </c>
      <c r="E719" s="22">
        <v>38238</v>
      </c>
      <c r="F719" t="s">
        <v>13</v>
      </c>
      <c r="G719" t="s">
        <v>187</v>
      </c>
      <c r="H719">
        <v>3</v>
      </c>
      <c r="I719">
        <v>2004</v>
      </c>
      <c r="J719" t="s">
        <v>22</v>
      </c>
      <c r="K719" t="s">
        <v>16</v>
      </c>
    </row>
    <row r="720" spans="1:11">
      <c r="A720" t="s">
        <v>52</v>
      </c>
      <c r="B720">
        <v>10305</v>
      </c>
      <c r="C720">
        <v>36</v>
      </c>
      <c r="D720" s="21">
        <v>100</v>
      </c>
      <c r="E720" s="22">
        <v>38273</v>
      </c>
      <c r="F720" t="s">
        <v>13</v>
      </c>
      <c r="G720" t="s">
        <v>187</v>
      </c>
      <c r="H720">
        <v>4</v>
      </c>
      <c r="I720">
        <v>2004</v>
      </c>
      <c r="J720" t="s">
        <v>22</v>
      </c>
      <c r="K720" t="s">
        <v>53</v>
      </c>
    </row>
    <row r="721" spans="1:11">
      <c r="A721" t="s">
        <v>87</v>
      </c>
      <c r="B721">
        <v>10313</v>
      </c>
      <c r="C721">
        <v>29</v>
      </c>
      <c r="D721" s="21">
        <v>100</v>
      </c>
      <c r="E721" s="22">
        <v>38282</v>
      </c>
      <c r="F721" t="s">
        <v>13</v>
      </c>
      <c r="G721" t="s">
        <v>187</v>
      </c>
      <c r="H721">
        <v>4</v>
      </c>
      <c r="I721">
        <v>2004</v>
      </c>
      <c r="J721" t="s">
        <v>22</v>
      </c>
      <c r="K721" t="s">
        <v>88</v>
      </c>
    </row>
    <row r="722" spans="1:11">
      <c r="A722" t="s">
        <v>44</v>
      </c>
      <c r="B722">
        <v>10324</v>
      </c>
      <c r="C722">
        <v>33</v>
      </c>
      <c r="D722" s="21">
        <v>37.48</v>
      </c>
      <c r="E722" s="22">
        <v>38296</v>
      </c>
      <c r="F722" t="s">
        <v>13</v>
      </c>
      <c r="G722" t="s">
        <v>187</v>
      </c>
      <c r="H722">
        <v>4</v>
      </c>
      <c r="I722">
        <v>2004</v>
      </c>
      <c r="J722" t="s">
        <v>15</v>
      </c>
      <c r="K722" t="s">
        <v>45</v>
      </c>
    </row>
    <row r="723" spans="1:11">
      <c r="A723" t="s">
        <v>73</v>
      </c>
      <c r="B723">
        <v>10334</v>
      </c>
      <c r="C723">
        <v>46</v>
      </c>
      <c r="D723" s="21">
        <v>100</v>
      </c>
      <c r="E723" s="22">
        <v>38310</v>
      </c>
      <c r="F723" t="s">
        <v>151</v>
      </c>
      <c r="G723" t="s">
        <v>187</v>
      </c>
      <c r="H723">
        <v>4</v>
      </c>
      <c r="I723">
        <v>2004</v>
      </c>
      <c r="J723" t="s">
        <v>22</v>
      </c>
      <c r="K723" t="s">
        <v>74</v>
      </c>
    </row>
    <row r="724" spans="1:11">
      <c r="A724" t="s">
        <v>177</v>
      </c>
      <c r="B724">
        <v>10349</v>
      </c>
      <c r="C724">
        <v>38</v>
      </c>
      <c r="D724" s="21">
        <v>100</v>
      </c>
      <c r="E724" s="22">
        <v>38322</v>
      </c>
      <c r="F724" t="s">
        <v>13</v>
      </c>
      <c r="G724" t="s">
        <v>187</v>
      </c>
      <c r="H724">
        <v>4</v>
      </c>
      <c r="I724">
        <v>2004</v>
      </c>
      <c r="J724" t="s">
        <v>22</v>
      </c>
      <c r="K724" t="s">
        <v>178</v>
      </c>
    </row>
    <row r="725" spans="1:11">
      <c r="A725" t="s">
        <v>69</v>
      </c>
      <c r="B725">
        <v>10358</v>
      </c>
      <c r="C725">
        <v>20</v>
      </c>
      <c r="D725" s="21">
        <v>36.42</v>
      </c>
      <c r="E725" s="22">
        <v>38331</v>
      </c>
      <c r="F725" t="s">
        <v>13</v>
      </c>
      <c r="G725" t="s">
        <v>187</v>
      </c>
      <c r="H725">
        <v>4</v>
      </c>
      <c r="I725">
        <v>2004</v>
      </c>
      <c r="J725" t="s">
        <v>15</v>
      </c>
      <c r="K725" t="s">
        <v>71</v>
      </c>
    </row>
    <row r="726" spans="1:11">
      <c r="A726" t="s">
        <v>109</v>
      </c>
      <c r="B726">
        <v>10370</v>
      </c>
      <c r="C726">
        <v>22</v>
      </c>
      <c r="D726" s="21">
        <v>100</v>
      </c>
      <c r="E726" s="22">
        <v>38372</v>
      </c>
      <c r="F726" t="s">
        <v>13</v>
      </c>
      <c r="G726" t="s">
        <v>187</v>
      </c>
      <c r="H726">
        <v>1</v>
      </c>
      <c r="I726">
        <v>2005</v>
      </c>
      <c r="J726" t="s">
        <v>22</v>
      </c>
      <c r="K726" t="s">
        <v>110</v>
      </c>
    </row>
    <row r="727" spans="1:11">
      <c r="A727" t="s">
        <v>69</v>
      </c>
      <c r="B727">
        <v>10383</v>
      </c>
      <c r="C727">
        <v>27</v>
      </c>
      <c r="D727" s="21">
        <v>100</v>
      </c>
      <c r="E727" s="22">
        <v>38405</v>
      </c>
      <c r="F727" t="s">
        <v>13</v>
      </c>
      <c r="G727" t="s">
        <v>187</v>
      </c>
      <c r="H727">
        <v>1</v>
      </c>
      <c r="I727">
        <v>2005</v>
      </c>
      <c r="J727" t="s">
        <v>22</v>
      </c>
      <c r="K727" t="s">
        <v>71</v>
      </c>
    </row>
    <row r="728" spans="1:11">
      <c r="A728" t="s">
        <v>69</v>
      </c>
      <c r="B728">
        <v>10412</v>
      </c>
      <c r="C728">
        <v>56</v>
      </c>
      <c r="D728" s="21">
        <v>98.18</v>
      </c>
      <c r="E728" s="22">
        <v>38475</v>
      </c>
      <c r="F728" t="s">
        <v>13</v>
      </c>
      <c r="G728" t="s">
        <v>187</v>
      </c>
      <c r="H728">
        <v>2</v>
      </c>
      <c r="I728">
        <v>2005</v>
      </c>
      <c r="J728" t="s">
        <v>22</v>
      </c>
      <c r="K728" t="s">
        <v>71</v>
      </c>
    </row>
    <row r="729" spans="1:11">
      <c r="A729" t="s">
        <v>50</v>
      </c>
      <c r="B729">
        <v>10425</v>
      </c>
      <c r="C729">
        <v>38</v>
      </c>
      <c r="D729" s="21">
        <v>99.41</v>
      </c>
      <c r="E729" s="22">
        <v>38503</v>
      </c>
      <c r="F729" t="s">
        <v>113</v>
      </c>
      <c r="G729" t="s">
        <v>187</v>
      </c>
      <c r="H729">
        <v>2</v>
      </c>
      <c r="I729">
        <v>2005</v>
      </c>
      <c r="J729" t="s">
        <v>22</v>
      </c>
      <c r="K729" t="s">
        <v>51</v>
      </c>
    </row>
    <row r="730" spans="1:11">
      <c r="A730" t="s">
        <v>173</v>
      </c>
      <c r="B730">
        <v>10101</v>
      </c>
      <c r="C730">
        <v>25</v>
      </c>
      <c r="D730" s="21">
        <v>100</v>
      </c>
      <c r="E730" s="22">
        <v>37630</v>
      </c>
      <c r="F730" t="s">
        <v>13</v>
      </c>
      <c r="G730" t="s">
        <v>202</v>
      </c>
      <c r="H730">
        <v>1</v>
      </c>
      <c r="I730">
        <v>2003</v>
      </c>
      <c r="J730" t="s">
        <v>22</v>
      </c>
      <c r="K730" t="s">
        <v>174</v>
      </c>
    </row>
    <row r="731" spans="1:11">
      <c r="A731" t="s">
        <v>183</v>
      </c>
      <c r="B731">
        <v>10110</v>
      </c>
      <c r="C731">
        <v>33</v>
      </c>
      <c r="D731" s="21">
        <v>100</v>
      </c>
      <c r="E731" s="22">
        <v>37698</v>
      </c>
      <c r="F731" t="s">
        <v>13</v>
      </c>
      <c r="G731" t="s">
        <v>202</v>
      </c>
      <c r="H731">
        <v>1</v>
      </c>
      <c r="I731">
        <v>2003</v>
      </c>
      <c r="J731" t="s">
        <v>22</v>
      </c>
      <c r="K731" t="s">
        <v>184</v>
      </c>
    </row>
    <row r="732" spans="1:11">
      <c r="A732" t="s">
        <v>198</v>
      </c>
      <c r="B732">
        <v>10124</v>
      </c>
      <c r="C732">
        <v>42</v>
      </c>
      <c r="D732" s="21">
        <v>100</v>
      </c>
      <c r="E732" s="22">
        <v>37762</v>
      </c>
      <c r="F732" t="s">
        <v>13</v>
      </c>
      <c r="G732" t="s">
        <v>202</v>
      </c>
      <c r="H732">
        <v>2</v>
      </c>
      <c r="I732">
        <v>2003</v>
      </c>
      <c r="J732" t="s">
        <v>22</v>
      </c>
      <c r="K732" t="s">
        <v>199</v>
      </c>
    </row>
    <row r="733" spans="1:11">
      <c r="A733" t="s">
        <v>194</v>
      </c>
      <c r="B733">
        <v>10149</v>
      </c>
      <c r="C733">
        <v>33</v>
      </c>
      <c r="D733" s="21">
        <v>100</v>
      </c>
      <c r="E733" s="22">
        <v>37876</v>
      </c>
      <c r="F733" t="s">
        <v>13</v>
      </c>
      <c r="G733" t="s">
        <v>202</v>
      </c>
      <c r="H733">
        <v>3</v>
      </c>
      <c r="I733">
        <v>2003</v>
      </c>
      <c r="J733" t="s">
        <v>22</v>
      </c>
      <c r="K733" t="s">
        <v>195</v>
      </c>
    </row>
    <row r="734" spans="1:11">
      <c r="A734" t="s">
        <v>28</v>
      </c>
      <c r="B734">
        <v>10162</v>
      </c>
      <c r="C734">
        <v>38</v>
      </c>
      <c r="D734" s="21">
        <v>100</v>
      </c>
      <c r="E734" s="22">
        <v>37912</v>
      </c>
      <c r="F734" t="s">
        <v>13</v>
      </c>
      <c r="G734" t="s">
        <v>202</v>
      </c>
      <c r="H734">
        <v>4</v>
      </c>
      <c r="I734">
        <v>2003</v>
      </c>
      <c r="J734" t="s">
        <v>22</v>
      </c>
      <c r="K734" t="s">
        <v>29</v>
      </c>
    </row>
    <row r="735" spans="1:11">
      <c r="A735" t="s">
        <v>203</v>
      </c>
      <c r="B735">
        <v>10173</v>
      </c>
      <c r="C735">
        <v>31</v>
      </c>
      <c r="D735" s="21">
        <v>100</v>
      </c>
      <c r="E735" s="22">
        <v>37930</v>
      </c>
      <c r="F735" t="s">
        <v>13</v>
      </c>
      <c r="G735" t="s">
        <v>202</v>
      </c>
      <c r="H735">
        <v>4</v>
      </c>
      <c r="I735">
        <v>2003</v>
      </c>
      <c r="J735" t="s">
        <v>22</v>
      </c>
      <c r="K735" t="s">
        <v>204</v>
      </c>
    </row>
    <row r="736" spans="1:11">
      <c r="A736" t="s">
        <v>103</v>
      </c>
      <c r="B736">
        <v>10182</v>
      </c>
      <c r="C736">
        <v>20</v>
      </c>
      <c r="D736" s="21">
        <v>100</v>
      </c>
      <c r="E736" s="22">
        <v>37937</v>
      </c>
      <c r="F736" t="s">
        <v>13</v>
      </c>
      <c r="G736" t="s">
        <v>202</v>
      </c>
      <c r="H736">
        <v>4</v>
      </c>
      <c r="I736">
        <v>2003</v>
      </c>
      <c r="J736" t="s">
        <v>15</v>
      </c>
      <c r="K736" t="s">
        <v>104</v>
      </c>
    </row>
    <row r="737" spans="1:11">
      <c r="A737" t="s">
        <v>205</v>
      </c>
      <c r="B737">
        <v>10193</v>
      </c>
      <c r="C737">
        <v>44</v>
      </c>
      <c r="D737" s="21">
        <v>100</v>
      </c>
      <c r="E737" s="22">
        <v>37946</v>
      </c>
      <c r="F737" t="s">
        <v>13</v>
      </c>
      <c r="G737" t="s">
        <v>202</v>
      </c>
      <c r="H737">
        <v>4</v>
      </c>
      <c r="I737">
        <v>2003</v>
      </c>
      <c r="J737" t="s">
        <v>22</v>
      </c>
      <c r="K737" t="s">
        <v>206</v>
      </c>
    </row>
    <row r="738" spans="1:11">
      <c r="A738" t="s">
        <v>177</v>
      </c>
      <c r="B738">
        <v>10204</v>
      </c>
      <c r="C738">
        <v>26</v>
      </c>
      <c r="D738" s="21">
        <v>100</v>
      </c>
      <c r="E738" s="22">
        <v>37957</v>
      </c>
      <c r="F738" t="s">
        <v>13</v>
      </c>
      <c r="G738" t="s">
        <v>202</v>
      </c>
      <c r="H738">
        <v>4</v>
      </c>
      <c r="I738">
        <v>2003</v>
      </c>
      <c r="J738" t="s">
        <v>22</v>
      </c>
      <c r="K738" t="s">
        <v>178</v>
      </c>
    </row>
    <row r="739" spans="1:11">
      <c r="A739" t="s">
        <v>75</v>
      </c>
      <c r="B739">
        <v>10214</v>
      </c>
      <c r="C739">
        <v>27</v>
      </c>
      <c r="D739" s="21">
        <v>100</v>
      </c>
      <c r="E739" s="22">
        <v>38012</v>
      </c>
      <c r="F739" t="s">
        <v>13</v>
      </c>
      <c r="G739" t="s">
        <v>202</v>
      </c>
      <c r="H739">
        <v>1</v>
      </c>
      <c r="I739">
        <v>2004</v>
      </c>
      <c r="J739" t="s">
        <v>22</v>
      </c>
      <c r="K739" t="s">
        <v>76</v>
      </c>
    </row>
    <row r="740" spans="1:11">
      <c r="A740" t="s">
        <v>85</v>
      </c>
      <c r="B740">
        <v>10227</v>
      </c>
      <c r="C740">
        <v>46</v>
      </c>
      <c r="D740" s="21">
        <v>100</v>
      </c>
      <c r="E740" s="22">
        <v>38048</v>
      </c>
      <c r="F740" t="s">
        <v>13</v>
      </c>
      <c r="G740" t="s">
        <v>202</v>
      </c>
      <c r="H740">
        <v>1</v>
      </c>
      <c r="I740">
        <v>2004</v>
      </c>
      <c r="J740" t="s">
        <v>61</v>
      </c>
      <c r="K740" t="s">
        <v>86</v>
      </c>
    </row>
    <row r="741" spans="1:11">
      <c r="A741" t="s">
        <v>157</v>
      </c>
      <c r="B741">
        <v>10243</v>
      </c>
      <c r="C741">
        <v>47</v>
      </c>
      <c r="D741" s="21">
        <v>100</v>
      </c>
      <c r="E741" s="22">
        <v>38103</v>
      </c>
      <c r="F741" t="s">
        <v>13</v>
      </c>
      <c r="G741" t="s">
        <v>202</v>
      </c>
      <c r="H741">
        <v>2</v>
      </c>
      <c r="I741">
        <v>2004</v>
      </c>
      <c r="J741" t="s">
        <v>22</v>
      </c>
      <c r="K741" t="s">
        <v>158</v>
      </c>
    </row>
    <row r="742" spans="1:11">
      <c r="A742" t="s">
        <v>97</v>
      </c>
      <c r="B742">
        <v>10280</v>
      </c>
      <c r="C742">
        <v>37</v>
      </c>
      <c r="D742" s="21">
        <v>100</v>
      </c>
      <c r="E742" s="22">
        <v>38216</v>
      </c>
      <c r="F742" t="s">
        <v>13</v>
      </c>
      <c r="G742" t="s">
        <v>202</v>
      </c>
      <c r="H742">
        <v>3</v>
      </c>
      <c r="I742">
        <v>2004</v>
      </c>
      <c r="J742" t="s">
        <v>22</v>
      </c>
      <c r="K742" t="s">
        <v>98</v>
      </c>
    </row>
    <row r="743" spans="1:11">
      <c r="A743" t="s">
        <v>159</v>
      </c>
      <c r="B743">
        <v>10288</v>
      </c>
      <c r="C743">
        <v>31</v>
      </c>
      <c r="D743" s="21">
        <v>100</v>
      </c>
      <c r="E743" s="22">
        <v>38231</v>
      </c>
      <c r="F743" t="s">
        <v>13</v>
      </c>
      <c r="G743" t="s">
        <v>202</v>
      </c>
      <c r="H743">
        <v>3</v>
      </c>
      <c r="I743">
        <v>2004</v>
      </c>
      <c r="J743" t="s">
        <v>22</v>
      </c>
      <c r="K743" t="s">
        <v>160</v>
      </c>
    </row>
    <row r="744" spans="1:11">
      <c r="A744" t="s">
        <v>101</v>
      </c>
      <c r="B744">
        <v>10304</v>
      </c>
      <c r="C744">
        <v>24</v>
      </c>
      <c r="D744" s="21">
        <v>100</v>
      </c>
      <c r="E744" s="22">
        <v>38271</v>
      </c>
      <c r="F744" t="s">
        <v>13</v>
      </c>
      <c r="G744" t="s">
        <v>202</v>
      </c>
      <c r="H744">
        <v>4</v>
      </c>
      <c r="I744">
        <v>2004</v>
      </c>
      <c r="J744" t="s">
        <v>15</v>
      </c>
      <c r="K744" t="s">
        <v>102</v>
      </c>
    </row>
    <row r="745" spans="1:11">
      <c r="A745" t="s">
        <v>103</v>
      </c>
      <c r="B745">
        <v>10312</v>
      </c>
      <c r="C745">
        <v>31</v>
      </c>
      <c r="D745" s="21">
        <v>100</v>
      </c>
      <c r="E745" s="22">
        <v>38281</v>
      </c>
      <c r="F745" t="s">
        <v>13</v>
      </c>
      <c r="G745" t="s">
        <v>202</v>
      </c>
      <c r="H745">
        <v>4</v>
      </c>
      <c r="I745">
        <v>2004</v>
      </c>
      <c r="J745" t="s">
        <v>22</v>
      </c>
      <c r="K745" t="s">
        <v>104</v>
      </c>
    </row>
    <row r="746" spans="1:11">
      <c r="A746" t="s">
        <v>105</v>
      </c>
      <c r="B746">
        <v>10322</v>
      </c>
      <c r="C746">
        <v>50</v>
      </c>
      <c r="D746" s="21">
        <v>100</v>
      </c>
      <c r="E746" s="22">
        <v>38295</v>
      </c>
      <c r="F746" t="s">
        <v>13</v>
      </c>
      <c r="G746" t="s">
        <v>202</v>
      </c>
      <c r="H746">
        <v>4</v>
      </c>
      <c r="I746">
        <v>2004</v>
      </c>
      <c r="J746" t="s">
        <v>61</v>
      </c>
      <c r="K746" t="s">
        <v>106</v>
      </c>
    </row>
    <row r="747" spans="1:11">
      <c r="A747" t="s">
        <v>183</v>
      </c>
      <c r="B747">
        <v>10332</v>
      </c>
      <c r="C747">
        <v>35</v>
      </c>
      <c r="D747" s="21">
        <v>64.69</v>
      </c>
      <c r="E747" s="22">
        <v>38308</v>
      </c>
      <c r="F747" t="s">
        <v>13</v>
      </c>
      <c r="G747" t="s">
        <v>202</v>
      </c>
      <c r="H747">
        <v>4</v>
      </c>
      <c r="I747">
        <v>2004</v>
      </c>
      <c r="J747" t="s">
        <v>15</v>
      </c>
      <c r="K747" t="s">
        <v>184</v>
      </c>
    </row>
    <row r="748" spans="1:11">
      <c r="A748" t="s">
        <v>163</v>
      </c>
      <c r="B748">
        <v>10344</v>
      </c>
      <c r="C748">
        <v>30</v>
      </c>
      <c r="D748" s="21">
        <v>100</v>
      </c>
      <c r="E748" s="22">
        <v>38316</v>
      </c>
      <c r="F748" t="s">
        <v>13</v>
      </c>
      <c r="G748" t="s">
        <v>202</v>
      </c>
      <c r="H748">
        <v>4</v>
      </c>
      <c r="I748">
        <v>2004</v>
      </c>
      <c r="J748" t="s">
        <v>22</v>
      </c>
      <c r="K748" t="s">
        <v>164</v>
      </c>
    </row>
    <row r="749" spans="1:11">
      <c r="A749" t="s">
        <v>21</v>
      </c>
      <c r="B749">
        <v>10356</v>
      </c>
      <c r="C749">
        <v>29</v>
      </c>
      <c r="D749" s="21">
        <v>100</v>
      </c>
      <c r="E749" s="22">
        <v>38330</v>
      </c>
      <c r="F749" t="s">
        <v>13</v>
      </c>
      <c r="G749" t="s">
        <v>202</v>
      </c>
      <c r="H749">
        <v>4</v>
      </c>
      <c r="I749">
        <v>2004</v>
      </c>
      <c r="J749" t="s">
        <v>22</v>
      </c>
      <c r="K749" t="s">
        <v>23</v>
      </c>
    </row>
    <row r="750" spans="1:11">
      <c r="A750" t="s">
        <v>25</v>
      </c>
      <c r="B750">
        <v>10367</v>
      </c>
      <c r="C750">
        <v>27</v>
      </c>
      <c r="D750" s="21">
        <v>100</v>
      </c>
      <c r="E750" s="22">
        <v>38364</v>
      </c>
      <c r="F750" t="s">
        <v>155</v>
      </c>
      <c r="G750" t="s">
        <v>202</v>
      </c>
      <c r="H750">
        <v>1</v>
      </c>
      <c r="I750">
        <v>2005</v>
      </c>
      <c r="J750" t="s">
        <v>22</v>
      </c>
      <c r="K750" t="s">
        <v>26</v>
      </c>
    </row>
    <row r="751" spans="1:11">
      <c r="A751" t="s">
        <v>69</v>
      </c>
      <c r="B751">
        <v>10380</v>
      </c>
      <c r="C751">
        <v>40</v>
      </c>
      <c r="D751" s="21">
        <v>100</v>
      </c>
      <c r="E751" s="22">
        <v>38399</v>
      </c>
      <c r="F751" t="s">
        <v>13</v>
      </c>
      <c r="G751" t="s">
        <v>202</v>
      </c>
      <c r="H751">
        <v>1</v>
      </c>
      <c r="I751">
        <v>2005</v>
      </c>
      <c r="J751" t="s">
        <v>22</v>
      </c>
      <c r="K751" t="s">
        <v>71</v>
      </c>
    </row>
    <row r="752" spans="1:11">
      <c r="A752" t="s">
        <v>103</v>
      </c>
      <c r="B752">
        <v>10390</v>
      </c>
      <c r="C752">
        <v>31</v>
      </c>
      <c r="D752" s="21">
        <v>98.99</v>
      </c>
      <c r="E752" s="22">
        <v>38415</v>
      </c>
      <c r="F752" t="s">
        <v>13</v>
      </c>
      <c r="G752" t="s">
        <v>202</v>
      </c>
      <c r="H752">
        <v>1</v>
      </c>
      <c r="I752">
        <v>2005</v>
      </c>
      <c r="J752" t="s">
        <v>22</v>
      </c>
      <c r="K752" t="s">
        <v>104</v>
      </c>
    </row>
    <row r="753" spans="1:11">
      <c r="A753" t="s">
        <v>159</v>
      </c>
      <c r="B753">
        <v>10409</v>
      </c>
      <c r="C753">
        <v>6</v>
      </c>
      <c r="D753" s="21">
        <v>100</v>
      </c>
      <c r="E753" s="22">
        <v>38465</v>
      </c>
      <c r="F753" t="s">
        <v>13</v>
      </c>
      <c r="G753" t="s">
        <v>202</v>
      </c>
      <c r="H753">
        <v>2</v>
      </c>
      <c r="I753">
        <v>2005</v>
      </c>
      <c r="J753" t="s">
        <v>15</v>
      </c>
      <c r="K753" t="s">
        <v>160</v>
      </c>
    </row>
    <row r="754" spans="1:11">
      <c r="A754" t="s">
        <v>63</v>
      </c>
      <c r="B754">
        <v>10420</v>
      </c>
      <c r="C754">
        <v>45</v>
      </c>
      <c r="D754" s="21">
        <v>100</v>
      </c>
      <c r="E754" s="22">
        <v>38501</v>
      </c>
      <c r="F754" t="s">
        <v>113</v>
      </c>
      <c r="G754" t="s">
        <v>202</v>
      </c>
      <c r="H754">
        <v>2</v>
      </c>
      <c r="I754">
        <v>2005</v>
      </c>
      <c r="J754" t="s">
        <v>22</v>
      </c>
      <c r="K754" t="s">
        <v>64</v>
      </c>
    </row>
    <row r="755" spans="1:11">
      <c r="A755" t="s">
        <v>56</v>
      </c>
      <c r="B755">
        <v>10103</v>
      </c>
      <c r="C755">
        <v>22</v>
      </c>
      <c r="D755" s="21">
        <v>54.09</v>
      </c>
      <c r="E755" s="22">
        <v>37650</v>
      </c>
      <c r="F755" t="s">
        <v>13</v>
      </c>
      <c r="G755" t="s">
        <v>187</v>
      </c>
      <c r="H755">
        <v>1</v>
      </c>
      <c r="I755">
        <v>2003</v>
      </c>
      <c r="J755" t="s">
        <v>15</v>
      </c>
      <c r="K755" t="s">
        <v>57</v>
      </c>
    </row>
    <row r="756" spans="1:11">
      <c r="A756" t="s">
        <v>152</v>
      </c>
      <c r="B756">
        <v>10114</v>
      </c>
      <c r="C756">
        <v>45</v>
      </c>
      <c r="D756" s="21">
        <v>68.67</v>
      </c>
      <c r="E756" s="22">
        <v>37712</v>
      </c>
      <c r="F756" t="s">
        <v>13</v>
      </c>
      <c r="G756" t="s">
        <v>187</v>
      </c>
      <c r="H756">
        <v>2</v>
      </c>
      <c r="I756">
        <v>2003</v>
      </c>
      <c r="J756" t="s">
        <v>22</v>
      </c>
      <c r="K756" t="s">
        <v>153</v>
      </c>
    </row>
    <row r="757" spans="1:11">
      <c r="A757" t="s">
        <v>75</v>
      </c>
      <c r="B757">
        <v>10126</v>
      </c>
      <c r="C757">
        <v>43</v>
      </c>
      <c r="D757" s="21">
        <v>65.02</v>
      </c>
      <c r="E757" s="22">
        <v>37769</v>
      </c>
      <c r="F757" t="s">
        <v>13</v>
      </c>
      <c r="G757" t="s">
        <v>187</v>
      </c>
      <c r="H757">
        <v>2</v>
      </c>
      <c r="I757">
        <v>2003</v>
      </c>
      <c r="J757" t="s">
        <v>15</v>
      </c>
      <c r="K757" t="s">
        <v>76</v>
      </c>
    </row>
    <row r="758" spans="1:11">
      <c r="A758" t="s">
        <v>31</v>
      </c>
      <c r="B758">
        <v>10140</v>
      </c>
      <c r="C758">
        <v>46</v>
      </c>
      <c r="D758" s="21">
        <v>61.99</v>
      </c>
      <c r="E758" s="22">
        <v>37826</v>
      </c>
      <c r="F758" t="s">
        <v>13</v>
      </c>
      <c r="G758" t="s">
        <v>187</v>
      </c>
      <c r="H758">
        <v>3</v>
      </c>
      <c r="I758">
        <v>2003</v>
      </c>
      <c r="J758" t="s">
        <v>15</v>
      </c>
      <c r="K758" t="s">
        <v>32</v>
      </c>
    </row>
    <row r="759" spans="1:11">
      <c r="A759" t="s">
        <v>147</v>
      </c>
      <c r="B759">
        <v>10151</v>
      </c>
      <c r="C759">
        <v>39</v>
      </c>
      <c r="D759" s="21">
        <v>69.28</v>
      </c>
      <c r="E759" s="22">
        <v>37885</v>
      </c>
      <c r="F759" t="s">
        <v>13</v>
      </c>
      <c r="G759" t="s">
        <v>187</v>
      </c>
      <c r="H759">
        <v>3</v>
      </c>
      <c r="I759">
        <v>2003</v>
      </c>
      <c r="J759" t="s">
        <v>15</v>
      </c>
      <c r="K759" t="s">
        <v>148</v>
      </c>
    </row>
    <row r="760" spans="1:11">
      <c r="A760" t="s">
        <v>77</v>
      </c>
      <c r="B760">
        <v>10165</v>
      </c>
      <c r="C760">
        <v>31</v>
      </c>
      <c r="D760" s="21">
        <v>71.1</v>
      </c>
      <c r="E760" s="22">
        <v>37916</v>
      </c>
      <c r="F760" t="s">
        <v>13</v>
      </c>
      <c r="G760" t="s">
        <v>187</v>
      </c>
      <c r="H760">
        <v>4</v>
      </c>
      <c r="I760">
        <v>2003</v>
      </c>
      <c r="J760" t="s">
        <v>15</v>
      </c>
      <c r="K760" t="s">
        <v>78</v>
      </c>
    </row>
    <row r="761" spans="1:11">
      <c r="A761" t="s">
        <v>124</v>
      </c>
      <c r="B761">
        <v>10175</v>
      </c>
      <c r="C761">
        <v>41</v>
      </c>
      <c r="D761" s="21">
        <v>69.28</v>
      </c>
      <c r="E761" s="22">
        <v>37931</v>
      </c>
      <c r="F761" t="s">
        <v>13</v>
      </c>
      <c r="G761" t="s">
        <v>187</v>
      </c>
      <c r="H761">
        <v>4</v>
      </c>
      <c r="I761">
        <v>2003</v>
      </c>
      <c r="J761" t="s">
        <v>15</v>
      </c>
      <c r="K761" t="s">
        <v>125</v>
      </c>
    </row>
    <row r="762" spans="1:11">
      <c r="A762" t="s">
        <v>192</v>
      </c>
      <c r="B762">
        <v>10184</v>
      </c>
      <c r="C762">
        <v>44</v>
      </c>
      <c r="D762" s="21">
        <v>60.16</v>
      </c>
      <c r="E762" s="22">
        <v>37939</v>
      </c>
      <c r="F762" t="s">
        <v>13</v>
      </c>
      <c r="G762" t="s">
        <v>187</v>
      </c>
      <c r="H762">
        <v>4</v>
      </c>
      <c r="I762">
        <v>2003</v>
      </c>
      <c r="J762" t="s">
        <v>15</v>
      </c>
      <c r="K762" t="s">
        <v>193</v>
      </c>
    </row>
    <row r="763" spans="1:11">
      <c r="A763" t="s">
        <v>85</v>
      </c>
      <c r="B763">
        <v>10194</v>
      </c>
      <c r="C763">
        <v>45</v>
      </c>
      <c r="D763" s="21">
        <v>70.49</v>
      </c>
      <c r="E763" s="22">
        <v>37950</v>
      </c>
      <c r="F763" t="s">
        <v>13</v>
      </c>
      <c r="G763" t="s">
        <v>187</v>
      </c>
      <c r="H763">
        <v>4</v>
      </c>
      <c r="I763">
        <v>2003</v>
      </c>
      <c r="J763" t="s">
        <v>22</v>
      </c>
      <c r="K763" t="s">
        <v>86</v>
      </c>
    </row>
    <row r="764" spans="1:11">
      <c r="A764" t="s">
        <v>157</v>
      </c>
      <c r="B764">
        <v>10207</v>
      </c>
      <c r="C764">
        <v>37</v>
      </c>
      <c r="D764" s="21">
        <v>69.89</v>
      </c>
      <c r="E764" s="22">
        <v>37964</v>
      </c>
      <c r="F764" t="s">
        <v>13</v>
      </c>
      <c r="G764" t="s">
        <v>187</v>
      </c>
      <c r="H764">
        <v>4</v>
      </c>
      <c r="I764">
        <v>2003</v>
      </c>
      <c r="J764" t="s">
        <v>15</v>
      </c>
      <c r="K764" t="s">
        <v>158</v>
      </c>
    </row>
    <row r="765" spans="1:11">
      <c r="A765" t="s">
        <v>159</v>
      </c>
      <c r="B765">
        <v>10217</v>
      </c>
      <c r="C765">
        <v>35</v>
      </c>
      <c r="D765" s="21">
        <v>61.38</v>
      </c>
      <c r="E765" s="22">
        <v>38021</v>
      </c>
      <c r="F765" t="s">
        <v>13</v>
      </c>
      <c r="G765" t="s">
        <v>187</v>
      </c>
      <c r="H765">
        <v>1</v>
      </c>
      <c r="I765">
        <v>2004</v>
      </c>
      <c r="J765" t="s">
        <v>15</v>
      </c>
      <c r="K765" t="s">
        <v>160</v>
      </c>
    </row>
    <row r="766" spans="1:11">
      <c r="A766" t="s">
        <v>103</v>
      </c>
      <c r="B766">
        <v>10229</v>
      </c>
      <c r="C766">
        <v>28</v>
      </c>
      <c r="D766" s="21">
        <v>59.55</v>
      </c>
      <c r="E766" s="22">
        <v>38057</v>
      </c>
      <c r="F766" t="s">
        <v>13</v>
      </c>
      <c r="G766" t="s">
        <v>187</v>
      </c>
      <c r="H766">
        <v>1</v>
      </c>
      <c r="I766">
        <v>2004</v>
      </c>
      <c r="J766" t="s">
        <v>15</v>
      </c>
      <c r="K766" t="s">
        <v>104</v>
      </c>
    </row>
    <row r="767" spans="1:11">
      <c r="A767" t="s">
        <v>69</v>
      </c>
      <c r="B767">
        <v>10246</v>
      </c>
      <c r="C767">
        <v>30</v>
      </c>
      <c r="D767" s="21">
        <v>61.99</v>
      </c>
      <c r="E767" s="22">
        <v>38112</v>
      </c>
      <c r="F767" t="s">
        <v>13</v>
      </c>
      <c r="G767" t="s">
        <v>187</v>
      </c>
      <c r="H767">
        <v>2</v>
      </c>
      <c r="I767">
        <v>2004</v>
      </c>
      <c r="J767" t="s">
        <v>15</v>
      </c>
      <c r="K767" t="s">
        <v>71</v>
      </c>
    </row>
    <row r="768" spans="1:11">
      <c r="A768" t="s">
        <v>159</v>
      </c>
      <c r="B768">
        <v>10259</v>
      </c>
      <c r="C768">
        <v>30</v>
      </c>
      <c r="D768" s="21">
        <v>49.22</v>
      </c>
      <c r="E768" s="22">
        <v>38153</v>
      </c>
      <c r="F768" t="s">
        <v>13</v>
      </c>
      <c r="G768" t="s">
        <v>187</v>
      </c>
      <c r="H768">
        <v>2</v>
      </c>
      <c r="I768">
        <v>2004</v>
      </c>
      <c r="J768" t="s">
        <v>15</v>
      </c>
      <c r="K768" t="s">
        <v>160</v>
      </c>
    </row>
    <row r="769" spans="1:11">
      <c r="A769" t="s">
        <v>103</v>
      </c>
      <c r="B769">
        <v>10271</v>
      </c>
      <c r="C769">
        <v>25</v>
      </c>
      <c r="D769" s="21">
        <v>69.28</v>
      </c>
      <c r="E769" s="22">
        <v>38188</v>
      </c>
      <c r="F769" t="s">
        <v>13</v>
      </c>
      <c r="G769" t="s">
        <v>187</v>
      </c>
      <c r="H769">
        <v>3</v>
      </c>
      <c r="I769">
        <v>2004</v>
      </c>
      <c r="J769" t="s">
        <v>15</v>
      </c>
      <c r="K769" t="s">
        <v>104</v>
      </c>
    </row>
    <row r="770" spans="1:11">
      <c r="A770" t="s">
        <v>58</v>
      </c>
      <c r="B770">
        <v>10281</v>
      </c>
      <c r="C770">
        <v>29</v>
      </c>
      <c r="D770" s="21">
        <v>57.73</v>
      </c>
      <c r="E770" s="22">
        <v>38218</v>
      </c>
      <c r="F770" t="s">
        <v>13</v>
      </c>
      <c r="G770" t="s">
        <v>187</v>
      </c>
      <c r="H770">
        <v>3</v>
      </c>
      <c r="I770">
        <v>2004</v>
      </c>
      <c r="J770" t="s">
        <v>15</v>
      </c>
      <c r="K770" t="s">
        <v>59</v>
      </c>
    </row>
    <row r="771" spans="1:11">
      <c r="A771" t="s">
        <v>99</v>
      </c>
      <c r="B771">
        <v>10291</v>
      </c>
      <c r="C771">
        <v>26</v>
      </c>
      <c r="D771" s="21">
        <v>57.73</v>
      </c>
      <c r="E771" s="22">
        <v>38238</v>
      </c>
      <c r="F771" t="s">
        <v>13</v>
      </c>
      <c r="G771" t="s">
        <v>187</v>
      </c>
      <c r="H771">
        <v>3</v>
      </c>
      <c r="I771">
        <v>2004</v>
      </c>
      <c r="J771" t="s">
        <v>15</v>
      </c>
      <c r="K771" t="s">
        <v>100</v>
      </c>
    </row>
    <row r="772" spans="1:11">
      <c r="A772" t="s">
        <v>52</v>
      </c>
      <c r="B772">
        <v>10305</v>
      </c>
      <c r="C772">
        <v>41</v>
      </c>
      <c r="D772" s="21">
        <v>53.48</v>
      </c>
      <c r="E772" s="22">
        <v>38273</v>
      </c>
      <c r="F772" t="s">
        <v>13</v>
      </c>
      <c r="G772" t="s">
        <v>187</v>
      </c>
      <c r="H772">
        <v>4</v>
      </c>
      <c r="I772">
        <v>2004</v>
      </c>
      <c r="J772" t="s">
        <v>15</v>
      </c>
      <c r="K772" t="s">
        <v>53</v>
      </c>
    </row>
    <row r="773" spans="1:11">
      <c r="A773" t="s">
        <v>87</v>
      </c>
      <c r="B773">
        <v>10313</v>
      </c>
      <c r="C773">
        <v>34</v>
      </c>
      <c r="D773" s="21">
        <v>52.87</v>
      </c>
      <c r="E773" s="22">
        <v>38282</v>
      </c>
      <c r="F773" t="s">
        <v>13</v>
      </c>
      <c r="G773" t="s">
        <v>187</v>
      </c>
      <c r="H773">
        <v>4</v>
      </c>
      <c r="I773">
        <v>2004</v>
      </c>
      <c r="J773" t="s">
        <v>15</v>
      </c>
      <c r="K773" t="s">
        <v>88</v>
      </c>
    </row>
    <row r="774" spans="1:11">
      <c r="A774" t="s">
        <v>105</v>
      </c>
      <c r="B774">
        <v>10322</v>
      </c>
      <c r="C774">
        <v>35</v>
      </c>
      <c r="D774" s="21">
        <v>61.21</v>
      </c>
      <c r="E774" s="22">
        <v>38295</v>
      </c>
      <c r="F774" t="s">
        <v>13</v>
      </c>
      <c r="G774" t="s">
        <v>187</v>
      </c>
      <c r="H774">
        <v>4</v>
      </c>
      <c r="I774">
        <v>2004</v>
      </c>
      <c r="J774" t="s">
        <v>15</v>
      </c>
      <c r="K774" t="s">
        <v>106</v>
      </c>
    </row>
    <row r="775" spans="1:11">
      <c r="A775" t="s">
        <v>73</v>
      </c>
      <c r="B775">
        <v>10334</v>
      </c>
      <c r="C775">
        <v>34</v>
      </c>
      <c r="D775" s="21">
        <v>61.38</v>
      </c>
      <c r="E775" s="22">
        <v>38310</v>
      </c>
      <c r="F775" t="s">
        <v>151</v>
      </c>
      <c r="G775" t="s">
        <v>187</v>
      </c>
      <c r="H775">
        <v>4</v>
      </c>
      <c r="I775">
        <v>2004</v>
      </c>
      <c r="J775" t="s">
        <v>15</v>
      </c>
      <c r="K775" t="s">
        <v>74</v>
      </c>
    </row>
    <row r="776" spans="1:11">
      <c r="A776" t="s">
        <v>42</v>
      </c>
      <c r="B776">
        <v>10347</v>
      </c>
      <c r="C776">
        <v>50</v>
      </c>
      <c r="D776" s="21">
        <v>100</v>
      </c>
      <c r="E776" s="22">
        <v>38320</v>
      </c>
      <c r="F776" t="s">
        <v>13</v>
      </c>
      <c r="G776" t="s">
        <v>187</v>
      </c>
      <c r="H776">
        <v>4</v>
      </c>
      <c r="I776">
        <v>2004</v>
      </c>
      <c r="J776" t="s">
        <v>22</v>
      </c>
      <c r="K776" t="s">
        <v>43</v>
      </c>
    </row>
    <row r="777" spans="1:11">
      <c r="A777" t="s">
        <v>103</v>
      </c>
      <c r="B777">
        <v>10357</v>
      </c>
      <c r="C777">
        <v>41</v>
      </c>
      <c r="D777" s="21">
        <v>61.99</v>
      </c>
      <c r="E777" s="22">
        <v>38331</v>
      </c>
      <c r="F777" t="s">
        <v>13</v>
      </c>
      <c r="G777" t="s">
        <v>187</v>
      </c>
      <c r="H777">
        <v>4</v>
      </c>
      <c r="I777">
        <v>2004</v>
      </c>
      <c r="J777" t="s">
        <v>15</v>
      </c>
      <c r="K777" t="s">
        <v>104</v>
      </c>
    </row>
    <row r="778" spans="1:11">
      <c r="A778" t="s">
        <v>109</v>
      </c>
      <c r="B778">
        <v>10370</v>
      </c>
      <c r="C778">
        <v>22</v>
      </c>
      <c r="D778" s="21">
        <v>96.86</v>
      </c>
      <c r="E778" s="22">
        <v>38372</v>
      </c>
      <c r="F778" t="s">
        <v>13</v>
      </c>
      <c r="G778" t="s">
        <v>187</v>
      </c>
      <c r="H778">
        <v>1</v>
      </c>
      <c r="I778">
        <v>2005</v>
      </c>
      <c r="J778" t="s">
        <v>15</v>
      </c>
      <c r="K778" t="s">
        <v>110</v>
      </c>
    </row>
    <row r="779" spans="1:11">
      <c r="A779" t="s">
        <v>28</v>
      </c>
      <c r="B779">
        <v>10381</v>
      </c>
      <c r="C779">
        <v>35</v>
      </c>
      <c r="D779" s="21">
        <v>48.62</v>
      </c>
      <c r="E779" s="22">
        <v>38400</v>
      </c>
      <c r="F779" t="s">
        <v>13</v>
      </c>
      <c r="G779" t="s">
        <v>187</v>
      </c>
      <c r="H779">
        <v>1</v>
      </c>
      <c r="I779">
        <v>2005</v>
      </c>
      <c r="J779" t="s">
        <v>15</v>
      </c>
      <c r="K779" t="s">
        <v>29</v>
      </c>
    </row>
    <row r="780" spans="1:11">
      <c r="A780" t="s">
        <v>109</v>
      </c>
      <c r="B780">
        <v>10391</v>
      </c>
      <c r="C780">
        <v>44</v>
      </c>
      <c r="D780" s="21">
        <v>38.5</v>
      </c>
      <c r="E780" s="22">
        <v>38420</v>
      </c>
      <c r="F780" t="s">
        <v>13</v>
      </c>
      <c r="G780" t="s">
        <v>187</v>
      </c>
      <c r="H780">
        <v>1</v>
      </c>
      <c r="I780">
        <v>2005</v>
      </c>
      <c r="J780" t="s">
        <v>15</v>
      </c>
      <c r="K780" t="s">
        <v>110</v>
      </c>
    </row>
    <row r="781" spans="1:11">
      <c r="A781" t="s">
        <v>69</v>
      </c>
      <c r="B781">
        <v>10412</v>
      </c>
      <c r="C781">
        <v>47</v>
      </c>
      <c r="D781" s="21">
        <v>61.99</v>
      </c>
      <c r="E781" s="22">
        <v>38475</v>
      </c>
      <c r="F781" t="s">
        <v>13</v>
      </c>
      <c r="G781" t="s">
        <v>187</v>
      </c>
      <c r="H781">
        <v>2</v>
      </c>
      <c r="I781">
        <v>2005</v>
      </c>
      <c r="J781" t="s">
        <v>15</v>
      </c>
      <c r="K781" t="s">
        <v>71</v>
      </c>
    </row>
    <row r="782" spans="1:11">
      <c r="A782" t="s">
        <v>50</v>
      </c>
      <c r="B782">
        <v>10425</v>
      </c>
      <c r="C782">
        <v>19</v>
      </c>
      <c r="D782" s="21">
        <v>49.22</v>
      </c>
      <c r="E782" s="22">
        <v>38503</v>
      </c>
      <c r="F782" t="s">
        <v>113</v>
      </c>
      <c r="G782" t="s">
        <v>187</v>
      </c>
      <c r="H782">
        <v>2</v>
      </c>
      <c r="I782">
        <v>2005</v>
      </c>
      <c r="J782" t="s">
        <v>15</v>
      </c>
      <c r="K782" t="s">
        <v>51</v>
      </c>
    </row>
    <row r="783" spans="1:11">
      <c r="A783" t="s">
        <v>203</v>
      </c>
      <c r="B783">
        <v>10106</v>
      </c>
      <c r="C783">
        <v>34</v>
      </c>
      <c r="D783" s="21">
        <v>90.39</v>
      </c>
      <c r="E783" s="22">
        <v>37669</v>
      </c>
      <c r="F783" t="s">
        <v>13</v>
      </c>
      <c r="G783" t="s">
        <v>207</v>
      </c>
      <c r="H783">
        <v>1</v>
      </c>
      <c r="I783">
        <v>2003</v>
      </c>
      <c r="J783" t="s">
        <v>22</v>
      </c>
      <c r="K783" t="s">
        <v>204</v>
      </c>
    </row>
    <row r="784" spans="1:11">
      <c r="A784" t="s">
        <v>42</v>
      </c>
      <c r="B784">
        <v>10120</v>
      </c>
      <c r="C784">
        <v>29</v>
      </c>
      <c r="D784" s="21">
        <v>71.81</v>
      </c>
      <c r="E784" s="22">
        <v>37740</v>
      </c>
      <c r="F784" t="s">
        <v>13</v>
      </c>
      <c r="G784" t="s">
        <v>207</v>
      </c>
      <c r="H784">
        <v>2</v>
      </c>
      <c r="I784">
        <v>2003</v>
      </c>
      <c r="J784" t="s">
        <v>15</v>
      </c>
      <c r="K784" t="s">
        <v>43</v>
      </c>
    </row>
    <row r="785" spans="1:11">
      <c r="A785" t="s">
        <v>69</v>
      </c>
      <c r="B785">
        <v>10133</v>
      </c>
      <c r="C785">
        <v>49</v>
      </c>
      <c r="D785" s="21">
        <v>69.27</v>
      </c>
      <c r="E785" s="22">
        <v>37799</v>
      </c>
      <c r="F785" t="s">
        <v>13</v>
      </c>
      <c r="G785" t="s">
        <v>207</v>
      </c>
      <c r="H785">
        <v>2</v>
      </c>
      <c r="I785">
        <v>2003</v>
      </c>
      <c r="J785" t="s">
        <v>22</v>
      </c>
      <c r="K785" t="s">
        <v>71</v>
      </c>
    </row>
    <row r="786" spans="1:11">
      <c r="A786" t="s">
        <v>25</v>
      </c>
      <c r="B786">
        <v>10145</v>
      </c>
      <c r="C786">
        <v>30</v>
      </c>
      <c r="D786" s="21">
        <v>85.32</v>
      </c>
      <c r="E786" s="22">
        <v>37858</v>
      </c>
      <c r="F786" t="s">
        <v>13</v>
      </c>
      <c r="G786" t="s">
        <v>207</v>
      </c>
      <c r="H786">
        <v>3</v>
      </c>
      <c r="I786">
        <v>2003</v>
      </c>
      <c r="J786" t="s">
        <v>15</v>
      </c>
      <c r="K786" t="s">
        <v>26</v>
      </c>
    </row>
    <row r="787" spans="1:11">
      <c r="A787" t="s">
        <v>31</v>
      </c>
      <c r="B787">
        <v>10168</v>
      </c>
      <c r="C787">
        <v>21</v>
      </c>
      <c r="D787" s="21">
        <v>70.96</v>
      </c>
      <c r="E787" s="22">
        <v>37922</v>
      </c>
      <c r="F787" t="s">
        <v>13</v>
      </c>
      <c r="G787" t="s">
        <v>207</v>
      </c>
      <c r="H787">
        <v>4</v>
      </c>
      <c r="I787">
        <v>2003</v>
      </c>
      <c r="J787" t="s">
        <v>15</v>
      </c>
      <c r="K787" t="s">
        <v>32</v>
      </c>
    </row>
    <row r="788" spans="1:11">
      <c r="A788" t="s">
        <v>114</v>
      </c>
      <c r="B788">
        <v>10210</v>
      </c>
      <c r="C788">
        <v>50</v>
      </c>
      <c r="D788" s="21">
        <v>76.88</v>
      </c>
      <c r="E788" s="22">
        <v>37998</v>
      </c>
      <c r="F788" t="s">
        <v>13</v>
      </c>
      <c r="G788" t="s">
        <v>207</v>
      </c>
      <c r="H788">
        <v>1</v>
      </c>
      <c r="I788">
        <v>2004</v>
      </c>
      <c r="J788" t="s">
        <v>22</v>
      </c>
      <c r="K788" t="s">
        <v>115</v>
      </c>
    </row>
    <row r="789" spans="1:11">
      <c r="A789" t="s">
        <v>42</v>
      </c>
      <c r="B789">
        <v>10223</v>
      </c>
      <c r="C789">
        <v>47</v>
      </c>
      <c r="D789" s="21">
        <v>100</v>
      </c>
      <c r="E789" s="22">
        <v>38037</v>
      </c>
      <c r="F789" t="s">
        <v>13</v>
      </c>
      <c r="G789" t="s">
        <v>207</v>
      </c>
      <c r="H789">
        <v>1</v>
      </c>
      <c r="I789">
        <v>2004</v>
      </c>
      <c r="J789" t="s">
        <v>22</v>
      </c>
      <c r="K789" t="s">
        <v>43</v>
      </c>
    </row>
    <row r="790" spans="1:11">
      <c r="A790" t="s">
        <v>141</v>
      </c>
      <c r="B790">
        <v>10235</v>
      </c>
      <c r="C790">
        <v>24</v>
      </c>
      <c r="D790" s="21">
        <v>76.03</v>
      </c>
      <c r="E790" s="22">
        <v>38079</v>
      </c>
      <c r="F790" t="s">
        <v>13</v>
      </c>
      <c r="G790" t="s">
        <v>207</v>
      </c>
      <c r="H790">
        <v>2</v>
      </c>
      <c r="I790">
        <v>2004</v>
      </c>
      <c r="J790" t="s">
        <v>15</v>
      </c>
      <c r="K790" t="s">
        <v>142</v>
      </c>
    </row>
    <row r="791" spans="1:11">
      <c r="A791" t="s">
        <v>149</v>
      </c>
      <c r="B791">
        <v>10250</v>
      </c>
      <c r="C791">
        <v>27</v>
      </c>
      <c r="D791" s="21">
        <v>98.84</v>
      </c>
      <c r="E791" s="22">
        <v>38118</v>
      </c>
      <c r="F791" t="s">
        <v>13</v>
      </c>
      <c r="G791" t="s">
        <v>207</v>
      </c>
      <c r="H791">
        <v>2</v>
      </c>
      <c r="I791">
        <v>2004</v>
      </c>
      <c r="J791" t="s">
        <v>15</v>
      </c>
      <c r="K791" t="s">
        <v>150</v>
      </c>
    </row>
    <row r="792" spans="1:11">
      <c r="A792" t="s">
        <v>48</v>
      </c>
      <c r="B792">
        <v>10263</v>
      </c>
      <c r="C792">
        <v>33</v>
      </c>
      <c r="D792" s="21">
        <v>86.17</v>
      </c>
      <c r="E792" s="22">
        <v>38166</v>
      </c>
      <c r="F792" t="s">
        <v>13</v>
      </c>
      <c r="G792" t="s">
        <v>207</v>
      </c>
      <c r="H792">
        <v>2</v>
      </c>
      <c r="I792">
        <v>2004</v>
      </c>
      <c r="J792" t="s">
        <v>15</v>
      </c>
      <c r="K792" t="s">
        <v>49</v>
      </c>
    </row>
    <row r="793" spans="1:11">
      <c r="A793" t="s">
        <v>50</v>
      </c>
      <c r="B793">
        <v>10275</v>
      </c>
      <c r="C793">
        <v>35</v>
      </c>
      <c r="D793" s="21">
        <v>90.39</v>
      </c>
      <c r="E793" s="22">
        <v>38191</v>
      </c>
      <c r="F793" t="s">
        <v>13</v>
      </c>
      <c r="G793" t="s">
        <v>207</v>
      </c>
      <c r="H793">
        <v>3</v>
      </c>
      <c r="I793">
        <v>2004</v>
      </c>
      <c r="J793" t="s">
        <v>22</v>
      </c>
      <c r="K793" t="s">
        <v>51</v>
      </c>
    </row>
    <row r="794" spans="1:11">
      <c r="A794" t="s">
        <v>200</v>
      </c>
      <c r="B794">
        <v>10284</v>
      </c>
      <c r="C794">
        <v>31</v>
      </c>
      <c r="D794" s="21">
        <v>71.81</v>
      </c>
      <c r="E794" s="22">
        <v>38220</v>
      </c>
      <c r="F794" t="s">
        <v>13</v>
      </c>
      <c r="G794" t="s">
        <v>207</v>
      </c>
      <c r="H794">
        <v>3</v>
      </c>
      <c r="I794">
        <v>2004</v>
      </c>
      <c r="J794" t="s">
        <v>15</v>
      </c>
      <c r="K794" t="s">
        <v>201</v>
      </c>
    </row>
    <row r="795" spans="1:11">
      <c r="A795" t="s">
        <v>179</v>
      </c>
      <c r="B795">
        <v>10297</v>
      </c>
      <c r="C795">
        <v>25</v>
      </c>
      <c r="D795" s="21">
        <v>82.79</v>
      </c>
      <c r="E795" s="22">
        <v>38246</v>
      </c>
      <c r="F795" t="s">
        <v>13</v>
      </c>
      <c r="G795" t="s">
        <v>207</v>
      </c>
      <c r="H795">
        <v>3</v>
      </c>
      <c r="I795">
        <v>2004</v>
      </c>
      <c r="J795" t="s">
        <v>15</v>
      </c>
      <c r="K795" t="s">
        <v>180</v>
      </c>
    </row>
    <row r="796" spans="1:11">
      <c r="A796" t="s">
        <v>120</v>
      </c>
      <c r="B796">
        <v>10308</v>
      </c>
      <c r="C796">
        <v>27</v>
      </c>
      <c r="D796" s="21">
        <v>82.79</v>
      </c>
      <c r="E796" s="22">
        <v>38275</v>
      </c>
      <c r="F796" t="s">
        <v>13</v>
      </c>
      <c r="G796" t="s">
        <v>207</v>
      </c>
      <c r="H796">
        <v>4</v>
      </c>
      <c r="I796">
        <v>2004</v>
      </c>
      <c r="J796" t="s">
        <v>15</v>
      </c>
      <c r="K796" t="s">
        <v>121</v>
      </c>
    </row>
    <row r="797" spans="1:11">
      <c r="A797" t="s">
        <v>58</v>
      </c>
      <c r="B797">
        <v>10318</v>
      </c>
      <c r="C797">
        <v>31</v>
      </c>
      <c r="D797" s="21">
        <v>100</v>
      </c>
      <c r="E797" s="22">
        <v>38293</v>
      </c>
      <c r="F797" t="s">
        <v>13</v>
      </c>
      <c r="G797" t="s">
        <v>207</v>
      </c>
      <c r="H797">
        <v>4</v>
      </c>
      <c r="I797">
        <v>2004</v>
      </c>
      <c r="J797" t="s">
        <v>22</v>
      </c>
      <c r="K797" t="s">
        <v>59</v>
      </c>
    </row>
    <row r="798" spans="1:11">
      <c r="A798" t="s">
        <v>122</v>
      </c>
      <c r="B798">
        <v>10327</v>
      </c>
      <c r="C798">
        <v>45</v>
      </c>
      <c r="D798" s="21">
        <v>100</v>
      </c>
      <c r="E798" s="22">
        <v>38301</v>
      </c>
      <c r="F798" t="s">
        <v>155</v>
      </c>
      <c r="G798" t="s">
        <v>207</v>
      </c>
      <c r="H798">
        <v>4</v>
      </c>
      <c r="I798">
        <v>2004</v>
      </c>
      <c r="J798" t="s">
        <v>22</v>
      </c>
      <c r="K798" t="s">
        <v>123</v>
      </c>
    </row>
    <row r="799" spans="1:11">
      <c r="A799" t="s">
        <v>95</v>
      </c>
      <c r="B799">
        <v>10339</v>
      </c>
      <c r="C799">
        <v>27</v>
      </c>
      <c r="D799" s="21">
        <v>100</v>
      </c>
      <c r="E799" s="22">
        <v>38314</v>
      </c>
      <c r="F799" t="s">
        <v>13</v>
      </c>
      <c r="G799" t="s">
        <v>207</v>
      </c>
      <c r="H799">
        <v>4</v>
      </c>
      <c r="I799">
        <v>2004</v>
      </c>
      <c r="J799" t="s">
        <v>15</v>
      </c>
      <c r="K799" t="s">
        <v>96</v>
      </c>
    </row>
    <row r="800" spans="1:11">
      <c r="A800" t="s">
        <v>208</v>
      </c>
      <c r="B800">
        <v>10353</v>
      </c>
      <c r="C800">
        <v>27</v>
      </c>
      <c r="D800" s="21">
        <v>100</v>
      </c>
      <c r="E800" s="22">
        <v>38325</v>
      </c>
      <c r="F800" t="s">
        <v>13</v>
      </c>
      <c r="G800" t="s">
        <v>207</v>
      </c>
      <c r="H800">
        <v>4</v>
      </c>
      <c r="I800">
        <v>2004</v>
      </c>
      <c r="J800" t="s">
        <v>22</v>
      </c>
      <c r="K800" t="s">
        <v>209</v>
      </c>
    </row>
    <row r="801" spans="1:11">
      <c r="A801" t="s">
        <v>81</v>
      </c>
      <c r="B801">
        <v>10374</v>
      </c>
      <c r="C801">
        <v>42</v>
      </c>
      <c r="D801" s="21">
        <v>69.27</v>
      </c>
      <c r="E801" s="22">
        <v>38385</v>
      </c>
      <c r="F801" t="s">
        <v>13</v>
      </c>
      <c r="G801" t="s">
        <v>207</v>
      </c>
      <c r="H801">
        <v>1</v>
      </c>
      <c r="I801">
        <v>2005</v>
      </c>
      <c r="J801" t="s">
        <v>15</v>
      </c>
      <c r="K801" t="s">
        <v>82</v>
      </c>
    </row>
    <row r="802" spans="1:11">
      <c r="A802" t="s">
        <v>69</v>
      </c>
      <c r="B802">
        <v>10386</v>
      </c>
      <c r="C802">
        <v>21</v>
      </c>
      <c r="D802" s="21">
        <v>74.77</v>
      </c>
      <c r="E802" s="22">
        <v>38412</v>
      </c>
      <c r="F802" t="s">
        <v>155</v>
      </c>
      <c r="G802" t="s">
        <v>207</v>
      </c>
      <c r="H802">
        <v>1</v>
      </c>
      <c r="I802">
        <v>2005</v>
      </c>
      <c r="J802" t="s">
        <v>15</v>
      </c>
      <c r="K802" t="s">
        <v>71</v>
      </c>
    </row>
    <row r="803" spans="1:11">
      <c r="A803" t="s">
        <v>18</v>
      </c>
      <c r="B803">
        <v>10398</v>
      </c>
      <c r="C803">
        <v>34</v>
      </c>
      <c r="D803" s="21">
        <v>76.88</v>
      </c>
      <c r="E803" s="22">
        <v>38441</v>
      </c>
      <c r="F803" t="s">
        <v>13</v>
      </c>
      <c r="G803" t="s">
        <v>207</v>
      </c>
      <c r="H803">
        <v>1</v>
      </c>
      <c r="I803">
        <v>2005</v>
      </c>
      <c r="J803" t="s">
        <v>15</v>
      </c>
      <c r="K803" t="s">
        <v>19</v>
      </c>
    </row>
    <row r="804" spans="1:11">
      <c r="A804" t="s">
        <v>46</v>
      </c>
      <c r="B804">
        <v>10401</v>
      </c>
      <c r="C804">
        <v>42</v>
      </c>
      <c r="D804" s="21">
        <v>76.03</v>
      </c>
      <c r="E804" s="22">
        <v>38445</v>
      </c>
      <c r="F804" t="s">
        <v>151</v>
      </c>
      <c r="G804" t="s">
        <v>207</v>
      </c>
      <c r="H804">
        <v>2</v>
      </c>
      <c r="I804">
        <v>2005</v>
      </c>
      <c r="J804" t="s">
        <v>22</v>
      </c>
      <c r="K804" t="s">
        <v>47</v>
      </c>
    </row>
    <row r="805" spans="1:11">
      <c r="A805" t="s">
        <v>169</v>
      </c>
      <c r="B805">
        <v>10416</v>
      </c>
      <c r="C805">
        <v>15</v>
      </c>
      <c r="D805" s="21">
        <v>98.84</v>
      </c>
      <c r="E805" s="22">
        <v>38482</v>
      </c>
      <c r="F805" t="s">
        <v>13</v>
      </c>
      <c r="G805" t="s">
        <v>207</v>
      </c>
      <c r="H805">
        <v>2</v>
      </c>
      <c r="I805">
        <v>2005</v>
      </c>
      <c r="J805" t="s">
        <v>15</v>
      </c>
      <c r="K805" t="s">
        <v>170</v>
      </c>
    </row>
    <row r="806" spans="1:11">
      <c r="A806" t="s">
        <v>12</v>
      </c>
      <c r="B806">
        <v>10107</v>
      </c>
      <c r="C806">
        <v>29</v>
      </c>
      <c r="D806" s="21">
        <v>70.87</v>
      </c>
      <c r="E806" s="22">
        <v>37676</v>
      </c>
      <c r="F806" t="s">
        <v>13</v>
      </c>
      <c r="G806" t="s">
        <v>14</v>
      </c>
      <c r="H806">
        <v>1</v>
      </c>
      <c r="I806">
        <v>2003</v>
      </c>
      <c r="J806" t="s">
        <v>15</v>
      </c>
      <c r="K806" t="s">
        <v>16</v>
      </c>
    </row>
    <row r="807" spans="1:11">
      <c r="A807" t="s">
        <v>42</v>
      </c>
      <c r="B807">
        <v>10120</v>
      </c>
      <c r="C807">
        <v>46</v>
      </c>
      <c r="D807" s="21">
        <v>58.15</v>
      </c>
      <c r="E807" s="22">
        <v>37740</v>
      </c>
      <c r="F807" t="s">
        <v>13</v>
      </c>
      <c r="G807" t="s">
        <v>14</v>
      </c>
      <c r="H807">
        <v>2</v>
      </c>
      <c r="I807">
        <v>2003</v>
      </c>
      <c r="J807" t="s">
        <v>15</v>
      </c>
      <c r="K807" t="s">
        <v>43</v>
      </c>
    </row>
    <row r="808" spans="1:11">
      <c r="A808" t="s">
        <v>21</v>
      </c>
      <c r="B808">
        <v>10134</v>
      </c>
      <c r="C808">
        <v>30</v>
      </c>
      <c r="D808" s="21">
        <v>61.78</v>
      </c>
      <c r="E808" s="22">
        <v>37803</v>
      </c>
      <c r="F808" t="s">
        <v>13</v>
      </c>
      <c r="G808" t="s">
        <v>14</v>
      </c>
      <c r="H808">
        <v>3</v>
      </c>
      <c r="I808">
        <v>2003</v>
      </c>
      <c r="J808" t="s">
        <v>15</v>
      </c>
      <c r="K808" t="s">
        <v>23</v>
      </c>
    </row>
    <row r="809" spans="1:11">
      <c r="A809" t="s">
        <v>25</v>
      </c>
      <c r="B809">
        <v>10145</v>
      </c>
      <c r="C809">
        <v>30</v>
      </c>
      <c r="D809" s="21">
        <v>49.67</v>
      </c>
      <c r="E809" s="22">
        <v>37858</v>
      </c>
      <c r="F809" t="s">
        <v>13</v>
      </c>
      <c r="G809" t="s">
        <v>14</v>
      </c>
      <c r="H809">
        <v>3</v>
      </c>
      <c r="I809">
        <v>2003</v>
      </c>
      <c r="J809" t="s">
        <v>15</v>
      </c>
      <c r="K809" t="s">
        <v>26</v>
      </c>
    </row>
    <row r="810" spans="1:11">
      <c r="A810" t="s">
        <v>28</v>
      </c>
      <c r="B810">
        <v>10159</v>
      </c>
      <c r="C810">
        <v>42</v>
      </c>
      <c r="D810" s="21">
        <v>51.48</v>
      </c>
      <c r="E810" s="22">
        <v>37904</v>
      </c>
      <c r="F810" t="s">
        <v>13</v>
      </c>
      <c r="G810" t="s">
        <v>14</v>
      </c>
      <c r="H810">
        <v>4</v>
      </c>
      <c r="I810">
        <v>2003</v>
      </c>
      <c r="J810" t="s">
        <v>15</v>
      </c>
      <c r="K810" t="s">
        <v>29</v>
      </c>
    </row>
    <row r="811" spans="1:11">
      <c r="A811" t="s">
        <v>31</v>
      </c>
      <c r="B811">
        <v>10168</v>
      </c>
      <c r="C811">
        <v>46</v>
      </c>
      <c r="D811" s="21">
        <v>61.18</v>
      </c>
      <c r="E811" s="22">
        <v>37922</v>
      </c>
      <c r="F811" t="s">
        <v>13</v>
      </c>
      <c r="G811" t="s">
        <v>14</v>
      </c>
      <c r="H811">
        <v>4</v>
      </c>
      <c r="I811">
        <v>2003</v>
      </c>
      <c r="J811" t="s">
        <v>15</v>
      </c>
      <c r="K811" t="s">
        <v>32</v>
      </c>
    </row>
    <row r="812" spans="1:11">
      <c r="A812" t="s">
        <v>34</v>
      </c>
      <c r="B812">
        <v>10180</v>
      </c>
      <c r="C812">
        <v>25</v>
      </c>
      <c r="D812" s="21">
        <v>64.2</v>
      </c>
      <c r="E812" s="22">
        <v>37936</v>
      </c>
      <c r="F812" t="s">
        <v>13</v>
      </c>
      <c r="G812" t="s">
        <v>14</v>
      </c>
      <c r="H812">
        <v>4</v>
      </c>
      <c r="I812">
        <v>2003</v>
      </c>
      <c r="J812" t="s">
        <v>15</v>
      </c>
      <c r="K812" t="s">
        <v>35</v>
      </c>
    </row>
    <row r="813" spans="1:11">
      <c r="A813" t="s">
        <v>36</v>
      </c>
      <c r="B813">
        <v>10188</v>
      </c>
      <c r="C813">
        <v>32</v>
      </c>
      <c r="D813" s="21">
        <v>65.42</v>
      </c>
      <c r="E813" s="22">
        <v>37943</v>
      </c>
      <c r="F813" t="s">
        <v>13</v>
      </c>
      <c r="G813" t="s">
        <v>14</v>
      </c>
      <c r="H813">
        <v>4</v>
      </c>
      <c r="I813">
        <v>2003</v>
      </c>
      <c r="J813" t="s">
        <v>15</v>
      </c>
      <c r="K813" t="s">
        <v>37</v>
      </c>
    </row>
    <row r="814" spans="1:11">
      <c r="A814" t="s">
        <v>38</v>
      </c>
      <c r="B814">
        <v>10201</v>
      </c>
      <c r="C814">
        <v>30</v>
      </c>
      <c r="D814" s="21">
        <v>64.81</v>
      </c>
      <c r="E814" s="22">
        <v>37956</v>
      </c>
      <c r="F814" t="s">
        <v>13</v>
      </c>
      <c r="G814" t="s">
        <v>14</v>
      </c>
      <c r="H814">
        <v>4</v>
      </c>
      <c r="I814">
        <v>2003</v>
      </c>
      <c r="J814" t="s">
        <v>15</v>
      </c>
      <c r="K814" t="s">
        <v>39</v>
      </c>
    </row>
    <row r="815" spans="1:11">
      <c r="A815" t="s">
        <v>114</v>
      </c>
      <c r="B815">
        <v>10210</v>
      </c>
      <c r="C815">
        <v>40</v>
      </c>
      <c r="D815" s="21">
        <v>49.67</v>
      </c>
      <c r="E815" s="22">
        <v>37998</v>
      </c>
      <c r="F815" t="s">
        <v>13</v>
      </c>
      <c r="G815" t="s">
        <v>14</v>
      </c>
      <c r="H815">
        <v>1</v>
      </c>
      <c r="I815">
        <v>2004</v>
      </c>
      <c r="J815" t="s">
        <v>15</v>
      </c>
      <c r="K815" t="s">
        <v>115</v>
      </c>
    </row>
    <row r="816" spans="1:11">
      <c r="A816" t="s">
        <v>42</v>
      </c>
      <c r="B816">
        <v>10223</v>
      </c>
      <c r="C816">
        <v>28</v>
      </c>
      <c r="D816" s="21">
        <v>60.57</v>
      </c>
      <c r="E816" s="22">
        <v>38037</v>
      </c>
      <c r="F816" t="s">
        <v>13</v>
      </c>
      <c r="G816" t="s">
        <v>14</v>
      </c>
      <c r="H816">
        <v>1</v>
      </c>
      <c r="I816">
        <v>2004</v>
      </c>
      <c r="J816" t="s">
        <v>15</v>
      </c>
      <c r="K816" t="s">
        <v>43</v>
      </c>
    </row>
    <row r="817" spans="1:11">
      <c r="A817" t="s">
        <v>116</v>
      </c>
      <c r="B817">
        <v>10236</v>
      </c>
      <c r="C817">
        <v>23</v>
      </c>
      <c r="D817" s="21">
        <v>55.72</v>
      </c>
      <c r="E817" s="22">
        <v>38080</v>
      </c>
      <c r="F817" t="s">
        <v>13</v>
      </c>
      <c r="G817" t="s">
        <v>14</v>
      </c>
      <c r="H817">
        <v>2</v>
      </c>
      <c r="I817">
        <v>2004</v>
      </c>
      <c r="J817" t="s">
        <v>15</v>
      </c>
      <c r="K817" t="s">
        <v>117</v>
      </c>
    </row>
    <row r="818" spans="1:11">
      <c r="A818" t="s">
        <v>46</v>
      </c>
      <c r="B818">
        <v>10251</v>
      </c>
      <c r="C818">
        <v>29</v>
      </c>
      <c r="D818" s="21">
        <v>61.18</v>
      </c>
      <c r="E818" s="22">
        <v>38125</v>
      </c>
      <c r="F818" t="s">
        <v>13</v>
      </c>
      <c r="G818" t="s">
        <v>14</v>
      </c>
      <c r="H818">
        <v>2</v>
      </c>
      <c r="I818">
        <v>2004</v>
      </c>
      <c r="J818" t="s">
        <v>15</v>
      </c>
      <c r="K818" t="s">
        <v>47</v>
      </c>
    </row>
    <row r="819" spans="1:11">
      <c r="A819" t="s">
        <v>48</v>
      </c>
      <c r="B819">
        <v>10263</v>
      </c>
      <c r="C819">
        <v>34</v>
      </c>
      <c r="D819" s="21">
        <v>58.75</v>
      </c>
      <c r="E819" s="22">
        <v>38166</v>
      </c>
      <c r="F819" t="s">
        <v>13</v>
      </c>
      <c r="G819" t="s">
        <v>14</v>
      </c>
      <c r="H819">
        <v>2</v>
      </c>
      <c r="I819">
        <v>2004</v>
      </c>
      <c r="J819" t="s">
        <v>15</v>
      </c>
      <c r="K819" t="s">
        <v>49</v>
      </c>
    </row>
    <row r="820" spans="1:11">
      <c r="A820" t="s">
        <v>50</v>
      </c>
      <c r="B820">
        <v>10275</v>
      </c>
      <c r="C820">
        <v>37</v>
      </c>
      <c r="D820" s="21">
        <v>63.6</v>
      </c>
      <c r="E820" s="22">
        <v>38191</v>
      </c>
      <c r="F820" t="s">
        <v>13</v>
      </c>
      <c r="G820" t="s">
        <v>14</v>
      </c>
      <c r="H820">
        <v>3</v>
      </c>
      <c r="I820">
        <v>2004</v>
      </c>
      <c r="J820" t="s">
        <v>15</v>
      </c>
      <c r="K820" t="s">
        <v>51</v>
      </c>
    </row>
    <row r="821" spans="1:11">
      <c r="A821" t="s">
        <v>52</v>
      </c>
      <c r="B821">
        <v>10285</v>
      </c>
      <c r="C821">
        <v>20</v>
      </c>
      <c r="D821" s="21">
        <v>49.06</v>
      </c>
      <c r="E821" s="22">
        <v>38226</v>
      </c>
      <c r="F821" t="s">
        <v>13</v>
      </c>
      <c r="G821" t="s">
        <v>14</v>
      </c>
      <c r="H821">
        <v>3</v>
      </c>
      <c r="I821">
        <v>2004</v>
      </c>
      <c r="J821" t="s">
        <v>15</v>
      </c>
      <c r="K821" t="s">
        <v>53</v>
      </c>
    </row>
    <row r="822" spans="1:11">
      <c r="A822" t="s">
        <v>118</v>
      </c>
      <c r="B822">
        <v>10298</v>
      </c>
      <c r="C822">
        <v>32</v>
      </c>
      <c r="D822" s="21">
        <v>48.46</v>
      </c>
      <c r="E822" s="22">
        <v>38257</v>
      </c>
      <c r="F822" t="s">
        <v>13</v>
      </c>
      <c r="G822" t="s">
        <v>14</v>
      </c>
      <c r="H822">
        <v>3</v>
      </c>
      <c r="I822">
        <v>2004</v>
      </c>
      <c r="J822" t="s">
        <v>15</v>
      </c>
      <c r="K822" t="s">
        <v>119</v>
      </c>
    </row>
    <row r="823" spans="1:11">
      <c r="A823" t="s">
        <v>120</v>
      </c>
      <c r="B823">
        <v>10308</v>
      </c>
      <c r="C823">
        <v>34</v>
      </c>
      <c r="D823" s="21">
        <v>52.09</v>
      </c>
      <c r="E823" s="22">
        <v>38275</v>
      </c>
      <c r="F823" t="s">
        <v>13</v>
      </c>
      <c r="G823" t="s">
        <v>14</v>
      </c>
      <c r="H823">
        <v>4</v>
      </c>
      <c r="I823">
        <v>2004</v>
      </c>
      <c r="J823" t="s">
        <v>15</v>
      </c>
      <c r="K823" t="s">
        <v>121</v>
      </c>
    </row>
    <row r="824" spans="1:11">
      <c r="A824" t="s">
        <v>58</v>
      </c>
      <c r="B824">
        <v>10318</v>
      </c>
      <c r="C824">
        <v>42</v>
      </c>
      <c r="D824" s="21">
        <v>52.7</v>
      </c>
      <c r="E824" s="22">
        <v>38293</v>
      </c>
      <c r="F824" t="s">
        <v>13</v>
      </c>
      <c r="G824" t="s">
        <v>14</v>
      </c>
      <c r="H824">
        <v>4</v>
      </c>
      <c r="I824">
        <v>2004</v>
      </c>
      <c r="J824" t="s">
        <v>15</v>
      </c>
      <c r="K824" t="s">
        <v>59</v>
      </c>
    </row>
    <row r="825" spans="1:11">
      <c r="A825" t="s">
        <v>12</v>
      </c>
      <c r="B825">
        <v>10329</v>
      </c>
      <c r="C825">
        <v>38</v>
      </c>
      <c r="D825" s="21">
        <v>100</v>
      </c>
      <c r="E825" s="22">
        <v>38306</v>
      </c>
      <c r="F825" t="s">
        <v>13</v>
      </c>
      <c r="G825" t="s">
        <v>14</v>
      </c>
      <c r="H825">
        <v>4</v>
      </c>
      <c r="I825">
        <v>2004</v>
      </c>
      <c r="J825" t="s">
        <v>22</v>
      </c>
      <c r="K825" t="s">
        <v>16</v>
      </c>
    </row>
    <row r="826" spans="1:11">
      <c r="A826" t="s">
        <v>95</v>
      </c>
      <c r="B826">
        <v>10339</v>
      </c>
      <c r="C826">
        <v>30</v>
      </c>
      <c r="D826" s="21">
        <v>62.16</v>
      </c>
      <c r="E826" s="22">
        <v>38314</v>
      </c>
      <c r="F826" t="s">
        <v>13</v>
      </c>
      <c r="G826" t="s">
        <v>14</v>
      </c>
      <c r="H826">
        <v>4</v>
      </c>
      <c r="I826">
        <v>2004</v>
      </c>
      <c r="J826" t="s">
        <v>15</v>
      </c>
      <c r="K826" t="s">
        <v>96</v>
      </c>
    </row>
    <row r="827" spans="1:11">
      <c r="A827" t="s">
        <v>31</v>
      </c>
      <c r="B827">
        <v>10362</v>
      </c>
      <c r="C827">
        <v>23</v>
      </c>
      <c r="D827" s="21">
        <v>49.67</v>
      </c>
      <c r="E827" s="22">
        <v>38357</v>
      </c>
      <c r="F827" t="s">
        <v>13</v>
      </c>
      <c r="G827" t="s">
        <v>14</v>
      </c>
      <c r="H827">
        <v>1</v>
      </c>
      <c r="I827">
        <v>2005</v>
      </c>
      <c r="J827" t="s">
        <v>15</v>
      </c>
      <c r="K827" t="s">
        <v>32</v>
      </c>
    </row>
    <row r="828" spans="1:11">
      <c r="A828" t="s">
        <v>81</v>
      </c>
      <c r="B828">
        <v>10374</v>
      </c>
      <c r="C828">
        <v>22</v>
      </c>
      <c r="D828" s="21">
        <v>53.3</v>
      </c>
      <c r="E828" s="22">
        <v>38385</v>
      </c>
      <c r="F828" t="s">
        <v>13</v>
      </c>
      <c r="G828" t="s">
        <v>14</v>
      </c>
      <c r="H828">
        <v>1</v>
      </c>
      <c r="I828">
        <v>2005</v>
      </c>
      <c r="J828" t="s">
        <v>15</v>
      </c>
      <c r="K828" t="s">
        <v>82</v>
      </c>
    </row>
    <row r="829" spans="1:11">
      <c r="A829" t="s">
        <v>99</v>
      </c>
      <c r="B829">
        <v>10389</v>
      </c>
      <c r="C829">
        <v>39</v>
      </c>
      <c r="D829" s="21">
        <v>100</v>
      </c>
      <c r="E829" s="22">
        <v>38414</v>
      </c>
      <c r="F829" t="s">
        <v>13</v>
      </c>
      <c r="G829" t="s">
        <v>14</v>
      </c>
      <c r="H829">
        <v>1</v>
      </c>
      <c r="I829">
        <v>2005</v>
      </c>
      <c r="J829" t="s">
        <v>22</v>
      </c>
      <c r="K829" t="s">
        <v>100</v>
      </c>
    </row>
    <row r="830" spans="1:11">
      <c r="A830" t="s">
        <v>40</v>
      </c>
      <c r="B830">
        <v>10402</v>
      </c>
      <c r="C830">
        <v>55</v>
      </c>
      <c r="D830" s="21">
        <v>55.72</v>
      </c>
      <c r="E830" s="22">
        <v>38449</v>
      </c>
      <c r="F830" t="s">
        <v>13</v>
      </c>
      <c r="G830" t="s">
        <v>14</v>
      </c>
      <c r="H830">
        <v>2</v>
      </c>
      <c r="I830">
        <v>2005</v>
      </c>
      <c r="J830" t="s">
        <v>22</v>
      </c>
      <c r="K830" t="s">
        <v>41</v>
      </c>
    </row>
    <row r="831" spans="1:11">
      <c r="A831" t="s">
        <v>69</v>
      </c>
      <c r="B831">
        <v>10417</v>
      </c>
      <c r="C831">
        <v>36</v>
      </c>
      <c r="D831" s="21">
        <v>61.18</v>
      </c>
      <c r="E831" s="22">
        <v>38485</v>
      </c>
      <c r="F831" t="s">
        <v>70</v>
      </c>
      <c r="G831" t="s">
        <v>14</v>
      </c>
      <c r="H831">
        <v>2</v>
      </c>
      <c r="I831">
        <v>2005</v>
      </c>
      <c r="J831" t="s">
        <v>15</v>
      </c>
      <c r="K831" t="s">
        <v>71</v>
      </c>
    </row>
    <row r="832" spans="1:11">
      <c r="A832" t="s">
        <v>173</v>
      </c>
      <c r="B832">
        <v>10101</v>
      </c>
      <c r="C832">
        <v>26</v>
      </c>
      <c r="D832" s="21">
        <v>100</v>
      </c>
      <c r="E832" s="22">
        <v>37630</v>
      </c>
      <c r="F832" t="s">
        <v>13</v>
      </c>
      <c r="G832" t="s">
        <v>202</v>
      </c>
      <c r="H832">
        <v>1</v>
      </c>
      <c r="I832">
        <v>2003</v>
      </c>
      <c r="J832" t="s">
        <v>22</v>
      </c>
      <c r="K832" t="s">
        <v>174</v>
      </c>
    </row>
    <row r="833" spans="1:11">
      <c r="A833" t="s">
        <v>183</v>
      </c>
      <c r="B833">
        <v>10110</v>
      </c>
      <c r="C833">
        <v>31</v>
      </c>
      <c r="D833" s="21">
        <v>100</v>
      </c>
      <c r="E833" s="22">
        <v>37698</v>
      </c>
      <c r="F833" t="s">
        <v>13</v>
      </c>
      <c r="G833" t="s">
        <v>202</v>
      </c>
      <c r="H833">
        <v>1</v>
      </c>
      <c r="I833">
        <v>2003</v>
      </c>
      <c r="J833" t="s">
        <v>22</v>
      </c>
      <c r="K833" t="s">
        <v>184</v>
      </c>
    </row>
    <row r="834" spans="1:11">
      <c r="A834" t="s">
        <v>42</v>
      </c>
      <c r="B834">
        <v>10125</v>
      </c>
      <c r="C834">
        <v>34</v>
      </c>
      <c r="D834" s="21">
        <v>100</v>
      </c>
      <c r="E834" s="22">
        <v>37762</v>
      </c>
      <c r="F834" t="s">
        <v>13</v>
      </c>
      <c r="G834" t="s">
        <v>202</v>
      </c>
      <c r="H834">
        <v>2</v>
      </c>
      <c r="I834">
        <v>2003</v>
      </c>
      <c r="J834" t="s">
        <v>22</v>
      </c>
      <c r="K834" t="s">
        <v>43</v>
      </c>
    </row>
    <row r="835" spans="1:11">
      <c r="A835" t="s">
        <v>63</v>
      </c>
      <c r="B835">
        <v>10139</v>
      </c>
      <c r="C835">
        <v>41</v>
      </c>
      <c r="D835" s="21">
        <v>100</v>
      </c>
      <c r="E835" s="22">
        <v>37818</v>
      </c>
      <c r="F835" t="s">
        <v>13</v>
      </c>
      <c r="G835" t="s">
        <v>202</v>
      </c>
      <c r="H835">
        <v>3</v>
      </c>
      <c r="I835">
        <v>2003</v>
      </c>
      <c r="J835" t="s">
        <v>61</v>
      </c>
      <c r="K835" t="s">
        <v>64</v>
      </c>
    </row>
    <row r="836" spans="1:11">
      <c r="A836" t="s">
        <v>194</v>
      </c>
      <c r="B836">
        <v>10149</v>
      </c>
      <c r="C836">
        <v>23</v>
      </c>
      <c r="D836" s="21">
        <v>100</v>
      </c>
      <c r="E836" s="22">
        <v>37876</v>
      </c>
      <c r="F836" t="s">
        <v>13</v>
      </c>
      <c r="G836" t="s">
        <v>202</v>
      </c>
      <c r="H836">
        <v>3</v>
      </c>
      <c r="I836">
        <v>2003</v>
      </c>
      <c r="J836" t="s">
        <v>22</v>
      </c>
      <c r="K836" t="s">
        <v>195</v>
      </c>
    </row>
    <row r="837" spans="1:11">
      <c r="A837" t="s">
        <v>28</v>
      </c>
      <c r="B837">
        <v>10162</v>
      </c>
      <c r="C837">
        <v>48</v>
      </c>
      <c r="D837" s="21">
        <v>100</v>
      </c>
      <c r="E837" s="22">
        <v>37912</v>
      </c>
      <c r="F837" t="s">
        <v>13</v>
      </c>
      <c r="G837" t="s">
        <v>202</v>
      </c>
      <c r="H837">
        <v>4</v>
      </c>
      <c r="I837">
        <v>2003</v>
      </c>
      <c r="J837" t="s">
        <v>61</v>
      </c>
      <c r="K837" t="s">
        <v>29</v>
      </c>
    </row>
    <row r="838" spans="1:11">
      <c r="A838" t="s">
        <v>203</v>
      </c>
      <c r="B838">
        <v>10173</v>
      </c>
      <c r="C838">
        <v>22</v>
      </c>
      <c r="D838" s="21">
        <v>100</v>
      </c>
      <c r="E838" s="22">
        <v>37930</v>
      </c>
      <c r="F838" t="s">
        <v>13</v>
      </c>
      <c r="G838" t="s">
        <v>202</v>
      </c>
      <c r="H838">
        <v>4</v>
      </c>
      <c r="I838">
        <v>2003</v>
      </c>
      <c r="J838" t="s">
        <v>22</v>
      </c>
      <c r="K838" t="s">
        <v>204</v>
      </c>
    </row>
    <row r="839" spans="1:11">
      <c r="A839" t="s">
        <v>103</v>
      </c>
      <c r="B839">
        <v>10182</v>
      </c>
      <c r="C839">
        <v>21</v>
      </c>
      <c r="D839" s="21">
        <v>100</v>
      </c>
      <c r="E839" s="22">
        <v>37937</v>
      </c>
      <c r="F839" t="s">
        <v>13</v>
      </c>
      <c r="G839" t="s">
        <v>202</v>
      </c>
      <c r="H839">
        <v>4</v>
      </c>
      <c r="I839">
        <v>2003</v>
      </c>
      <c r="J839" t="s">
        <v>22</v>
      </c>
      <c r="K839" t="s">
        <v>104</v>
      </c>
    </row>
    <row r="840" spans="1:11">
      <c r="A840" t="s">
        <v>205</v>
      </c>
      <c r="B840">
        <v>10193</v>
      </c>
      <c r="C840">
        <v>22</v>
      </c>
      <c r="D840" s="21">
        <v>100</v>
      </c>
      <c r="E840" s="22">
        <v>37946</v>
      </c>
      <c r="F840" t="s">
        <v>13</v>
      </c>
      <c r="G840" t="s">
        <v>202</v>
      </c>
      <c r="H840">
        <v>4</v>
      </c>
      <c r="I840">
        <v>2003</v>
      </c>
      <c r="J840" t="s">
        <v>22</v>
      </c>
      <c r="K840" t="s">
        <v>206</v>
      </c>
    </row>
    <row r="841" spans="1:11">
      <c r="A841" t="s">
        <v>69</v>
      </c>
      <c r="B841">
        <v>10205</v>
      </c>
      <c r="C841">
        <v>40</v>
      </c>
      <c r="D841" s="21">
        <v>100</v>
      </c>
      <c r="E841" s="22">
        <v>37958</v>
      </c>
      <c r="F841" t="s">
        <v>13</v>
      </c>
      <c r="G841" t="s">
        <v>202</v>
      </c>
      <c r="H841">
        <v>4</v>
      </c>
      <c r="I841">
        <v>2003</v>
      </c>
      <c r="J841" t="s">
        <v>61</v>
      </c>
      <c r="K841" t="s">
        <v>71</v>
      </c>
    </row>
    <row r="842" spans="1:11">
      <c r="A842" t="s">
        <v>75</v>
      </c>
      <c r="B842">
        <v>10214</v>
      </c>
      <c r="C842">
        <v>50</v>
      </c>
      <c r="D842" s="21">
        <v>100</v>
      </c>
      <c r="E842" s="22">
        <v>38012</v>
      </c>
      <c r="F842" t="s">
        <v>13</v>
      </c>
      <c r="G842" t="s">
        <v>202</v>
      </c>
      <c r="H842">
        <v>1</v>
      </c>
      <c r="I842">
        <v>2004</v>
      </c>
      <c r="J842" t="s">
        <v>61</v>
      </c>
      <c r="K842" t="s">
        <v>76</v>
      </c>
    </row>
    <row r="843" spans="1:11">
      <c r="A843" t="s">
        <v>85</v>
      </c>
      <c r="B843">
        <v>10227</v>
      </c>
      <c r="C843">
        <v>29</v>
      </c>
      <c r="D843" s="21">
        <v>100</v>
      </c>
      <c r="E843" s="22">
        <v>38048</v>
      </c>
      <c r="F843" t="s">
        <v>13</v>
      </c>
      <c r="G843" t="s">
        <v>202</v>
      </c>
      <c r="H843">
        <v>1</v>
      </c>
      <c r="I843">
        <v>2004</v>
      </c>
      <c r="J843" t="s">
        <v>22</v>
      </c>
      <c r="K843" t="s">
        <v>86</v>
      </c>
    </row>
    <row r="844" spans="1:11">
      <c r="A844" t="s">
        <v>69</v>
      </c>
      <c r="B844">
        <v>10244</v>
      </c>
      <c r="C844">
        <v>43</v>
      </c>
      <c r="D844" s="21">
        <v>100</v>
      </c>
      <c r="E844" s="22">
        <v>38106</v>
      </c>
      <c r="F844" t="s">
        <v>13</v>
      </c>
      <c r="G844" t="s">
        <v>202</v>
      </c>
      <c r="H844">
        <v>2</v>
      </c>
      <c r="I844">
        <v>2004</v>
      </c>
      <c r="J844" t="s">
        <v>22</v>
      </c>
      <c r="K844" t="s">
        <v>71</v>
      </c>
    </row>
    <row r="845" spans="1:11">
      <c r="A845" t="s">
        <v>196</v>
      </c>
      <c r="B845">
        <v>10255</v>
      </c>
      <c r="C845">
        <v>24</v>
      </c>
      <c r="D845" s="21">
        <v>100</v>
      </c>
      <c r="E845" s="22">
        <v>38142</v>
      </c>
      <c r="F845" t="s">
        <v>13</v>
      </c>
      <c r="G845" t="s">
        <v>202</v>
      </c>
      <c r="H845">
        <v>2</v>
      </c>
      <c r="I845">
        <v>2004</v>
      </c>
      <c r="J845" t="s">
        <v>22</v>
      </c>
      <c r="K845" t="s">
        <v>197</v>
      </c>
    </row>
    <row r="846" spans="1:11">
      <c r="A846" t="s">
        <v>97</v>
      </c>
      <c r="B846">
        <v>10280</v>
      </c>
      <c r="C846">
        <v>22</v>
      </c>
      <c r="D846" s="21">
        <v>100</v>
      </c>
      <c r="E846" s="22">
        <v>38216</v>
      </c>
      <c r="F846" t="s">
        <v>13</v>
      </c>
      <c r="G846" t="s">
        <v>202</v>
      </c>
      <c r="H846">
        <v>3</v>
      </c>
      <c r="I846">
        <v>2004</v>
      </c>
      <c r="J846" t="s">
        <v>22</v>
      </c>
      <c r="K846" t="s">
        <v>98</v>
      </c>
    </row>
    <row r="847" spans="1:11">
      <c r="A847" t="s">
        <v>36</v>
      </c>
      <c r="B847">
        <v>10289</v>
      </c>
      <c r="C847">
        <v>43</v>
      </c>
      <c r="D847" s="21">
        <v>100</v>
      </c>
      <c r="E847" s="22">
        <v>38233</v>
      </c>
      <c r="F847" t="s">
        <v>13</v>
      </c>
      <c r="G847" t="s">
        <v>202</v>
      </c>
      <c r="H847">
        <v>3</v>
      </c>
      <c r="I847">
        <v>2004</v>
      </c>
      <c r="J847" t="s">
        <v>61</v>
      </c>
      <c r="K847" t="s">
        <v>37</v>
      </c>
    </row>
    <row r="848" spans="1:11">
      <c r="A848" t="s">
        <v>101</v>
      </c>
      <c r="B848">
        <v>10304</v>
      </c>
      <c r="C848">
        <v>20</v>
      </c>
      <c r="D848" s="21">
        <v>100</v>
      </c>
      <c r="E848" s="22">
        <v>38271</v>
      </c>
      <c r="F848" t="s">
        <v>13</v>
      </c>
      <c r="G848" t="s">
        <v>202</v>
      </c>
      <c r="H848">
        <v>4</v>
      </c>
      <c r="I848">
        <v>2004</v>
      </c>
      <c r="J848" t="s">
        <v>22</v>
      </c>
      <c r="K848" t="s">
        <v>102</v>
      </c>
    </row>
    <row r="849" spans="1:11">
      <c r="A849" t="s">
        <v>103</v>
      </c>
      <c r="B849">
        <v>10312</v>
      </c>
      <c r="C849">
        <v>25</v>
      </c>
      <c r="D849" s="21">
        <v>100</v>
      </c>
      <c r="E849" s="22">
        <v>38281</v>
      </c>
      <c r="F849" t="s">
        <v>13</v>
      </c>
      <c r="G849" t="s">
        <v>202</v>
      </c>
      <c r="H849">
        <v>4</v>
      </c>
      <c r="I849">
        <v>2004</v>
      </c>
      <c r="J849" t="s">
        <v>22</v>
      </c>
      <c r="K849" t="s">
        <v>104</v>
      </c>
    </row>
    <row r="850" spans="1:11">
      <c r="A850" t="s">
        <v>105</v>
      </c>
      <c r="B850">
        <v>10322</v>
      </c>
      <c r="C850">
        <v>36</v>
      </c>
      <c r="D850" s="21">
        <v>100</v>
      </c>
      <c r="E850" s="22">
        <v>38295</v>
      </c>
      <c r="F850" t="s">
        <v>13</v>
      </c>
      <c r="G850" t="s">
        <v>202</v>
      </c>
      <c r="H850">
        <v>4</v>
      </c>
      <c r="I850">
        <v>2004</v>
      </c>
      <c r="J850" t="s">
        <v>22</v>
      </c>
      <c r="K850" t="s">
        <v>106</v>
      </c>
    </row>
    <row r="851" spans="1:11">
      <c r="A851" t="s">
        <v>183</v>
      </c>
      <c r="B851">
        <v>10332</v>
      </c>
      <c r="C851">
        <v>24</v>
      </c>
      <c r="D851" s="21">
        <v>52.67</v>
      </c>
      <c r="E851" s="22">
        <v>38308</v>
      </c>
      <c r="F851" t="s">
        <v>13</v>
      </c>
      <c r="G851" t="s">
        <v>202</v>
      </c>
      <c r="H851">
        <v>4</v>
      </c>
      <c r="I851">
        <v>2004</v>
      </c>
      <c r="J851" t="s">
        <v>15</v>
      </c>
      <c r="K851" t="s">
        <v>184</v>
      </c>
    </row>
    <row r="852" spans="1:11">
      <c r="A852" t="s">
        <v>42</v>
      </c>
      <c r="B852">
        <v>10347</v>
      </c>
      <c r="C852">
        <v>21</v>
      </c>
      <c r="D852" s="21">
        <v>100</v>
      </c>
      <c r="E852" s="22">
        <v>38320</v>
      </c>
      <c r="F852" t="s">
        <v>13</v>
      </c>
      <c r="G852" t="s">
        <v>202</v>
      </c>
      <c r="H852">
        <v>4</v>
      </c>
      <c r="I852">
        <v>2004</v>
      </c>
      <c r="J852" t="s">
        <v>22</v>
      </c>
      <c r="K852" t="s">
        <v>43</v>
      </c>
    </row>
    <row r="853" spans="1:11">
      <c r="A853" t="s">
        <v>21</v>
      </c>
      <c r="B853">
        <v>10356</v>
      </c>
      <c r="C853">
        <v>30</v>
      </c>
      <c r="D853" s="21">
        <v>100</v>
      </c>
      <c r="E853" s="22">
        <v>38330</v>
      </c>
      <c r="F853" t="s">
        <v>13</v>
      </c>
      <c r="G853" t="s">
        <v>202</v>
      </c>
      <c r="H853">
        <v>4</v>
      </c>
      <c r="I853">
        <v>2004</v>
      </c>
      <c r="J853" t="s">
        <v>22</v>
      </c>
      <c r="K853" t="s">
        <v>23</v>
      </c>
    </row>
    <row r="854" spans="1:11">
      <c r="A854" t="s">
        <v>25</v>
      </c>
      <c r="B854">
        <v>10367</v>
      </c>
      <c r="C854">
        <v>32</v>
      </c>
      <c r="D854" s="21">
        <v>94.79</v>
      </c>
      <c r="E854" s="22">
        <v>38364</v>
      </c>
      <c r="F854" t="s">
        <v>155</v>
      </c>
      <c r="G854" t="s">
        <v>202</v>
      </c>
      <c r="H854">
        <v>1</v>
      </c>
      <c r="I854">
        <v>2005</v>
      </c>
      <c r="J854" t="s">
        <v>22</v>
      </c>
      <c r="K854" t="s">
        <v>26</v>
      </c>
    </row>
    <row r="855" spans="1:11">
      <c r="A855" t="s">
        <v>69</v>
      </c>
      <c r="B855">
        <v>10380</v>
      </c>
      <c r="C855">
        <v>21</v>
      </c>
      <c r="D855" s="21">
        <v>47.18</v>
      </c>
      <c r="E855" s="22">
        <v>38399</v>
      </c>
      <c r="F855" t="s">
        <v>13</v>
      </c>
      <c r="G855" t="s">
        <v>202</v>
      </c>
      <c r="H855">
        <v>1</v>
      </c>
      <c r="I855">
        <v>2005</v>
      </c>
      <c r="J855" t="s">
        <v>15</v>
      </c>
      <c r="K855" t="s">
        <v>71</v>
      </c>
    </row>
    <row r="856" spans="1:11">
      <c r="A856" t="s">
        <v>103</v>
      </c>
      <c r="B856">
        <v>10390</v>
      </c>
      <c r="C856">
        <v>26</v>
      </c>
      <c r="D856" s="21">
        <v>78.11</v>
      </c>
      <c r="E856" s="22">
        <v>38415</v>
      </c>
      <c r="F856" t="s">
        <v>13</v>
      </c>
      <c r="G856" t="s">
        <v>202</v>
      </c>
      <c r="H856">
        <v>1</v>
      </c>
      <c r="I856">
        <v>2005</v>
      </c>
      <c r="J856" t="s">
        <v>15</v>
      </c>
      <c r="K856" t="s">
        <v>104</v>
      </c>
    </row>
    <row r="857" spans="1:11">
      <c r="A857" t="s">
        <v>103</v>
      </c>
      <c r="B857">
        <v>10421</v>
      </c>
      <c r="C857">
        <v>35</v>
      </c>
      <c r="D857" s="21">
        <v>100</v>
      </c>
      <c r="E857" s="22">
        <v>38501</v>
      </c>
      <c r="F857" t="s">
        <v>113</v>
      </c>
      <c r="G857" t="s">
        <v>202</v>
      </c>
      <c r="H857">
        <v>2</v>
      </c>
      <c r="I857">
        <v>2005</v>
      </c>
      <c r="J857" t="s">
        <v>22</v>
      </c>
      <c r="K857" t="s">
        <v>104</v>
      </c>
    </row>
    <row r="858" spans="1:11">
      <c r="A858" t="s">
        <v>116</v>
      </c>
      <c r="B858">
        <v>10109</v>
      </c>
      <c r="C858">
        <v>26</v>
      </c>
      <c r="D858" s="21">
        <v>100</v>
      </c>
      <c r="E858" s="22">
        <v>37690</v>
      </c>
      <c r="F858" t="s">
        <v>13</v>
      </c>
      <c r="G858" t="s">
        <v>72</v>
      </c>
      <c r="H858">
        <v>1</v>
      </c>
      <c r="I858">
        <v>2003</v>
      </c>
      <c r="J858" t="s">
        <v>22</v>
      </c>
      <c r="K858" t="s">
        <v>117</v>
      </c>
    </row>
    <row r="859" spans="1:11">
      <c r="A859" t="s">
        <v>118</v>
      </c>
      <c r="B859">
        <v>10123</v>
      </c>
      <c r="C859">
        <v>46</v>
      </c>
      <c r="D859" s="21">
        <v>100</v>
      </c>
      <c r="E859" s="22">
        <v>37761</v>
      </c>
      <c r="F859" t="s">
        <v>13</v>
      </c>
      <c r="G859" t="s">
        <v>72</v>
      </c>
      <c r="H859">
        <v>2</v>
      </c>
      <c r="I859">
        <v>2003</v>
      </c>
      <c r="J859" t="s">
        <v>22</v>
      </c>
      <c r="K859" t="s">
        <v>119</v>
      </c>
    </row>
    <row r="860" spans="1:11">
      <c r="A860" t="s">
        <v>18</v>
      </c>
      <c r="B860">
        <v>10137</v>
      </c>
      <c r="C860">
        <v>37</v>
      </c>
      <c r="D860" s="21">
        <v>100</v>
      </c>
      <c r="E860" s="22">
        <v>37812</v>
      </c>
      <c r="F860" t="s">
        <v>13</v>
      </c>
      <c r="G860" t="s">
        <v>72</v>
      </c>
      <c r="H860">
        <v>3</v>
      </c>
      <c r="I860">
        <v>2003</v>
      </c>
      <c r="J860" t="s">
        <v>22</v>
      </c>
      <c r="K860" t="s">
        <v>19</v>
      </c>
    </row>
    <row r="861" spans="1:11">
      <c r="A861" t="s">
        <v>109</v>
      </c>
      <c r="B861">
        <v>10148</v>
      </c>
      <c r="C861">
        <v>27</v>
      </c>
      <c r="D861" s="21">
        <v>100</v>
      </c>
      <c r="E861" s="22">
        <v>37875</v>
      </c>
      <c r="F861" t="s">
        <v>13</v>
      </c>
      <c r="G861" t="s">
        <v>72</v>
      </c>
      <c r="H861">
        <v>3</v>
      </c>
      <c r="I861">
        <v>2003</v>
      </c>
      <c r="J861" t="s">
        <v>22</v>
      </c>
      <c r="K861" t="s">
        <v>110</v>
      </c>
    </row>
    <row r="862" spans="1:11">
      <c r="A862" t="s">
        <v>185</v>
      </c>
      <c r="B862">
        <v>10161</v>
      </c>
      <c r="C862">
        <v>23</v>
      </c>
      <c r="D862" s="21">
        <v>100</v>
      </c>
      <c r="E862" s="22">
        <v>37911</v>
      </c>
      <c r="F862" t="s">
        <v>13</v>
      </c>
      <c r="G862" t="s">
        <v>72</v>
      </c>
      <c r="H862">
        <v>4</v>
      </c>
      <c r="I862">
        <v>2003</v>
      </c>
      <c r="J862" t="s">
        <v>22</v>
      </c>
      <c r="K862" t="s">
        <v>186</v>
      </c>
    </row>
    <row r="863" spans="1:11">
      <c r="A863" t="s">
        <v>48</v>
      </c>
      <c r="B863">
        <v>10172</v>
      </c>
      <c r="C863">
        <v>39</v>
      </c>
      <c r="D863" s="21">
        <v>100</v>
      </c>
      <c r="E863" s="22">
        <v>37930</v>
      </c>
      <c r="F863" t="s">
        <v>13</v>
      </c>
      <c r="G863" t="s">
        <v>72</v>
      </c>
      <c r="H863">
        <v>4</v>
      </c>
      <c r="I863">
        <v>2003</v>
      </c>
      <c r="J863" t="s">
        <v>22</v>
      </c>
      <c r="K863" t="s">
        <v>49</v>
      </c>
    </row>
    <row r="864" spans="1:11">
      <c r="A864" t="s">
        <v>36</v>
      </c>
      <c r="B864">
        <v>10181</v>
      </c>
      <c r="C864">
        <v>27</v>
      </c>
      <c r="D864" s="21">
        <v>100</v>
      </c>
      <c r="E864" s="22">
        <v>37937</v>
      </c>
      <c r="F864" t="s">
        <v>13</v>
      </c>
      <c r="G864" t="s">
        <v>72</v>
      </c>
      <c r="H864">
        <v>4</v>
      </c>
      <c r="I864">
        <v>2003</v>
      </c>
      <c r="J864" t="s">
        <v>22</v>
      </c>
      <c r="K864" t="s">
        <v>37</v>
      </c>
    </row>
    <row r="865" spans="1:11">
      <c r="A865" t="s">
        <v>105</v>
      </c>
      <c r="B865">
        <v>10192</v>
      </c>
      <c r="C865">
        <v>38</v>
      </c>
      <c r="D865" s="21">
        <v>100</v>
      </c>
      <c r="E865" s="22">
        <v>37945</v>
      </c>
      <c r="F865" t="s">
        <v>13</v>
      </c>
      <c r="G865" t="s">
        <v>72</v>
      </c>
      <c r="H865">
        <v>4</v>
      </c>
      <c r="I865">
        <v>2003</v>
      </c>
      <c r="J865" t="s">
        <v>22</v>
      </c>
      <c r="K865" t="s">
        <v>106</v>
      </c>
    </row>
    <row r="866" spans="1:11">
      <c r="A866" t="s">
        <v>177</v>
      </c>
      <c r="B866">
        <v>10204</v>
      </c>
      <c r="C866">
        <v>27</v>
      </c>
      <c r="D866" s="21">
        <v>100</v>
      </c>
      <c r="E866" s="22">
        <v>37957</v>
      </c>
      <c r="F866" t="s">
        <v>13</v>
      </c>
      <c r="G866" t="s">
        <v>72</v>
      </c>
      <c r="H866">
        <v>4</v>
      </c>
      <c r="I866">
        <v>2003</v>
      </c>
      <c r="J866" t="s">
        <v>22</v>
      </c>
      <c r="K866" t="s">
        <v>178</v>
      </c>
    </row>
    <row r="867" spans="1:11">
      <c r="A867" t="s">
        <v>69</v>
      </c>
      <c r="B867">
        <v>10212</v>
      </c>
      <c r="C867">
        <v>40</v>
      </c>
      <c r="D867" s="21">
        <v>100</v>
      </c>
      <c r="E867" s="22">
        <v>38002</v>
      </c>
      <c r="F867" t="s">
        <v>13</v>
      </c>
      <c r="G867" t="s">
        <v>72</v>
      </c>
      <c r="H867">
        <v>1</v>
      </c>
      <c r="I867">
        <v>2004</v>
      </c>
      <c r="J867" t="s">
        <v>22</v>
      </c>
      <c r="K867" t="s">
        <v>71</v>
      </c>
    </row>
    <row r="868" spans="1:11">
      <c r="A868" t="s">
        <v>137</v>
      </c>
      <c r="B868">
        <v>10226</v>
      </c>
      <c r="C868">
        <v>24</v>
      </c>
      <c r="D868" s="21">
        <v>100</v>
      </c>
      <c r="E868" s="22">
        <v>38043</v>
      </c>
      <c r="F868" t="s">
        <v>13</v>
      </c>
      <c r="G868" t="s">
        <v>72</v>
      </c>
      <c r="H868">
        <v>1</v>
      </c>
      <c r="I868">
        <v>2004</v>
      </c>
      <c r="J868" t="s">
        <v>22</v>
      </c>
      <c r="K868" t="s">
        <v>138</v>
      </c>
    </row>
    <row r="869" spans="1:11">
      <c r="A869" t="s">
        <v>196</v>
      </c>
      <c r="B869">
        <v>10241</v>
      </c>
      <c r="C869">
        <v>44</v>
      </c>
      <c r="D869" s="21">
        <v>100</v>
      </c>
      <c r="E869" s="22">
        <v>38090</v>
      </c>
      <c r="F869" t="s">
        <v>13</v>
      </c>
      <c r="G869" t="s">
        <v>72</v>
      </c>
      <c r="H869">
        <v>2</v>
      </c>
      <c r="I869">
        <v>2004</v>
      </c>
      <c r="J869" t="s">
        <v>22</v>
      </c>
      <c r="K869" t="s">
        <v>197</v>
      </c>
    </row>
    <row r="870" spans="1:11">
      <c r="A870" t="s">
        <v>67</v>
      </c>
      <c r="B870">
        <v>10253</v>
      </c>
      <c r="C870">
        <v>37</v>
      </c>
      <c r="D870" s="21">
        <v>100</v>
      </c>
      <c r="E870" s="22">
        <v>38139</v>
      </c>
      <c r="F870" t="s">
        <v>128</v>
      </c>
      <c r="G870" t="s">
        <v>72</v>
      </c>
      <c r="H870">
        <v>2</v>
      </c>
      <c r="I870">
        <v>2004</v>
      </c>
      <c r="J870" t="s">
        <v>22</v>
      </c>
      <c r="K870" t="s">
        <v>68</v>
      </c>
    </row>
    <row r="871" spans="1:11">
      <c r="A871" t="s">
        <v>169</v>
      </c>
      <c r="B871">
        <v>10266</v>
      </c>
      <c r="C871">
        <v>20</v>
      </c>
      <c r="D871" s="21">
        <v>100</v>
      </c>
      <c r="E871" s="22">
        <v>38174</v>
      </c>
      <c r="F871" t="s">
        <v>13</v>
      </c>
      <c r="G871" t="s">
        <v>72</v>
      </c>
      <c r="H871">
        <v>3</v>
      </c>
      <c r="I871">
        <v>2004</v>
      </c>
      <c r="J871" t="s">
        <v>15</v>
      </c>
      <c r="K871" t="s">
        <v>170</v>
      </c>
    </row>
    <row r="872" spans="1:11">
      <c r="A872" t="s">
        <v>198</v>
      </c>
      <c r="B872">
        <v>10278</v>
      </c>
      <c r="C872">
        <v>39</v>
      </c>
      <c r="D872" s="21">
        <v>100</v>
      </c>
      <c r="E872" s="22">
        <v>38205</v>
      </c>
      <c r="F872" t="s">
        <v>13</v>
      </c>
      <c r="G872" t="s">
        <v>72</v>
      </c>
      <c r="H872">
        <v>3</v>
      </c>
      <c r="I872">
        <v>2004</v>
      </c>
      <c r="J872" t="s">
        <v>22</v>
      </c>
      <c r="K872" t="s">
        <v>199</v>
      </c>
    </row>
    <row r="873" spans="1:11">
      <c r="A873" t="s">
        <v>167</v>
      </c>
      <c r="B873">
        <v>10287</v>
      </c>
      <c r="C873">
        <v>44</v>
      </c>
      <c r="D873" s="21">
        <v>100</v>
      </c>
      <c r="E873" s="22">
        <v>38229</v>
      </c>
      <c r="F873" t="s">
        <v>13</v>
      </c>
      <c r="G873" t="s">
        <v>72</v>
      </c>
      <c r="H873">
        <v>3</v>
      </c>
      <c r="I873">
        <v>2004</v>
      </c>
      <c r="J873" t="s">
        <v>22</v>
      </c>
      <c r="K873" t="s">
        <v>168</v>
      </c>
    </row>
    <row r="874" spans="1:11">
      <c r="A874" t="s">
        <v>200</v>
      </c>
      <c r="B874">
        <v>10301</v>
      </c>
      <c r="C874">
        <v>22</v>
      </c>
      <c r="D874" s="21">
        <v>100</v>
      </c>
      <c r="E874" s="22">
        <v>37899</v>
      </c>
      <c r="F874" t="s">
        <v>13</v>
      </c>
      <c r="G874" t="s">
        <v>72</v>
      </c>
      <c r="H874">
        <v>4</v>
      </c>
      <c r="I874">
        <v>2003</v>
      </c>
      <c r="J874" t="s">
        <v>22</v>
      </c>
      <c r="K874" t="s">
        <v>201</v>
      </c>
    </row>
    <row r="875" spans="1:11">
      <c r="A875" t="s">
        <v>69</v>
      </c>
      <c r="B875">
        <v>10311</v>
      </c>
      <c r="C875">
        <v>43</v>
      </c>
      <c r="D875" s="21">
        <v>100</v>
      </c>
      <c r="E875" s="22">
        <v>38276</v>
      </c>
      <c r="F875" t="s">
        <v>13</v>
      </c>
      <c r="G875" t="s">
        <v>72</v>
      </c>
      <c r="H875">
        <v>4</v>
      </c>
      <c r="I875">
        <v>2004</v>
      </c>
      <c r="J875" t="s">
        <v>22</v>
      </c>
      <c r="K875" t="s">
        <v>71</v>
      </c>
    </row>
    <row r="876" spans="1:11">
      <c r="A876" t="s">
        <v>65</v>
      </c>
      <c r="B876">
        <v>10321</v>
      </c>
      <c r="C876">
        <v>27</v>
      </c>
      <c r="D876" s="21">
        <v>100</v>
      </c>
      <c r="E876" s="22">
        <v>38295</v>
      </c>
      <c r="F876" t="s">
        <v>13</v>
      </c>
      <c r="G876" t="s">
        <v>72</v>
      </c>
      <c r="H876">
        <v>4</v>
      </c>
      <c r="I876">
        <v>2004</v>
      </c>
      <c r="J876" t="s">
        <v>15</v>
      </c>
      <c r="K876" t="s">
        <v>66</v>
      </c>
    </row>
    <row r="877" spans="1:11">
      <c r="A877" t="s">
        <v>116</v>
      </c>
      <c r="B877">
        <v>10331</v>
      </c>
      <c r="C877">
        <v>26</v>
      </c>
      <c r="D877" s="21">
        <v>64.9</v>
      </c>
      <c r="E877" s="22">
        <v>38308</v>
      </c>
      <c r="F877" t="s">
        <v>13</v>
      </c>
      <c r="G877" t="s">
        <v>72</v>
      </c>
      <c r="H877">
        <v>4</v>
      </c>
      <c r="I877">
        <v>2004</v>
      </c>
      <c r="J877" t="s">
        <v>15</v>
      </c>
      <c r="K877" t="s">
        <v>117</v>
      </c>
    </row>
    <row r="878" spans="1:11">
      <c r="A878" t="s">
        <v>18</v>
      </c>
      <c r="B878">
        <v>10343</v>
      </c>
      <c r="C878">
        <v>25</v>
      </c>
      <c r="D878" s="21">
        <v>52.32</v>
      </c>
      <c r="E878" s="22">
        <v>38315</v>
      </c>
      <c r="F878" t="s">
        <v>13</v>
      </c>
      <c r="G878" t="s">
        <v>72</v>
      </c>
      <c r="H878">
        <v>4</v>
      </c>
      <c r="I878">
        <v>2004</v>
      </c>
      <c r="J878" t="s">
        <v>15</v>
      </c>
      <c r="K878" t="s">
        <v>19</v>
      </c>
    </row>
    <row r="879" spans="1:11">
      <c r="A879" t="s">
        <v>212</v>
      </c>
      <c r="B879">
        <v>10366</v>
      </c>
      <c r="C879">
        <v>49</v>
      </c>
      <c r="D879" s="21">
        <v>100</v>
      </c>
      <c r="E879" s="22">
        <v>38362</v>
      </c>
      <c r="F879" t="s">
        <v>13</v>
      </c>
      <c r="G879" t="s">
        <v>72</v>
      </c>
      <c r="H879">
        <v>1</v>
      </c>
      <c r="I879">
        <v>2005</v>
      </c>
      <c r="J879" t="s">
        <v>22</v>
      </c>
      <c r="K879" t="s">
        <v>213</v>
      </c>
    </row>
    <row r="880" spans="1:11">
      <c r="A880" t="s">
        <v>69</v>
      </c>
      <c r="B880">
        <v>10379</v>
      </c>
      <c r="C880">
        <v>29</v>
      </c>
      <c r="D880" s="21">
        <v>100</v>
      </c>
      <c r="E880" s="22">
        <v>38393</v>
      </c>
      <c r="F880" t="s">
        <v>13</v>
      </c>
      <c r="G880" t="s">
        <v>72</v>
      </c>
      <c r="H880">
        <v>1</v>
      </c>
      <c r="I880">
        <v>2005</v>
      </c>
      <c r="J880" t="s">
        <v>22</v>
      </c>
      <c r="K880" t="s">
        <v>71</v>
      </c>
    </row>
    <row r="881" spans="1:11">
      <c r="A881" t="s">
        <v>149</v>
      </c>
      <c r="B881">
        <v>10407</v>
      </c>
      <c r="C881">
        <v>41</v>
      </c>
      <c r="D881" s="21">
        <v>100</v>
      </c>
      <c r="E881" s="22">
        <v>38464</v>
      </c>
      <c r="F881" t="s">
        <v>151</v>
      </c>
      <c r="G881" t="s">
        <v>72</v>
      </c>
      <c r="H881">
        <v>2</v>
      </c>
      <c r="I881">
        <v>2005</v>
      </c>
      <c r="J881" t="s">
        <v>22</v>
      </c>
      <c r="K881" t="s">
        <v>150</v>
      </c>
    </row>
    <row r="882" spans="1:11">
      <c r="A882" t="s">
        <v>60</v>
      </c>
      <c r="B882">
        <v>10419</v>
      </c>
      <c r="C882">
        <v>55</v>
      </c>
      <c r="D882" s="21">
        <v>100</v>
      </c>
      <c r="E882" s="22">
        <v>38489</v>
      </c>
      <c r="F882" t="s">
        <v>13</v>
      </c>
      <c r="G882" t="s">
        <v>72</v>
      </c>
      <c r="H882">
        <v>2</v>
      </c>
      <c r="I882">
        <v>2005</v>
      </c>
      <c r="J882" t="s">
        <v>61</v>
      </c>
      <c r="K882" t="s">
        <v>62</v>
      </c>
    </row>
    <row r="883" spans="1:11">
      <c r="A883" t="s">
        <v>56</v>
      </c>
      <c r="B883">
        <v>10103</v>
      </c>
      <c r="C883">
        <v>27</v>
      </c>
      <c r="D883" s="21">
        <v>83.07</v>
      </c>
      <c r="E883" s="22">
        <v>37650</v>
      </c>
      <c r="F883" t="s">
        <v>13</v>
      </c>
      <c r="G883" t="s">
        <v>202</v>
      </c>
      <c r="H883">
        <v>1</v>
      </c>
      <c r="I883">
        <v>2003</v>
      </c>
      <c r="J883" t="s">
        <v>15</v>
      </c>
      <c r="K883" t="s">
        <v>57</v>
      </c>
    </row>
    <row r="884" spans="1:11">
      <c r="A884" t="s">
        <v>73</v>
      </c>
      <c r="B884">
        <v>10112</v>
      </c>
      <c r="C884">
        <v>23</v>
      </c>
      <c r="D884" s="21">
        <v>100</v>
      </c>
      <c r="E884" s="22">
        <v>37704</v>
      </c>
      <c r="F884" t="s">
        <v>13</v>
      </c>
      <c r="G884" t="s">
        <v>202</v>
      </c>
      <c r="H884">
        <v>1</v>
      </c>
      <c r="I884">
        <v>2003</v>
      </c>
      <c r="J884" t="s">
        <v>15</v>
      </c>
      <c r="K884" t="s">
        <v>74</v>
      </c>
    </row>
    <row r="885" spans="1:11">
      <c r="A885" t="s">
        <v>75</v>
      </c>
      <c r="B885">
        <v>10126</v>
      </c>
      <c r="C885">
        <v>31</v>
      </c>
      <c r="D885" s="21">
        <v>90.17</v>
      </c>
      <c r="E885" s="22">
        <v>37769</v>
      </c>
      <c r="F885" t="s">
        <v>13</v>
      </c>
      <c r="G885" t="s">
        <v>202</v>
      </c>
      <c r="H885">
        <v>2</v>
      </c>
      <c r="I885">
        <v>2003</v>
      </c>
      <c r="J885" t="s">
        <v>15</v>
      </c>
      <c r="K885" t="s">
        <v>76</v>
      </c>
    </row>
    <row r="886" spans="1:11">
      <c r="A886" t="s">
        <v>63</v>
      </c>
      <c r="B886">
        <v>10139</v>
      </c>
      <c r="C886">
        <v>46</v>
      </c>
      <c r="D886" s="21">
        <v>100</v>
      </c>
      <c r="E886" s="22">
        <v>37818</v>
      </c>
      <c r="F886" t="s">
        <v>13</v>
      </c>
      <c r="G886" t="s">
        <v>202</v>
      </c>
      <c r="H886">
        <v>3</v>
      </c>
      <c r="I886">
        <v>2003</v>
      </c>
      <c r="J886" t="s">
        <v>22</v>
      </c>
      <c r="K886" t="s">
        <v>64</v>
      </c>
    </row>
    <row r="887" spans="1:11">
      <c r="A887" t="s">
        <v>77</v>
      </c>
      <c r="B887">
        <v>10150</v>
      </c>
      <c r="C887">
        <v>47</v>
      </c>
      <c r="D887" s="21">
        <v>91.18</v>
      </c>
      <c r="E887" s="22">
        <v>37883</v>
      </c>
      <c r="F887" t="s">
        <v>13</v>
      </c>
      <c r="G887" t="s">
        <v>202</v>
      </c>
      <c r="H887">
        <v>3</v>
      </c>
      <c r="I887">
        <v>2003</v>
      </c>
      <c r="J887" t="s">
        <v>22</v>
      </c>
      <c r="K887" t="s">
        <v>78</v>
      </c>
    </row>
    <row r="888" spans="1:11">
      <c r="A888" t="s">
        <v>79</v>
      </c>
      <c r="B888">
        <v>10163</v>
      </c>
      <c r="C888">
        <v>31</v>
      </c>
      <c r="D888" s="21">
        <v>100</v>
      </c>
      <c r="E888" s="22">
        <v>37914</v>
      </c>
      <c r="F888" t="s">
        <v>13</v>
      </c>
      <c r="G888" t="s">
        <v>202</v>
      </c>
      <c r="H888">
        <v>4</v>
      </c>
      <c r="I888">
        <v>2003</v>
      </c>
      <c r="J888" t="s">
        <v>22</v>
      </c>
      <c r="K888" t="s">
        <v>80</v>
      </c>
    </row>
    <row r="889" spans="1:11">
      <c r="A889" t="s">
        <v>81</v>
      </c>
      <c r="B889">
        <v>10174</v>
      </c>
      <c r="C889">
        <v>46</v>
      </c>
      <c r="D889" s="21">
        <v>100</v>
      </c>
      <c r="E889" s="22">
        <v>37931</v>
      </c>
      <c r="F889" t="s">
        <v>13</v>
      </c>
      <c r="G889" t="s">
        <v>202</v>
      </c>
      <c r="H889">
        <v>4</v>
      </c>
      <c r="I889">
        <v>2003</v>
      </c>
      <c r="J889" t="s">
        <v>22</v>
      </c>
      <c r="K889" t="s">
        <v>82</v>
      </c>
    </row>
    <row r="890" spans="1:11">
      <c r="A890" t="s">
        <v>83</v>
      </c>
      <c r="B890">
        <v>10183</v>
      </c>
      <c r="C890">
        <v>37</v>
      </c>
      <c r="D890" s="21">
        <v>89.15</v>
      </c>
      <c r="E890" s="22">
        <v>37938</v>
      </c>
      <c r="F890" t="s">
        <v>13</v>
      </c>
      <c r="G890" t="s">
        <v>202</v>
      </c>
      <c r="H890">
        <v>4</v>
      </c>
      <c r="I890">
        <v>2003</v>
      </c>
      <c r="J890" t="s">
        <v>22</v>
      </c>
      <c r="K890" t="s">
        <v>84</v>
      </c>
    </row>
    <row r="891" spans="1:11">
      <c r="A891" t="s">
        <v>205</v>
      </c>
      <c r="B891">
        <v>10193</v>
      </c>
      <c r="C891">
        <v>28</v>
      </c>
      <c r="D891" s="21">
        <v>93.21</v>
      </c>
      <c r="E891" s="22">
        <v>37946</v>
      </c>
      <c r="F891" t="s">
        <v>13</v>
      </c>
      <c r="G891" t="s">
        <v>202</v>
      </c>
      <c r="H891">
        <v>4</v>
      </c>
      <c r="I891">
        <v>2003</v>
      </c>
      <c r="J891" t="s">
        <v>15</v>
      </c>
      <c r="K891" t="s">
        <v>206</v>
      </c>
    </row>
    <row r="892" spans="1:11">
      <c r="A892" t="s">
        <v>87</v>
      </c>
      <c r="B892">
        <v>10206</v>
      </c>
      <c r="C892">
        <v>37</v>
      </c>
      <c r="D892" s="21">
        <v>90.17</v>
      </c>
      <c r="E892" s="22">
        <v>37960</v>
      </c>
      <c r="F892" t="s">
        <v>13</v>
      </c>
      <c r="G892" t="s">
        <v>202</v>
      </c>
      <c r="H892">
        <v>4</v>
      </c>
      <c r="I892">
        <v>2003</v>
      </c>
      <c r="J892" t="s">
        <v>22</v>
      </c>
      <c r="K892" t="s">
        <v>88</v>
      </c>
    </row>
    <row r="893" spans="1:11">
      <c r="A893" t="s">
        <v>89</v>
      </c>
      <c r="B893">
        <v>10215</v>
      </c>
      <c r="C893">
        <v>49</v>
      </c>
      <c r="D893" s="21">
        <v>100</v>
      </c>
      <c r="E893" s="22">
        <v>38015</v>
      </c>
      <c r="F893" t="s">
        <v>13</v>
      </c>
      <c r="G893" t="s">
        <v>202</v>
      </c>
      <c r="H893">
        <v>1</v>
      </c>
      <c r="I893">
        <v>2004</v>
      </c>
      <c r="J893" t="s">
        <v>22</v>
      </c>
      <c r="K893" t="s">
        <v>90</v>
      </c>
    </row>
    <row r="894" spans="1:11">
      <c r="A894" t="s">
        <v>91</v>
      </c>
      <c r="B894">
        <v>10228</v>
      </c>
      <c r="C894">
        <v>24</v>
      </c>
      <c r="D894" s="21">
        <v>100</v>
      </c>
      <c r="E894" s="22">
        <v>38056</v>
      </c>
      <c r="F894" t="s">
        <v>13</v>
      </c>
      <c r="G894" t="s">
        <v>202</v>
      </c>
      <c r="H894">
        <v>1</v>
      </c>
      <c r="I894">
        <v>2004</v>
      </c>
      <c r="J894" t="s">
        <v>15</v>
      </c>
      <c r="K894" t="s">
        <v>92</v>
      </c>
    </row>
    <row r="895" spans="1:11">
      <c r="A895" t="s">
        <v>69</v>
      </c>
      <c r="B895">
        <v>10244</v>
      </c>
      <c r="C895">
        <v>30</v>
      </c>
      <c r="D895" s="21">
        <v>100</v>
      </c>
      <c r="E895" s="22">
        <v>38106</v>
      </c>
      <c r="F895" t="s">
        <v>13</v>
      </c>
      <c r="G895" t="s">
        <v>202</v>
      </c>
      <c r="H895">
        <v>2</v>
      </c>
      <c r="I895">
        <v>2004</v>
      </c>
      <c r="J895" t="s">
        <v>22</v>
      </c>
      <c r="K895" t="s">
        <v>71</v>
      </c>
    </row>
    <row r="896" spans="1:11">
      <c r="A896" t="s">
        <v>149</v>
      </c>
      <c r="B896">
        <v>10257</v>
      </c>
      <c r="C896">
        <v>50</v>
      </c>
      <c r="D896" s="21">
        <v>88.14</v>
      </c>
      <c r="E896" s="22">
        <v>38152</v>
      </c>
      <c r="F896" t="s">
        <v>13</v>
      </c>
      <c r="G896" t="s">
        <v>202</v>
      </c>
      <c r="H896">
        <v>2</v>
      </c>
      <c r="I896">
        <v>2004</v>
      </c>
      <c r="J896" t="s">
        <v>22</v>
      </c>
      <c r="K896" t="s">
        <v>150</v>
      </c>
    </row>
    <row r="897" spans="1:11">
      <c r="A897" t="s">
        <v>63</v>
      </c>
      <c r="B897">
        <v>10270</v>
      </c>
      <c r="C897">
        <v>31</v>
      </c>
      <c r="D897" s="21">
        <v>96.24</v>
      </c>
      <c r="E897" s="22">
        <v>38187</v>
      </c>
      <c r="F897" t="s">
        <v>13</v>
      </c>
      <c r="G897" t="s">
        <v>202</v>
      </c>
      <c r="H897">
        <v>3</v>
      </c>
      <c r="I897">
        <v>2004</v>
      </c>
      <c r="J897" t="s">
        <v>15</v>
      </c>
      <c r="K897" t="s">
        <v>64</v>
      </c>
    </row>
    <row r="898" spans="1:11">
      <c r="A898" t="s">
        <v>97</v>
      </c>
      <c r="B898">
        <v>10280</v>
      </c>
      <c r="C898">
        <v>46</v>
      </c>
      <c r="D898" s="21">
        <v>100</v>
      </c>
      <c r="E898" s="22">
        <v>38216</v>
      </c>
      <c r="F898" t="s">
        <v>13</v>
      </c>
      <c r="G898" t="s">
        <v>202</v>
      </c>
      <c r="H898">
        <v>3</v>
      </c>
      <c r="I898">
        <v>2004</v>
      </c>
      <c r="J898" t="s">
        <v>22</v>
      </c>
      <c r="K898" t="s">
        <v>98</v>
      </c>
    </row>
    <row r="899" spans="1:11">
      <c r="A899" t="s">
        <v>99</v>
      </c>
      <c r="B899">
        <v>10291</v>
      </c>
      <c r="C899">
        <v>47</v>
      </c>
      <c r="D899" s="21">
        <v>100</v>
      </c>
      <c r="E899" s="22">
        <v>38238</v>
      </c>
      <c r="F899" t="s">
        <v>13</v>
      </c>
      <c r="G899" t="s">
        <v>202</v>
      </c>
      <c r="H899">
        <v>3</v>
      </c>
      <c r="I899">
        <v>2004</v>
      </c>
      <c r="J899" t="s">
        <v>22</v>
      </c>
      <c r="K899" t="s">
        <v>100</v>
      </c>
    </row>
    <row r="900" spans="1:11">
      <c r="A900" t="s">
        <v>101</v>
      </c>
      <c r="B900">
        <v>10304</v>
      </c>
      <c r="C900">
        <v>46</v>
      </c>
      <c r="D900" s="21">
        <v>100</v>
      </c>
      <c r="E900" s="22">
        <v>38271</v>
      </c>
      <c r="F900" t="s">
        <v>13</v>
      </c>
      <c r="G900" t="s">
        <v>202</v>
      </c>
      <c r="H900">
        <v>4</v>
      </c>
      <c r="I900">
        <v>2004</v>
      </c>
      <c r="J900" t="s">
        <v>22</v>
      </c>
      <c r="K900" t="s">
        <v>102</v>
      </c>
    </row>
    <row r="901" spans="1:11">
      <c r="A901" t="s">
        <v>103</v>
      </c>
      <c r="B901">
        <v>10312</v>
      </c>
      <c r="C901">
        <v>37</v>
      </c>
      <c r="D901" s="21">
        <v>100</v>
      </c>
      <c r="E901" s="22">
        <v>38281</v>
      </c>
      <c r="F901" t="s">
        <v>13</v>
      </c>
      <c r="G901" t="s">
        <v>202</v>
      </c>
      <c r="H901">
        <v>4</v>
      </c>
      <c r="I901">
        <v>2004</v>
      </c>
      <c r="J901" t="s">
        <v>22</v>
      </c>
      <c r="K901" t="s">
        <v>104</v>
      </c>
    </row>
    <row r="902" spans="1:11">
      <c r="A902" t="s">
        <v>105</v>
      </c>
      <c r="B902">
        <v>10322</v>
      </c>
      <c r="C902">
        <v>33</v>
      </c>
      <c r="D902" s="21">
        <v>100</v>
      </c>
      <c r="E902" s="22">
        <v>38295</v>
      </c>
      <c r="F902" t="s">
        <v>13</v>
      </c>
      <c r="G902" t="s">
        <v>202</v>
      </c>
      <c r="H902">
        <v>4</v>
      </c>
      <c r="I902">
        <v>2004</v>
      </c>
      <c r="J902" t="s">
        <v>22</v>
      </c>
      <c r="K902" t="s">
        <v>106</v>
      </c>
    </row>
    <row r="903" spans="1:11">
      <c r="A903" t="s">
        <v>38</v>
      </c>
      <c r="B903">
        <v>10333</v>
      </c>
      <c r="C903">
        <v>31</v>
      </c>
      <c r="D903" s="21">
        <v>90.17</v>
      </c>
      <c r="E903" s="22">
        <v>38309</v>
      </c>
      <c r="F903" t="s">
        <v>13</v>
      </c>
      <c r="G903" t="s">
        <v>202</v>
      </c>
      <c r="H903">
        <v>4</v>
      </c>
      <c r="I903">
        <v>2004</v>
      </c>
      <c r="J903" t="s">
        <v>15</v>
      </c>
      <c r="K903" t="s">
        <v>39</v>
      </c>
    </row>
    <row r="904" spans="1:11">
      <c r="A904" t="s">
        <v>42</v>
      </c>
      <c r="B904">
        <v>10347</v>
      </c>
      <c r="C904">
        <v>48</v>
      </c>
      <c r="D904" s="21">
        <v>100</v>
      </c>
      <c r="E904" s="22">
        <v>38320</v>
      </c>
      <c r="F904" t="s">
        <v>13</v>
      </c>
      <c r="G904" t="s">
        <v>202</v>
      </c>
      <c r="H904">
        <v>4</v>
      </c>
      <c r="I904">
        <v>2004</v>
      </c>
      <c r="J904" t="s">
        <v>22</v>
      </c>
      <c r="K904" t="s">
        <v>43</v>
      </c>
    </row>
    <row r="905" spans="1:11">
      <c r="A905" t="s">
        <v>103</v>
      </c>
      <c r="B905">
        <v>10357</v>
      </c>
      <c r="C905">
        <v>41</v>
      </c>
      <c r="D905" s="21">
        <v>87.13</v>
      </c>
      <c r="E905" s="22">
        <v>38331</v>
      </c>
      <c r="F905" t="s">
        <v>13</v>
      </c>
      <c r="G905" t="s">
        <v>202</v>
      </c>
      <c r="H905">
        <v>4</v>
      </c>
      <c r="I905">
        <v>2004</v>
      </c>
      <c r="J905" t="s">
        <v>22</v>
      </c>
      <c r="K905" t="s">
        <v>104</v>
      </c>
    </row>
    <row r="906" spans="1:11">
      <c r="A906" t="s">
        <v>107</v>
      </c>
      <c r="B906">
        <v>10369</v>
      </c>
      <c r="C906">
        <v>42</v>
      </c>
      <c r="D906" s="21">
        <v>100</v>
      </c>
      <c r="E906" s="22">
        <v>38372</v>
      </c>
      <c r="F906" t="s">
        <v>13</v>
      </c>
      <c r="G906" t="s">
        <v>202</v>
      </c>
      <c r="H906">
        <v>1</v>
      </c>
      <c r="I906">
        <v>2005</v>
      </c>
      <c r="J906" t="s">
        <v>22</v>
      </c>
      <c r="K906" t="s">
        <v>108</v>
      </c>
    </row>
    <row r="907" spans="1:11">
      <c r="A907" t="s">
        <v>28</v>
      </c>
      <c r="B907">
        <v>10381</v>
      </c>
      <c r="C907">
        <v>41</v>
      </c>
      <c r="D907" s="21">
        <v>100</v>
      </c>
      <c r="E907" s="22">
        <v>38400</v>
      </c>
      <c r="F907" t="s">
        <v>13</v>
      </c>
      <c r="G907" t="s">
        <v>202</v>
      </c>
      <c r="H907">
        <v>1</v>
      </c>
      <c r="I907">
        <v>2005</v>
      </c>
      <c r="J907" t="s">
        <v>22</v>
      </c>
      <c r="K907" t="s">
        <v>29</v>
      </c>
    </row>
    <row r="908" spans="1:11">
      <c r="A908" t="s">
        <v>109</v>
      </c>
      <c r="B908">
        <v>10391</v>
      </c>
      <c r="C908">
        <v>32</v>
      </c>
      <c r="D908" s="21">
        <v>45.25</v>
      </c>
      <c r="E908" s="22">
        <v>38420</v>
      </c>
      <c r="F908" t="s">
        <v>13</v>
      </c>
      <c r="G908" t="s">
        <v>202</v>
      </c>
      <c r="H908">
        <v>1</v>
      </c>
      <c r="I908">
        <v>2005</v>
      </c>
      <c r="J908" t="s">
        <v>15</v>
      </c>
      <c r="K908" t="s">
        <v>110</v>
      </c>
    </row>
    <row r="909" spans="1:11">
      <c r="A909" t="s">
        <v>139</v>
      </c>
      <c r="B909">
        <v>10423</v>
      </c>
      <c r="C909">
        <v>10</v>
      </c>
      <c r="D909" s="21">
        <v>88.14</v>
      </c>
      <c r="E909" s="22">
        <v>38502</v>
      </c>
      <c r="F909" t="s">
        <v>113</v>
      </c>
      <c r="G909" t="s">
        <v>202</v>
      </c>
      <c r="H909">
        <v>2</v>
      </c>
      <c r="I909">
        <v>2005</v>
      </c>
      <c r="J909" t="s">
        <v>15</v>
      </c>
      <c r="K909" t="s">
        <v>140</v>
      </c>
    </row>
    <row r="910" spans="1:11">
      <c r="A910" t="s">
        <v>56</v>
      </c>
      <c r="B910">
        <v>10103</v>
      </c>
      <c r="C910">
        <v>35</v>
      </c>
      <c r="D910" s="21">
        <v>57.46</v>
      </c>
      <c r="E910" s="22">
        <v>37650</v>
      </c>
      <c r="F910" t="s">
        <v>13</v>
      </c>
      <c r="G910" t="s">
        <v>202</v>
      </c>
      <c r="H910">
        <v>1</v>
      </c>
      <c r="I910">
        <v>2003</v>
      </c>
      <c r="J910" t="s">
        <v>15</v>
      </c>
      <c r="K910" t="s">
        <v>57</v>
      </c>
    </row>
    <row r="911" spans="1:11">
      <c r="A911" t="s">
        <v>38</v>
      </c>
      <c r="B911">
        <v>10111</v>
      </c>
      <c r="C911">
        <v>28</v>
      </c>
      <c r="D911" s="21">
        <v>64.33</v>
      </c>
      <c r="E911" s="22">
        <v>37705</v>
      </c>
      <c r="F911" t="s">
        <v>13</v>
      </c>
      <c r="G911" t="s">
        <v>202</v>
      </c>
      <c r="H911">
        <v>1</v>
      </c>
      <c r="I911">
        <v>2003</v>
      </c>
      <c r="J911" t="s">
        <v>15</v>
      </c>
      <c r="K911" t="s">
        <v>39</v>
      </c>
    </row>
    <row r="912" spans="1:11">
      <c r="A912" t="s">
        <v>75</v>
      </c>
      <c r="B912">
        <v>10126</v>
      </c>
      <c r="C912">
        <v>46</v>
      </c>
      <c r="D912" s="21">
        <v>73.7</v>
      </c>
      <c r="E912" s="22">
        <v>37769</v>
      </c>
      <c r="F912" t="s">
        <v>13</v>
      </c>
      <c r="G912" t="s">
        <v>202</v>
      </c>
      <c r="H912">
        <v>2</v>
      </c>
      <c r="I912">
        <v>2003</v>
      </c>
      <c r="J912" t="s">
        <v>22</v>
      </c>
      <c r="K912" t="s">
        <v>76</v>
      </c>
    </row>
    <row r="913" spans="1:11">
      <c r="A913" t="s">
        <v>63</v>
      </c>
      <c r="B913">
        <v>10139</v>
      </c>
      <c r="C913">
        <v>20</v>
      </c>
      <c r="D913" s="21">
        <v>71.2</v>
      </c>
      <c r="E913" s="22">
        <v>37818</v>
      </c>
      <c r="F913" t="s">
        <v>13</v>
      </c>
      <c r="G913" t="s">
        <v>202</v>
      </c>
      <c r="H913">
        <v>3</v>
      </c>
      <c r="I913">
        <v>2003</v>
      </c>
      <c r="J913" t="s">
        <v>15</v>
      </c>
      <c r="K913" t="s">
        <v>64</v>
      </c>
    </row>
    <row r="914" spans="1:11">
      <c r="A914" t="s">
        <v>77</v>
      </c>
      <c r="B914">
        <v>10150</v>
      </c>
      <c r="C914">
        <v>30</v>
      </c>
      <c r="D914" s="21">
        <v>49.97</v>
      </c>
      <c r="E914" s="22">
        <v>37883</v>
      </c>
      <c r="F914" t="s">
        <v>13</v>
      </c>
      <c r="G914" t="s">
        <v>202</v>
      </c>
      <c r="H914">
        <v>3</v>
      </c>
      <c r="I914">
        <v>2003</v>
      </c>
      <c r="J914" t="s">
        <v>15</v>
      </c>
      <c r="K914" t="s">
        <v>78</v>
      </c>
    </row>
    <row r="915" spans="1:11">
      <c r="A915" t="s">
        <v>79</v>
      </c>
      <c r="B915">
        <v>10163</v>
      </c>
      <c r="C915">
        <v>48</v>
      </c>
      <c r="D915" s="21">
        <v>69.96</v>
      </c>
      <c r="E915" s="22">
        <v>37914</v>
      </c>
      <c r="F915" t="s">
        <v>13</v>
      </c>
      <c r="G915" t="s">
        <v>202</v>
      </c>
      <c r="H915">
        <v>4</v>
      </c>
      <c r="I915">
        <v>2003</v>
      </c>
      <c r="J915" t="s">
        <v>22</v>
      </c>
      <c r="K915" t="s">
        <v>80</v>
      </c>
    </row>
    <row r="916" spans="1:11">
      <c r="A916" t="s">
        <v>203</v>
      </c>
      <c r="B916">
        <v>10173</v>
      </c>
      <c r="C916">
        <v>28</v>
      </c>
      <c r="D916" s="21">
        <v>53.72</v>
      </c>
      <c r="E916" s="22">
        <v>37930</v>
      </c>
      <c r="F916" t="s">
        <v>13</v>
      </c>
      <c r="G916" t="s">
        <v>202</v>
      </c>
      <c r="H916">
        <v>4</v>
      </c>
      <c r="I916">
        <v>2003</v>
      </c>
      <c r="J916" t="s">
        <v>15</v>
      </c>
      <c r="K916" t="s">
        <v>204</v>
      </c>
    </row>
    <row r="917" spans="1:11">
      <c r="A917" t="s">
        <v>83</v>
      </c>
      <c r="B917">
        <v>10183</v>
      </c>
      <c r="C917">
        <v>39</v>
      </c>
      <c r="D917" s="21">
        <v>68.08</v>
      </c>
      <c r="E917" s="22">
        <v>37938</v>
      </c>
      <c r="F917" t="s">
        <v>13</v>
      </c>
      <c r="G917" t="s">
        <v>202</v>
      </c>
      <c r="H917">
        <v>4</v>
      </c>
      <c r="I917">
        <v>2003</v>
      </c>
      <c r="J917" t="s">
        <v>15</v>
      </c>
      <c r="K917" t="s">
        <v>84</v>
      </c>
    </row>
    <row r="918" spans="1:11">
      <c r="A918" t="s">
        <v>205</v>
      </c>
      <c r="B918">
        <v>10193</v>
      </c>
      <c r="C918">
        <v>24</v>
      </c>
      <c r="D918" s="21">
        <v>51.84</v>
      </c>
      <c r="E918" s="22">
        <v>37946</v>
      </c>
      <c r="F918" t="s">
        <v>13</v>
      </c>
      <c r="G918" t="s">
        <v>202</v>
      </c>
      <c r="H918">
        <v>4</v>
      </c>
      <c r="I918">
        <v>2003</v>
      </c>
      <c r="J918" t="s">
        <v>15</v>
      </c>
      <c r="K918" t="s">
        <v>206</v>
      </c>
    </row>
    <row r="919" spans="1:11">
      <c r="A919" t="s">
        <v>87</v>
      </c>
      <c r="B919">
        <v>10206</v>
      </c>
      <c r="C919">
        <v>28</v>
      </c>
      <c r="D919" s="21">
        <v>67.46</v>
      </c>
      <c r="E919" s="22">
        <v>37960</v>
      </c>
      <c r="F919" t="s">
        <v>13</v>
      </c>
      <c r="G919" t="s">
        <v>202</v>
      </c>
      <c r="H919">
        <v>4</v>
      </c>
      <c r="I919">
        <v>2003</v>
      </c>
      <c r="J919" t="s">
        <v>15</v>
      </c>
      <c r="K919" t="s">
        <v>88</v>
      </c>
    </row>
    <row r="920" spans="1:11">
      <c r="A920" t="s">
        <v>89</v>
      </c>
      <c r="B920">
        <v>10215</v>
      </c>
      <c r="C920">
        <v>31</v>
      </c>
      <c r="D920" s="21">
        <v>58.71</v>
      </c>
      <c r="E920" s="22">
        <v>38015</v>
      </c>
      <c r="F920" t="s">
        <v>13</v>
      </c>
      <c r="G920" t="s">
        <v>202</v>
      </c>
      <c r="H920">
        <v>1</v>
      </c>
      <c r="I920">
        <v>2004</v>
      </c>
      <c r="J920" t="s">
        <v>15</v>
      </c>
      <c r="K920" t="s">
        <v>90</v>
      </c>
    </row>
    <row r="921" spans="1:11">
      <c r="A921" t="s">
        <v>91</v>
      </c>
      <c r="B921">
        <v>10228</v>
      </c>
      <c r="C921">
        <v>45</v>
      </c>
      <c r="D921" s="21">
        <v>63.71</v>
      </c>
      <c r="E921" s="22">
        <v>38056</v>
      </c>
      <c r="F921" t="s">
        <v>13</v>
      </c>
      <c r="G921" t="s">
        <v>202</v>
      </c>
      <c r="H921">
        <v>1</v>
      </c>
      <c r="I921">
        <v>2004</v>
      </c>
      <c r="J921" t="s">
        <v>15</v>
      </c>
      <c r="K921" t="s">
        <v>92</v>
      </c>
    </row>
    <row r="922" spans="1:11">
      <c r="A922" t="s">
        <v>69</v>
      </c>
      <c r="B922">
        <v>10244</v>
      </c>
      <c r="C922">
        <v>24</v>
      </c>
      <c r="D922" s="21">
        <v>58.09</v>
      </c>
      <c r="E922" s="22">
        <v>38106</v>
      </c>
      <c r="F922" t="s">
        <v>13</v>
      </c>
      <c r="G922" t="s">
        <v>202</v>
      </c>
      <c r="H922">
        <v>2</v>
      </c>
      <c r="I922">
        <v>2004</v>
      </c>
      <c r="J922" t="s">
        <v>15</v>
      </c>
      <c r="K922" t="s">
        <v>71</v>
      </c>
    </row>
    <row r="923" spans="1:11">
      <c r="A923" t="s">
        <v>149</v>
      </c>
      <c r="B923">
        <v>10257</v>
      </c>
      <c r="C923">
        <v>49</v>
      </c>
      <c r="D923" s="21">
        <v>53.72</v>
      </c>
      <c r="E923" s="22">
        <v>38152</v>
      </c>
      <c r="F923" t="s">
        <v>13</v>
      </c>
      <c r="G923" t="s">
        <v>202</v>
      </c>
      <c r="H923">
        <v>2</v>
      </c>
      <c r="I923">
        <v>2004</v>
      </c>
      <c r="J923" t="s">
        <v>15</v>
      </c>
      <c r="K923" t="s">
        <v>150</v>
      </c>
    </row>
    <row r="924" spans="1:11">
      <c r="A924" t="s">
        <v>60</v>
      </c>
      <c r="B924">
        <v>10269</v>
      </c>
      <c r="C924">
        <v>32</v>
      </c>
      <c r="D924" s="21">
        <v>63.08</v>
      </c>
      <c r="E924" s="22">
        <v>38184</v>
      </c>
      <c r="F924" t="s">
        <v>13</v>
      </c>
      <c r="G924" t="s">
        <v>202</v>
      </c>
      <c r="H924">
        <v>3</v>
      </c>
      <c r="I924">
        <v>2004</v>
      </c>
      <c r="J924" t="s">
        <v>15</v>
      </c>
      <c r="K924" t="s">
        <v>62</v>
      </c>
    </row>
    <row r="925" spans="1:11">
      <c r="A925" t="s">
        <v>97</v>
      </c>
      <c r="B925">
        <v>10280</v>
      </c>
      <c r="C925">
        <v>43</v>
      </c>
      <c r="D925" s="21">
        <v>68.71</v>
      </c>
      <c r="E925" s="22">
        <v>38216</v>
      </c>
      <c r="F925" t="s">
        <v>13</v>
      </c>
      <c r="G925" t="s">
        <v>202</v>
      </c>
      <c r="H925">
        <v>3</v>
      </c>
      <c r="I925">
        <v>2004</v>
      </c>
      <c r="J925" t="s">
        <v>15</v>
      </c>
      <c r="K925" t="s">
        <v>98</v>
      </c>
    </row>
    <row r="926" spans="1:11">
      <c r="A926" t="s">
        <v>99</v>
      </c>
      <c r="B926">
        <v>10291</v>
      </c>
      <c r="C926">
        <v>37</v>
      </c>
      <c r="D926" s="21">
        <v>50.59</v>
      </c>
      <c r="E926" s="22">
        <v>38238</v>
      </c>
      <c r="F926" t="s">
        <v>13</v>
      </c>
      <c r="G926" t="s">
        <v>202</v>
      </c>
      <c r="H926">
        <v>3</v>
      </c>
      <c r="I926">
        <v>2004</v>
      </c>
      <c r="J926" t="s">
        <v>15</v>
      </c>
      <c r="K926" t="s">
        <v>100</v>
      </c>
    </row>
    <row r="927" spans="1:11">
      <c r="A927" t="s">
        <v>101</v>
      </c>
      <c r="B927">
        <v>10304</v>
      </c>
      <c r="C927">
        <v>24</v>
      </c>
      <c r="D927" s="21">
        <v>64.96</v>
      </c>
      <c r="E927" s="22">
        <v>38271</v>
      </c>
      <c r="F927" t="s">
        <v>13</v>
      </c>
      <c r="G927" t="s">
        <v>202</v>
      </c>
      <c r="H927">
        <v>4</v>
      </c>
      <c r="I927">
        <v>2004</v>
      </c>
      <c r="J927" t="s">
        <v>15</v>
      </c>
      <c r="K927" t="s">
        <v>102</v>
      </c>
    </row>
    <row r="928" spans="1:11">
      <c r="A928" t="s">
        <v>103</v>
      </c>
      <c r="B928">
        <v>10312</v>
      </c>
      <c r="C928">
        <v>35</v>
      </c>
      <c r="D928" s="21">
        <v>53.72</v>
      </c>
      <c r="E928" s="22">
        <v>38281</v>
      </c>
      <c r="F928" t="s">
        <v>13</v>
      </c>
      <c r="G928" t="s">
        <v>202</v>
      </c>
      <c r="H928">
        <v>4</v>
      </c>
      <c r="I928">
        <v>2004</v>
      </c>
      <c r="J928" t="s">
        <v>15</v>
      </c>
      <c r="K928" t="s">
        <v>104</v>
      </c>
    </row>
    <row r="929" spans="1:11">
      <c r="A929" t="s">
        <v>105</v>
      </c>
      <c r="B929">
        <v>10322</v>
      </c>
      <c r="C929">
        <v>41</v>
      </c>
      <c r="D929" s="21">
        <v>29.87</v>
      </c>
      <c r="E929" s="22">
        <v>38295</v>
      </c>
      <c r="F929" t="s">
        <v>13</v>
      </c>
      <c r="G929" t="s">
        <v>202</v>
      </c>
      <c r="H929">
        <v>4</v>
      </c>
      <c r="I929">
        <v>2004</v>
      </c>
      <c r="J929" t="s">
        <v>15</v>
      </c>
      <c r="K929" t="s">
        <v>106</v>
      </c>
    </row>
    <row r="930" spans="1:11">
      <c r="A930" t="s">
        <v>183</v>
      </c>
      <c r="B930">
        <v>10332</v>
      </c>
      <c r="C930">
        <v>26</v>
      </c>
      <c r="D930" s="21">
        <v>100</v>
      </c>
      <c r="E930" s="22">
        <v>38308</v>
      </c>
      <c r="F930" t="s">
        <v>13</v>
      </c>
      <c r="G930" t="s">
        <v>202</v>
      </c>
      <c r="H930">
        <v>4</v>
      </c>
      <c r="I930">
        <v>2004</v>
      </c>
      <c r="J930" t="s">
        <v>15</v>
      </c>
      <c r="K930" t="s">
        <v>184</v>
      </c>
    </row>
    <row r="931" spans="1:11">
      <c r="A931" t="s">
        <v>42</v>
      </c>
      <c r="B931">
        <v>10347</v>
      </c>
      <c r="C931">
        <v>34</v>
      </c>
      <c r="D931" s="21">
        <v>64.96</v>
      </c>
      <c r="E931" s="22">
        <v>38320</v>
      </c>
      <c r="F931" t="s">
        <v>13</v>
      </c>
      <c r="G931" t="s">
        <v>202</v>
      </c>
      <c r="H931">
        <v>4</v>
      </c>
      <c r="I931">
        <v>2004</v>
      </c>
      <c r="J931" t="s">
        <v>15</v>
      </c>
      <c r="K931" t="s">
        <v>43</v>
      </c>
    </row>
    <row r="932" spans="1:11">
      <c r="A932" t="s">
        <v>103</v>
      </c>
      <c r="B932">
        <v>10357</v>
      </c>
      <c r="C932">
        <v>49</v>
      </c>
      <c r="D932" s="21">
        <v>70.58</v>
      </c>
      <c r="E932" s="22">
        <v>38331</v>
      </c>
      <c r="F932" t="s">
        <v>13</v>
      </c>
      <c r="G932" t="s">
        <v>202</v>
      </c>
      <c r="H932">
        <v>4</v>
      </c>
      <c r="I932">
        <v>2004</v>
      </c>
      <c r="J932" t="s">
        <v>22</v>
      </c>
      <c r="K932" t="s">
        <v>104</v>
      </c>
    </row>
    <row r="933" spans="1:11">
      <c r="A933" t="s">
        <v>107</v>
      </c>
      <c r="B933">
        <v>10369</v>
      </c>
      <c r="C933">
        <v>28</v>
      </c>
      <c r="D933" s="21">
        <v>44.21</v>
      </c>
      <c r="E933" s="22">
        <v>38372</v>
      </c>
      <c r="F933" t="s">
        <v>13</v>
      </c>
      <c r="G933" t="s">
        <v>202</v>
      </c>
      <c r="H933">
        <v>1</v>
      </c>
      <c r="I933">
        <v>2005</v>
      </c>
      <c r="J933" t="s">
        <v>15</v>
      </c>
      <c r="K933" t="s">
        <v>108</v>
      </c>
    </row>
    <row r="934" spans="1:11">
      <c r="A934" t="s">
        <v>28</v>
      </c>
      <c r="B934">
        <v>10381</v>
      </c>
      <c r="C934">
        <v>40</v>
      </c>
      <c r="D934" s="21">
        <v>68.08</v>
      </c>
      <c r="E934" s="22">
        <v>38400</v>
      </c>
      <c r="F934" t="s">
        <v>13</v>
      </c>
      <c r="G934" t="s">
        <v>202</v>
      </c>
      <c r="H934">
        <v>1</v>
      </c>
      <c r="I934">
        <v>2005</v>
      </c>
      <c r="J934" t="s">
        <v>15</v>
      </c>
      <c r="K934" t="s">
        <v>29</v>
      </c>
    </row>
    <row r="935" spans="1:11">
      <c r="A935" t="s">
        <v>154</v>
      </c>
      <c r="B935">
        <v>10392</v>
      </c>
      <c r="C935">
        <v>37</v>
      </c>
      <c r="D935" s="21">
        <v>59.96</v>
      </c>
      <c r="E935" s="22">
        <v>38421</v>
      </c>
      <c r="F935" t="s">
        <v>13</v>
      </c>
      <c r="G935" t="s">
        <v>202</v>
      </c>
      <c r="H935">
        <v>1</v>
      </c>
      <c r="I935">
        <v>2005</v>
      </c>
      <c r="J935" t="s">
        <v>15</v>
      </c>
      <c r="K935" t="s">
        <v>156</v>
      </c>
    </row>
    <row r="936" spans="1:11">
      <c r="A936" t="s">
        <v>139</v>
      </c>
      <c r="B936">
        <v>10423</v>
      </c>
      <c r="C936">
        <v>31</v>
      </c>
      <c r="D936" s="21">
        <v>53.72</v>
      </c>
      <c r="E936" s="22">
        <v>38502</v>
      </c>
      <c r="F936" t="s">
        <v>113</v>
      </c>
      <c r="G936" t="s">
        <v>202</v>
      </c>
      <c r="H936">
        <v>2</v>
      </c>
      <c r="I936">
        <v>2005</v>
      </c>
      <c r="J936" t="s">
        <v>15</v>
      </c>
      <c r="K936" t="s">
        <v>140</v>
      </c>
    </row>
    <row r="937" spans="1:11">
      <c r="A937" t="s">
        <v>203</v>
      </c>
      <c r="B937">
        <v>10106</v>
      </c>
      <c r="C937">
        <v>41</v>
      </c>
      <c r="D937" s="21">
        <v>83.44</v>
      </c>
      <c r="E937" s="22">
        <v>37669</v>
      </c>
      <c r="F937" t="s">
        <v>13</v>
      </c>
      <c r="G937" t="s">
        <v>214</v>
      </c>
      <c r="H937">
        <v>1</v>
      </c>
      <c r="I937">
        <v>2003</v>
      </c>
      <c r="J937" t="s">
        <v>22</v>
      </c>
      <c r="K937" t="s">
        <v>204</v>
      </c>
    </row>
    <row r="938" spans="1:11">
      <c r="A938" t="s">
        <v>60</v>
      </c>
      <c r="B938">
        <v>10119</v>
      </c>
      <c r="C938">
        <v>21</v>
      </c>
      <c r="D938" s="21">
        <v>89.46</v>
      </c>
      <c r="E938" s="22">
        <v>37739</v>
      </c>
      <c r="F938" t="s">
        <v>13</v>
      </c>
      <c r="G938" t="s">
        <v>214</v>
      </c>
      <c r="H938">
        <v>2</v>
      </c>
      <c r="I938">
        <v>2003</v>
      </c>
      <c r="J938" t="s">
        <v>15</v>
      </c>
      <c r="K938" t="s">
        <v>62</v>
      </c>
    </row>
    <row r="939" spans="1:11">
      <c r="A939" t="s">
        <v>215</v>
      </c>
      <c r="B939">
        <v>10130</v>
      </c>
      <c r="C939">
        <v>40</v>
      </c>
      <c r="D939" s="21">
        <v>96.34</v>
      </c>
      <c r="E939" s="22">
        <v>37788</v>
      </c>
      <c r="F939" t="s">
        <v>13</v>
      </c>
      <c r="G939" t="s">
        <v>214</v>
      </c>
      <c r="H939">
        <v>2</v>
      </c>
      <c r="I939">
        <v>2003</v>
      </c>
      <c r="J939" t="s">
        <v>22</v>
      </c>
      <c r="K939" t="s">
        <v>216</v>
      </c>
    </row>
    <row r="940" spans="1:11">
      <c r="A940" t="s">
        <v>126</v>
      </c>
      <c r="B940">
        <v>10143</v>
      </c>
      <c r="C940">
        <v>46</v>
      </c>
      <c r="D940" s="21">
        <v>74.84</v>
      </c>
      <c r="E940" s="22">
        <v>37843</v>
      </c>
      <c r="F940" t="s">
        <v>13</v>
      </c>
      <c r="G940" t="s">
        <v>214</v>
      </c>
      <c r="H940">
        <v>3</v>
      </c>
      <c r="I940">
        <v>2003</v>
      </c>
      <c r="J940" t="s">
        <v>22</v>
      </c>
      <c r="K940" t="s">
        <v>127</v>
      </c>
    </row>
    <row r="941" spans="1:11">
      <c r="A941" t="s">
        <v>54</v>
      </c>
      <c r="B941">
        <v>10155</v>
      </c>
      <c r="C941">
        <v>44</v>
      </c>
      <c r="D941" s="21">
        <v>79.14</v>
      </c>
      <c r="E941" s="22">
        <v>37900</v>
      </c>
      <c r="F941" t="s">
        <v>13</v>
      </c>
      <c r="G941" t="s">
        <v>214</v>
      </c>
      <c r="H941">
        <v>4</v>
      </c>
      <c r="I941">
        <v>2003</v>
      </c>
      <c r="J941" t="s">
        <v>22</v>
      </c>
      <c r="K941" t="s">
        <v>55</v>
      </c>
    </row>
    <row r="942" spans="1:11">
      <c r="A942" t="s">
        <v>99</v>
      </c>
      <c r="B942">
        <v>10167</v>
      </c>
      <c r="C942">
        <v>46</v>
      </c>
      <c r="D942" s="21">
        <v>73.12</v>
      </c>
      <c r="E942" s="22">
        <v>37917</v>
      </c>
      <c r="F942" t="s">
        <v>128</v>
      </c>
      <c r="G942" t="s">
        <v>214</v>
      </c>
      <c r="H942">
        <v>4</v>
      </c>
      <c r="I942">
        <v>2003</v>
      </c>
      <c r="J942" t="s">
        <v>22</v>
      </c>
      <c r="K942" t="s">
        <v>100</v>
      </c>
    </row>
    <row r="943" spans="1:11">
      <c r="A943" t="s">
        <v>129</v>
      </c>
      <c r="B943">
        <v>10178</v>
      </c>
      <c r="C943">
        <v>41</v>
      </c>
      <c r="D943" s="21">
        <v>81.72</v>
      </c>
      <c r="E943" s="22">
        <v>37933</v>
      </c>
      <c r="F943" t="s">
        <v>13</v>
      </c>
      <c r="G943" t="s">
        <v>214</v>
      </c>
      <c r="H943">
        <v>4</v>
      </c>
      <c r="I943">
        <v>2003</v>
      </c>
      <c r="J943" t="s">
        <v>22</v>
      </c>
      <c r="K943" t="s">
        <v>130</v>
      </c>
    </row>
    <row r="944" spans="1:11">
      <c r="A944" t="s">
        <v>131</v>
      </c>
      <c r="B944">
        <v>10186</v>
      </c>
      <c r="C944">
        <v>32</v>
      </c>
      <c r="D944" s="21">
        <v>89.46</v>
      </c>
      <c r="E944" s="22">
        <v>37939</v>
      </c>
      <c r="F944" t="s">
        <v>13</v>
      </c>
      <c r="G944" t="s">
        <v>214</v>
      </c>
      <c r="H944">
        <v>4</v>
      </c>
      <c r="I944">
        <v>2003</v>
      </c>
      <c r="J944" t="s">
        <v>15</v>
      </c>
      <c r="K944" t="s">
        <v>132</v>
      </c>
    </row>
    <row r="945" spans="1:11">
      <c r="A945" t="s">
        <v>133</v>
      </c>
      <c r="B945">
        <v>10197</v>
      </c>
      <c r="C945">
        <v>46</v>
      </c>
      <c r="D945" s="21">
        <v>87.74</v>
      </c>
      <c r="E945" s="22">
        <v>37951</v>
      </c>
      <c r="F945" t="s">
        <v>13</v>
      </c>
      <c r="G945" t="s">
        <v>214</v>
      </c>
      <c r="H945">
        <v>4</v>
      </c>
      <c r="I945">
        <v>2003</v>
      </c>
      <c r="J945" t="s">
        <v>22</v>
      </c>
      <c r="K945" t="s">
        <v>134</v>
      </c>
    </row>
    <row r="946" spans="1:11">
      <c r="A946" t="s">
        <v>135</v>
      </c>
      <c r="B946">
        <v>10209</v>
      </c>
      <c r="C946">
        <v>28</v>
      </c>
      <c r="D946" s="21">
        <v>100</v>
      </c>
      <c r="E946" s="22">
        <v>37995</v>
      </c>
      <c r="F946" t="s">
        <v>13</v>
      </c>
      <c r="G946" t="s">
        <v>214</v>
      </c>
      <c r="H946">
        <v>1</v>
      </c>
      <c r="I946">
        <v>2004</v>
      </c>
      <c r="J946" t="s">
        <v>15</v>
      </c>
      <c r="K946" t="s">
        <v>136</v>
      </c>
    </row>
    <row r="947" spans="1:11">
      <c r="A947" t="s">
        <v>137</v>
      </c>
      <c r="B947">
        <v>10222</v>
      </c>
      <c r="C947">
        <v>49</v>
      </c>
      <c r="D947" s="21">
        <v>94.62</v>
      </c>
      <c r="E947" s="22">
        <v>38036</v>
      </c>
      <c r="F947" t="s">
        <v>13</v>
      </c>
      <c r="G947" t="s">
        <v>214</v>
      </c>
      <c r="H947">
        <v>1</v>
      </c>
      <c r="I947">
        <v>2004</v>
      </c>
      <c r="J947" t="s">
        <v>22</v>
      </c>
      <c r="K947" t="s">
        <v>138</v>
      </c>
    </row>
    <row r="948" spans="1:11">
      <c r="A948" t="s">
        <v>12</v>
      </c>
      <c r="B948">
        <v>10248</v>
      </c>
      <c r="C948">
        <v>21</v>
      </c>
      <c r="D948" s="21">
        <v>73.98</v>
      </c>
      <c r="E948" s="22">
        <v>38114</v>
      </c>
      <c r="F948" t="s">
        <v>128</v>
      </c>
      <c r="G948" t="s">
        <v>214</v>
      </c>
      <c r="H948">
        <v>2</v>
      </c>
      <c r="I948">
        <v>2004</v>
      </c>
      <c r="J948" t="s">
        <v>15</v>
      </c>
      <c r="K948" t="s">
        <v>16</v>
      </c>
    </row>
    <row r="949" spans="1:11">
      <c r="A949" t="s">
        <v>69</v>
      </c>
      <c r="B949">
        <v>10262</v>
      </c>
      <c r="C949">
        <v>32</v>
      </c>
      <c r="D949" s="21">
        <v>84.3</v>
      </c>
      <c r="E949" s="22">
        <v>38162</v>
      </c>
      <c r="F949" t="s">
        <v>128</v>
      </c>
      <c r="G949" t="s">
        <v>214</v>
      </c>
      <c r="H949">
        <v>2</v>
      </c>
      <c r="I949">
        <v>2004</v>
      </c>
      <c r="J949" t="s">
        <v>15</v>
      </c>
      <c r="K949" t="s">
        <v>71</v>
      </c>
    </row>
    <row r="950" spans="1:11">
      <c r="A950" t="s">
        <v>139</v>
      </c>
      <c r="B950">
        <v>10273</v>
      </c>
      <c r="C950">
        <v>34</v>
      </c>
      <c r="D950" s="21">
        <v>98.06</v>
      </c>
      <c r="E950" s="22">
        <v>38189</v>
      </c>
      <c r="F950" t="s">
        <v>13</v>
      </c>
      <c r="G950" t="s">
        <v>214</v>
      </c>
      <c r="H950">
        <v>3</v>
      </c>
      <c r="I950">
        <v>2004</v>
      </c>
      <c r="J950" t="s">
        <v>22</v>
      </c>
      <c r="K950" t="s">
        <v>140</v>
      </c>
    </row>
    <row r="951" spans="1:11">
      <c r="A951" t="s">
        <v>141</v>
      </c>
      <c r="B951">
        <v>10283</v>
      </c>
      <c r="C951">
        <v>21</v>
      </c>
      <c r="D951" s="21">
        <v>98.06</v>
      </c>
      <c r="E951" s="22">
        <v>38219</v>
      </c>
      <c r="F951" t="s">
        <v>13</v>
      </c>
      <c r="G951" t="s">
        <v>214</v>
      </c>
      <c r="H951">
        <v>3</v>
      </c>
      <c r="I951">
        <v>2004</v>
      </c>
      <c r="J951" t="s">
        <v>15</v>
      </c>
      <c r="K951" t="s">
        <v>142</v>
      </c>
    </row>
    <row r="952" spans="1:11">
      <c r="A952" t="s">
        <v>210</v>
      </c>
      <c r="B952">
        <v>10296</v>
      </c>
      <c r="C952">
        <v>21</v>
      </c>
      <c r="D952" s="21">
        <v>96.34</v>
      </c>
      <c r="E952" s="22">
        <v>38245</v>
      </c>
      <c r="F952" t="s">
        <v>13</v>
      </c>
      <c r="G952" t="s">
        <v>214</v>
      </c>
      <c r="H952">
        <v>3</v>
      </c>
      <c r="I952">
        <v>2004</v>
      </c>
      <c r="J952" t="s">
        <v>15</v>
      </c>
      <c r="K952" t="s">
        <v>211</v>
      </c>
    </row>
    <row r="953" spans="1:11">
      <c r="A953" t="s">
        <v>83</v>
      </c>
      <c r="B953">
        <v>10307</v>
      </c>
      <c r="C953">
        <v>31</v>
      </c>
      <c r="D953" s="21">
        <v>83.44</v>
      </c>
      <c r="E953" s="22">
        <v>38274</v>
      </c>
      <c r="F953" t="s">
        <v>13</v>
      </c>
      <c r="G953" t="s">
        <v>214</v>
      </c>
      <c r="H953">
        <v>4</v>
      </c>
      <c r="I953">
        <v>2004</v>
      </c>
      <c r="J953" t="s">
        <v>15</v>
      </c>
      <c r="K953" t="s">
        <v>84</v>
      </c>
    </row>
    <row r="954" spans="1:11">
      <c r="A954" t="s">
        <v>145</v>
      </c>
      <c r="B954">
        <v>10316</v>
      </c>
      <c r="C954">
        <v>21</v>
      </c>
      <c r="D954" s="21">
        <v>94.62</v>
      </c>
      <c r="E954" s="22">
        <v>38292</v>
      </c>
      <c r="F954" t="s">
        <v>13</v>
      </c>
      <c r="G954" t="s">
        <v>214</v>
      </c>
      <c r="H954">
        <v>4</v>
      </c>
      <c r="I954">
        <v>2004</v>
      </c>
      <c r="J954" t="s">
        <v>15</v>
      </c>
      <c r="K954" t="s">
        <v>146</v>
      </c>
    </row>
    <row r="955" spans="1:11">
      <c r="A955" t="s">
        <v>122</v>
      </c>
      <c r="B955">
        <v>10327</v>
      </c>
      <c r="C955">
        <v>25</v>
      </c>
      <c r="D955" s="21">
        <v>45.86</v>
      </c>
      <c r="E955" s="22">
        <v>38301</v>
      </c>
      <c r="F955" t="s">
        <v>155</v>
      </c>
      <c r="G955" t="s">
        <v>214</v>
      </c>
      <c r="H955">
        <v>4</v>
      </c>
      <c r="I955">
        <v>2004</v>
      </c>
      <c r="J955" t="s">
        <v>15</v>
      </c>
      <c r="K955" t="s">
        <v>123</v>
      </c>
    </row>
    <row r="956" spans="1:11">
      <c r="A956" t="s">
        <v>212</v>
      </c>
      <c r="B956">
        <v>10338</v>
      </c>
      <c r="C956">
        <v>28</v>
      </c>
      <c r="D956" s="21">
        <v>82.58</v>
      </c>
      <c r="E956" s="22">
        <v>38313</v>
      </c>
      <c r="F956" t="s">
        <v>13</v>
      </c>
      <c r="G956" t="s">
        <v>214</v>
      </c>
      <c r="H956">
        <v>4</v>
      </c>
      <c r="I956">
        <v>2004</v>
      </c>
      <c r="J956" t="s">
        <v>15</v>
      </c>
      <c r="K956" t="s">
        <v>213</v>
      </c>
    </row>
    <row r="957" spans="1:11">
      <c r="A957" t="s">
        <v>69</v>
      </c>
      <c r="B957">
        <v>10350</v>
      </c>
      <c r="C957">
        <v>43</v>
      </c>
      <c r="D957" s="21">
        <v>64.97</v>
      </c>
      <c r="E957" s="22">
        <v>38323</v>
      </c>
      <c r="F957" t="s">
        <v>13</v>
      </c>
      <c r="G957" t="s">
        <v>214</v>
      </c>
      <c r="H957">
        <v>4</v>
      </c>
      <c r="I957">
        <v>2004</v>
      </c>
      <c r="J957" t="s">
        <v>15</v>
      </c>
      <c r="K957" t="s">
        <v>71</v>
      </c>
    </row>
    <row r="958" spans="1:11">
      <c r="A958" t="s">
        <v>147</v>
      </c>
      <c r="B958">
        <v>10373</v>
      </c>
      <c r="C958">
        <v>22</v>
      </c>
      <c r="D958" s="21">
        <v>86.74</v>
      </c>
      <c r="E958" s="22">
        <v>38383</v>
      </c>
      <c r="F958" t="s">
        <v>13</v>
      </c>
      <c r="G958" t="s">
        <v>214</v>
      </c>
      <c r="H958">
        <v>1</v>
      </c>
      <c r="I958">
        <v>2005</v>
      </c>
      <c r="J958" t="s">
        <v>15</v>
      </c>
      <c r="K958" t="s">
        <v>148</v>
      </c>
    </row>
    <row r="959" spans="1:11">
      <c r="A959" t="s">
        <v>69</v>
      </c>
      <c r="B959">
        <v>10386</v>
      </c>
      <c r="C959">
        <v>37</v>
      </c>
      <c r="D959" s="21">
        <v>93.01</v>
      </c>
      <c r="E959" s="22">
        <v>38412</v>
      </c>
      <c r="F959" t="s">
        <v>155</v>
      </c>
      <c r="G959" t="s">
        <v>214</v>
      </c>
      <c r="H959">
        <v>1</v>
      </c>
      <c r="I959">
        <v>2005</v>
      </c>
      <c r="J959" t="s">
        <v>22</v>
      </c>
      <c r="K959" t="s">
        <v>71</v>
      </c>
    </row>
    <row r="960" spans="1:11">
      <c r="A960" t="s">
        <v>18</v>
      </c>
      <c r="B960">
        <v>10398</v>
      </c>
      <c r="C960">
        <v>28</v>
      </c>
      <c r="D960" s="21">
        <v>72.26</v>
      </c>
      <c r="E960" s="22">
        <v>38441</v>
      </c>
      <c r="F960" t="s">
        <v>13</v>
      </c>
      <c r="G960" t="s">
        <v>214</v>
      </c>
      <c r="H960">
        <v>1</v>
      </c>
      <c r="I960">
        <v>2005</v>
      </c>
      <c r="J960" t="s">
        <v>15</v>
      </c>
      <c r="K960" t="s">
        <v>19</v>
      </c>
    </row>
    <row r="961" spans="1:11">
      <c r="A961" t="s">
        <v>149</v>
      </c>
      <c r="B961">
        <v>10400</v>
      </c>
      <c r="C961">
        <v>30</v>
      </c>
      <c r="D961" s="21">
        <v>74.84</v>
      </c>
      <c r="E961" s="22">
        <v>38443</v>
      </c>
      <c r="F961" t="s">
        <v>13</v>
      </c>
      <c r="G961" t="s">
        <v>214</v>
      </c>
      <c r="H961">
        <v>2</v>
      </c>
      <c r="I961">
        <v>2005</v>
      </c>
      <c r="J961" t="s">
        <v>15</v>
      </c>
      <c r="K961" t="s">
        <v>150</v>
      </c>
    </row>
    <row r="962" spans="1:11">
      <c r="A962" t="s">
        <v>143</v>
      </c>
      <c r="B962">
        <v>10414</v>
      </c>
      <c r="C962">
        <v>44</v>
      </c>
      <c r="D962" s="21">
        <v>73.98</v>
      </c>
      <c r="E962" s="22">
        <v>38478</v>
      </c>
      <c r="F962" t="s">
        <v>151</v>
      </c>
      <c r="G962" t="s">
        <v>214</v>
      </c>
      <c r="H962">
        <v>2</v>
      </c>
      <c r="I962">
        <v>2005</v>
      </c>
      <c r="J962" t="s">
        <v>22</v>
      </c>
      <c r="K962" t="s">
        <v>144</v>
      </c>
    </row>
    <row r="963" spans="1:11">
      <c r="A963" t="s">
        <v>56</v>
      </c>
      <c r="B963">
        <v>10103</v>
      </c>
      <c r="C963">
        <v>25</v>
      </c>
      <c r="D963" s="21">
        <v>100</v>
      </c>
      <c r="E963" s="22">
        <v>37650</v>
      </c>
      <c r="F963" t="s">
        <v>13</v>
      </c>
      <c r="G963" t="s">
        <v>202</v>
      </c>
      <c r="H963">
        <v>1</v>
      </c>
      <c r="I963">
        <v>2003</v>
      </c>
      <c r="J963" t="s">
        <v>15</v>
      </c>
      <c r="K963" t="s">
        <v>57</v>
      </c>
    </row>
    <row r="964" spans="1:11">
      <c r="A964" t="s">
        <v>38</v>
      </c>
      <c r="B964">
        <v>10111</v>
      </c>
      <c r="C964">
        <v>43</v>
      </c>
      <c r="D964" s="21">
        <v>100</v>
      </c>
      <c r="E964" s="22">
        <v>37705</v>
      </c>
      <c r="F964" t="s">
        <v>13</v>
      </c>
      <c r="G964" t="s">
        <v>202</v>
      </c>
      <c r="H964">
        <v>1</v>
      </c>
      <c r="I964">
        <v>2003</v>
      </c>
      <c r="J964" t="s">
        <v>22</v>
      </c>
      <c r="K964" t="s">
        <v>39</v>
      </c>
    </row>
    <row r="965" spans="1:11">
      <c r="A965" t="s">
        <v>75</v>
      </c>
      <c r="B965">
        <v>10126</v>
      </c>
      <c r="C965">
        <v>30</v>
      </c>
      <c r="D965" s="21">
        <v>97.39</v>
      </c>
      <c r="E965" s="22">
        <v>37769</v>
      </c>
      <c r="F965" t="s">
        <v>13</v>
      </c>
      <c r="G965" t="s">
        <v>202</v>
      </c>
      <c r="H965">
        <v>2</v>
      </c>
      <c r="I965">
        <v>2003</v>
      </c>
      <c r="J965" t="s">
        <v>15</v>
      </c>
      <c r="K965" t="s">
        <v>76</v>
      </c>
    </row>
    <row r="966" spans="1:11">
      <c r="A966" t="s">
        <v>63</v>
      </c>
      <c r="B966">
        <v>10139</v>
      </c>
      <c r="C966">
        <v>20</v>
      </c>
      <c r="D966" s="21">
        <v>90.06</v>
      </c>
      <c r="E966" s="22">
        <v>37818</v>
      </c>
      <c r="F966" t="s">
        <v>13</v>
      </c>
      <c r="G966" t="s">
        <v>202</v>
      </c>
      <c r="H966">
        <v>3</v>
      </c>
      <c r="I966">
        <v>2003</v>
      </c>
      <c r="J966" t="s">
        <v>15</v>
      </c>
      <c r="K966" t="s">
        <v>64</v>
      </c>
    </row>
    <row r="967" spans="1:11">
      <c r="A967" t="s">
        <v>77</v>
      </c>
      <c r="B967">
        <v>10150</v>
      </c>
      <c r="C967">
        <v>26</v>
      </c>
      <c r="D967" s="21">
        <v>100</v>
      </c>
      <c r="E967" s="22">
        <v>37883</v>
      </c>
      <c r="F967" t="s">
        <v>13</v>
      </c>
      <c r="G967" t="s">
        <v>202</v>
      </c>
      <c r="H967">
        <v>3</v>
      </c>
      <c r="I967">
        <v>2003</v>
      </c>
      <c r="J967" t="s">
        <v>15</v>
      </c>
      <c r="K967" t="s">
        <v>78</v>
      </c>
    </row>
    <row r="968" spans="1:11">
      <c r="A968" t="s">
        <v>79</v>
      </c>
      <c r="B968">
        <v>10163</v>
      </c>
      <c r="C968">
        <v>40</v>
      </c>
      <c r="D968" s="21">
        <v>100</v>
      </c>
      <c r="E968" s="22">
        <v>37914</v>
      </c>
      <c r="F968" t="s">
        <v>13</v>
      </c>
      <c r="G968" t="s">
        <v>202</v>
      </c>
      <c r="H968">
        <v>4</v>
      </c>
      <c r="I968">
        <v>2003</v>
      </c>
      <c r="J968" t="s">
        <v>22</v>
      </c>
      <c r="K968" t="s">
        <v>80</v>
      </c>
    </row>
    <row r="969" spans="1:11">
      <c r="A969" t="s">
        <v>203</v>
      </c>
      <c r="B969">
        <v>10173</v>
      </c>
      <c r="C969">
        <v>31</v>
      </c>
      <c r="D969" s="21">
        <v>89.01</v>
      </c>
      <c r="E969" s="22">
        <v>37930</v>
      </c>
      <c r="F969" t="s">
        <v>13</v>
      </c>
      <c r="G969" t="s">
        <v>202</v>
      </c>
      <c r="H969">
        <v>4</v>
      </c>
      <c r="I969">
        <v>2003</v>
      </c>
      <c r="J969" t="s">
        <v>15</v>
      </c>
      <c r="K969" t="s">
        <v>204</v>
      </c>
    </row>
    <row r="970" spans="1:11">
      <c r="A970" t="s">
        <v>83</v>
      </c>
      <c r="B970">
        <v>10183</v>
      </c>
      <c r="C970">
        <v>22</v>
      </c>
      <c r="D970" s="21">
        <v>100</v>
      </c>
      <c r="E970" s="22">
        <v>37938</v>
      </c>
      <c r="F970" t="s">
        <v>13</v>
      </c>
      <c r="G970" t="s">
        <v>202</v>
      </c>
      <c r="H970">
        <v>4</v>
      </c>
      <c r="I970">
        <v>2003</v>
      </c>
      <c r="J970" t="s">
        <v>15</v>
      </c>
      <c r="K970" t="s">
        <v>84</v>
      </c>
    </row>
    <row r="971" spans="1:11">
      <c r="A971" t="s">
        <v>205</v>
      </c>
      <c r="B971">
        <v>10193</v>
      </c>
      <c r="C971">
        <v>23</v>
      </c>
      <c r="D971" s="21">
        <v>100</v>
      </c>
      <c r="E971" s="22">
        <v>37946</v>
      </c>
      <c r="F971" t="s">
        <v>13</v>
      </c>
      <c r="G971" t="s">
        <v>202</v>
      </c>
      <c r="H971">
        <v>4</v>
      </c>
      <c r="I971">
        <v>2003</v>
      </c>
      <c r="J971" t="s">
        <v>15</v>
      </c>
      <c r="K971" t="s">
        <v>206</v>
      </c>
    </row>
    <row r="972" spans="1:11">
      <c r="A972" t="s">
        <v>87</v>
      </c>
      <c r="B972">
        <v>10206</v>
      </c>
      <c r="C972">
        <v>30</v>
      </c>
      <c r="D972" s="21">
        <v>100</v>
      </c>
      <c r="E972" s="22">
        <v>37960</v>
      </c>
      <c r="F972" t="s">
        <v>13</v>
      </c>
      <c r="G972" t="s">
        <v>202</v>
      </c>
      <c r="H972">
        <v>4</v>
      </c>
      <c r="I972">
        <v>2003</v>
      </c>
      <c r="J972" t="s">
        <v>22</v>
      </c>
      <c r="K972" t="s">
        <v>88</v>
      </c>
    </row>
    <row r="973" spans="1:11">
      <c r="A973" t="s">
        <v>89</v>
      </c>
      <c r="B973">
        <v>10215</v>
      </c>
      <c r="C973">
        <v>49</v>
      </c>
      <c r="D973" s="21">
        <v>100</v>
      </c>
      <c r="E973" s="22">
        <v>38015</v>
      </c>
      <c r="F973" t="s">
        <v>13</v>
      </c>
      <c r="G973" t="s">
        <v>202</v>
      </c>
      <c r="H973">
        <v>1</v>
      </c>
      <c r="I973">
        <v>2004</v>
      </c>
      <c r="J973" t="s">
        <v>22</v>
      </c>
      <c r="K973" t="s">
        <v>90</v>
      </c>
    </row>
    <row r="974" spans="1:11">
      <c r="A974" t="s">
        <v>91</v>
      </c>
      <c r="B974">
        <v>10228</v>
      </c>
      <c r="C974">
        <v>31</v>
      </c>
      <c r="D974" s="21">
        <v>100</v>
      </c>
      <c r="E974" s="22">
        <v>38056</v>
      </c>
      <c r="F974" t="s">
        <v>13</v>
      </c>
      <c r="G974" t="s">
        <v>202</v>
      </c>
      <c r="H974">
        <v>1</v>
      </c>
      <c r="I974">
        <v>2004</v>
      </c>
      <c r="J974" t="s">
        <v>22</v>
      </c>
      <c r="K974" t="s">
        <v>92</v>
      </c>
    </row>
    <row r="975" spans="1:11">
      <c r="A975" t="s">
        <v>69</v>
      </c>
      <c r="B975">
        <v>10244</v>
      </c>
      <c r="C975">
        <v>29</v>
      </c>
      <c r="D975" s="21">
        <v>100</v>
      </c>
      <c r="E975" s="22">
        <v>38106</v>
      </c>
      <c r="F975" t="s">
        <v>13</v>
      </c>
      <c r="G975" t="s">
        <v>202</v>
      </c>
      <c r="H975">
        <v>2</v>
      </c>
      <c r="I975">
        <v>2004</v>
      </c>
      <c r="J975" t="s">
        <v>22</v>
      </c>
      <c r="K975" t="s">
        <v>71</v>
      </c>
    </row>
    <row r="976" spans="1:11">
      <c r="A976" t="s">
        <v>149</v>
      </c>
      <c r="B976">
        <v>10257</v>
      </c>
      <c r="C976">
        <v>37</v>
      </c>
      <c r="D976" s="21">
        <v>84.82</v>
      </c>
      <c r="E976" s="22">
        <v>38152</v>
      </c>
      <c r="F976" t="s">
        <v>13</v>
      </c>
      <c r="G976" t="s">
        <v>202</v>
      </c>
      <c r="H976">
        <v>2</v>
      </c>
      <c r="I976">
        <v>2004</v>
      </c>
      <c r="J976" t="s">
        <v>22</v>
      </c>
      <c r="K976" t="s">
        <v>150</v>
      </c>
    </row>
    <row r="977" spans="1:11">
      <c r="A977" t="s">
        <v>63</v>
      </c>
      <c r="B977">
        <v>10270</v>
      </c>
      <c r="C977">
        <v>38</v>
      </c>
      <c r="D977" s="21">
        <v>100</v>
      </c>
      <c r="E977" s="22">
        <v>38187</v>
      </c>
      <c r="F977" t="s">
        <v>13</v>
      </c>
      <c r="G977" t="s">
        <v>202</v>
      </c>
      <c r="H977">
        <v>3</v>
      </c>
      <c r="I977">
        <v>2004</v>
      </c>
      <c r="J977" t="s">
        <v>22</v>
      </c>
      <c r="K977" t="s">
        <v>64</v>
      </c>
    </row>
    <row r="978" spans="1:11">
      <c r="A978" t="s">
        <v>97</v>
      </c>
      <c r="B978">
        <v>10280</v>
      </c>
      <c r="C978">
        <v>29</v>
      </c>
      <c r="D978" s="21">
        <v>100</v>
      </c>
      <c r="E978" s="22">
        <v>38216</v>
      </c>
      <c r="F978" t="s">
        <v>13</v>
      </c>
      <c r="G978" t="s">
        <v>202</v>
      </c>
      <c r="H978">
        <v>3</v>
      </c>
      <c r="I978">
        <v>2004</v>
      </c>
      <c r="J978" t="s">
        <v>22</v>
      </c>
      <c r="K978" t="s">
        <v>98</v>
      </c>
    </row>
    <row r="979" spans="1:11">
      <c r="A979" t="s">
        <v>99</v>
      </c>
      <c r="B979">
        <v>10291</v>
      </c>
      <c r="C979">
        <v>23</v>
      </c>
      <c r="D979" s="21">
        <v>100</v>
      </c>
      <c r="E979" s="22">
        <v>38238</v>
      </c>
      <c r="F979" t="s">
        <v>13</v>
      </c>
      <c r="G979" t="s">
        <v>202</v>
      </c>
      <c r="H979">
        <v>3</v>
      </c>
      <c r="I979">
        <v>2004</v>
      </c>
      <c r="J979" t="s">
        <v>15</v>
      </c>
      <c r="K979" t="s">
        <v>100</v>
      </c>
    </row>
    <row r="980" spans="1:11">
      <c r="A980" t="s">
        <v>101</v>
      </c>
      <c r="B980">
        <v>10304</v>
      </c>
      <c r="C980">
        <v>26</v>
      </c>
      <c r="D980" s="21">
        <v>85.87</v>
      </c>
      <c r="E980" s="22">
        <v>38271</v>
      </c>
      <c r="F980" t="s">
        <v>13</v>
      </c>
      <c r="G980" t="s">
        <v>202</v>
      </c>
      <c r="H980">
        <v>4</v>
      </c>
      <c r="I980">
        <v>2004</v>
      </c>
      <c r="J980" t="s">
        <v>15</v>
      </c>
      <c r="K980" t="s">
        <v>102</v>
      </c>
    </row>
    <row r="981" spans="1:11">
      <c r="A981" t="s">
        <v>103</v>
      </c>
      <c r="B981">
        <v>10312</v>
      </c>
      <c r="C981">
        <v>38</v>
      </c>
      <c r="D981" s="21">
        <v>100</v>
      </c>
      <c r="E981" s="22">
        <v>38281</v>
      </c>
      <c r="F981" t="s">
        <v>13</v>
      </c>
      <c r="G981" t="s">
        <v>202</v>
      </c>
      <c r="H981">
        <v>4</v>
      </c>
      <c r="I981">
        <v>2004</v>
      </c>
      <c r="J981" t="s">
        <v>22</v>
      </c>
      <c r="K981" t="s">
        <v>104</v>
      </c>
    </row>
    <row r="982" spans="1:11">
      <c r="A982" t="s">
        <v>105</v>
      </c>
      <c r="B982">
        <v>10322</v>
      </c>
      <c r="C982">
        <v>48</v>
      </c>
      <c r="D982" s="21">
        <v>47.04</v>
      </c>
      <c r="E982" s="22">
        <v>38295</v>
      </c>
      <c r="F982" t="s">
        <v>13</v>
      </c>
      <c r="G982" t="s">
        <v>202</v>
      </c>
      <c r="H982">
        <v>4</v>
      </c>
      <c r="I982">
        <v>2004</v>
      </c>
      <c r="J982" t="s">
        <v>15</v>
      </c>
      <c r="K982" t="s">
        <v>106</v>
      </c>
    </row>
    <row r="983" spans="1:11">
      <c r="A983" t="s">
        <v>183</v>
      </c>
      <c r="B983">
        <v>10332</v>
      </c>
      <c r="C983">
        <v>40</v>
      </c>
      <c r="D983" s="21">
        <v>39.8</v>
      </c>
      <c r="E983" s="22">
        <v>38308</v>
      </c>
      <c r="F983" t="s">
        <v>13</v>
      </c>
      <c r="G983" t="s">
        <v>202</v>
      </c>
      <c r="H983">
        <v>4</v>
      </c>
      <c r="I983">
        <v>2004</v>
      </c>
      <c r="J983" t="s">
        <v>15</v>
      </c>
      <c r="K983" t="s">
        <v>184</v>
      </c>
    </row>
    <row r="984" spans="1:11">
      <c r="A984" t="s">
        <v>42</v>
      </c>
      <c r="B984">
        <v>10347</v>
      </c>
      <c r="C984">
        <v>45</v>
      </c>
      <c r="D984" s="21">
        <v>100</v>
      </c>
      <c r="E984" s="22">
        <v>38320</v>
      </c>
      <c r="F984" t="s">
        <v>13</v>
      </c>
      <c r="G984" t="s">
        <v>202</v>
      </c>
      <c r="H984">
        <v>4</v>
      </c>
      <c r="I984">
        <v>2004</v>
      </c>
      <c r="J984" t="s">
        <v>22</v>
      </c>
      <c r="K984" t="s">
        <v>43</v>
      </c>
    </row>
    <row r="985" spans="1:11">
      <c r="A985" t="s">
        <v>103</v>
      </c>
      <c r="B985">
        <v>10357</v>
      </c>
      <c r="C985">
        <v>44</v>
      </c>
      <c r="D985" s="21">
        <v>100</v>
      </c>
      <c r="E985" s="22">
        <v>38331</v>
      </c>
      <c r="F985" t="s">
        <v>13</v>
      </c>
      <c r="G985" t="s">
        <v>202</v>
      </c>
      <c r="H985">
        <v>4</v>
      </c>
      <c r="I985">
        <v>2004</v>
      </c>
      <c r="J985" t="s">
        <v>22</v>
      </c>
      <c r="K985" t="s">
        <v>104</v>
      </c>
    </row>
    <row r="986" spans="1:11">
      <c r="A986" t="s">
        <v>107</v>
      </c>
      <c r="B986">
        <v>10369</v>
      </c>
      <c r="C986">
        <v>21</v>
      </c>
      <c r="D986" s="21">
        <v>94.22</v>
      </c>
      <c r="E986" s="22">
        <v>38372</v>
      </c>
      <c r="F986" t="s">
        <v>13</v>
      </c>
      <c r="G986" t="s">
        <v>202</v>
      </c>
      <c r="H986">
        <v>1</v>
      </c>
      <c r="I986">
        <v>2005</v>
      </c>
      <c r="J986" t="s">
        <v>15</v>
      </c>
      <c r="K986" t="s">
        <v>108</v>
      </c>
    </row>
    <row r="987" spans="1:11">
      <c r="A987" t="s">
        <v>28</v>
      </c>
      <c r="B987">
        <v>10381</v>
      </c>
      <c r="C987">
        <v>35</v>
      </c>
      <c r="D987" s="21">
        <v>100</v>
      </c>
      <c r="E987" s="22">
        <v>38400</v>
      </c>
      <c r="F987" t="s">
        <v>13</v>
      </c>
      <c r="G987" t="s">
        <v>202</v>
      </c>
      <c r="H987">
        <v>1</v>
      </c>
      <c r="I987">
        <v>2005</v>
      </c>
      <c r="J987" t="s">
        <v>22</v>
      </c>
      <c r="K987" t="s">
        <v>29</v>
      </c>
    </row>
    <row r="988" spans="1:11">
      <c r="A988" t="s">
        <v>154</v>
      </c>
      <c r="B988">
        <v>10392</v>
      </c>
      <c r="C988">
        <v>29</v>
      </c>
      <c r="D988" s="21">
        <v>86.92</v>
      </c>
      <c r="E988" s="22">
        <v>38421</v>
      </c>
      <c r="F988" t="s">
        <v>13</v>
      </c>
      <c r="G988" t="s">
        <v>202</v>
      </c>
      <c r="H988">
        <v>1</v>
      </c>
      <c r="I988">
        <v>2005</v>
      </c>
      <c r="J988" t="s">
        <v>15</v>
      </c>
      <c r="K988" t="s">
        <v>156</v>
      </c>
    </row>
    <row r="989" spans="1:11">
      <c r="A989" t="s">
        <v>139</v>
      </c>
      <c r="B989">
        <v>10423</v>
      </c>
      <c r="C989">
        <v>21</v>
      </c>
      <c r="D989" s="21">
        <v>84.82</v>
      </c>
      <c r="E989" s="22">
        <v>38502</v>
      </c>
      <c r="F989" t="s">
        <v>113</v>
      </c>
      <c r="G989" t="s">
        <v>202</v>
      </c>
      <c r="H989">
        <v>2</v>
      </c>
      <c r="I989">
        <v>2005</v>
      </c>
      <c r="J989" t="s">
        <v>15</v>
      </c>
      <c r="K989" t="s">
        <v>140</v>
      </c>
    </row>
    <row r="990" spans="1:11">
      <c r="A990" t="s">
        <v>122</v>
      </c>
      <c r="B990">
        <v>10105</v>
      </c>
      <c r="C990">
        <v>22</v>
      </c>
      <c r="D990" s="21">
        <v>100</v>
      </c>
      <c r="E990" s="22">
        <v>37663</v>
      </c>
      <c r="F990" t="s">
        <v>13</v>
      </c>
      <c r="G990" t="s">
        <v>202</v>
      </c>
      <c r="H990">
        <v>1</v>
      </c>
      <c r="I990">
        <v>2003</v>
      </c>
      <c r="J990" t="s">
        <v>22</v>
      </c>
      <c r="K990" t="s">
        <v>123</v>
      </c>
    </row>
    <row r="991" spans="1:11">
      <c r="A991" t="s">
        <v>77</v>
      </c>
      <c r="B991">
        <v>10117</v>
      </c>
      <c r="C991">
        <v>26</v>
      </c>
      <c r="D991" s="21">
        <v>100</v>
      </c>
      <c r="E991" s="22">
        <v>37727</v>
      </c>
      <c r="F991" t="s">
        <v>13</v>
      </c>
      <c r="G991" t="s">
        <v>202</v>
      </c>
      <c r="H991">
        <v>2</v>
      </c>
      <c r="I991">
        <v>2003</v>
      </c>
      <c r="J991" t="s">
        <v>22</v>
      </c>
      <c r="K991" t="s">
        <v>78</v>
      </c>
    </row>
    <row r="992" spans="1:11">
      <c r="A992" t="s">
        <v>69</v>
      </c>
      <c r="B992">
        <v>10128</v>
      </c>
      <c r="C992">
        <v>41</v>
      </c>
      <c r="D992" s="21">
        <v>100</v>
      </c>
      <c r="E992" s="22">
        <v>37778</v>
      </c>
      <c r="F992" t="s">
        <v>13</v>
      </c>
      <c r="G992" t="s">
        <v>202</v>
      </c>
      <c r="H992">
        <v>2</v>
      </c>
      <c r="I992">
        <v>2003</v>
      </c>
      <c r="J992" t="s">
        <v>22</v>
      </c>
      <c r="K992" t="s">
        <v>71</v>
      </c>
    </row>
    <row r="993" spans="1:11">
      <c r="A993" t="s">
        <v>103</v>
      </c>
      <c r="B993">
        <v>10142</v>
      </c>
      <c r="C993">
        <v>47</v>
      </c>
      <c r="D993" s="21">
        <v>100</v>
      </c>
      <c r="E993" s="22">
        <v>37841</v>
      </c>
      <c r="F993" t="s">
        <v>13</v>
      </c>
      <c r="G993" t="s">
        <v>202</v>
      </c>
      <c r="H993">
        <v>3</v>
      </c>
      <c r="I993">
        <v>2003</v>
      </c>
      <c r="J993" t="s">
        <v>22</v>
      </c>
      <c r="K993" t="s">
        <v>104</v>
      </c>
    </row>
    <row r="994" spans="1:11">
      <c r="A994" t="s">
        <v>69</v>
      </c>
      <c r="B994">
        <v>10153</v>
      </c>
      <c r="C994">
        <v>31</v>
      </c>
      <c r="D994" s="21">
        <v>100</v>
      </c>
      <c r="E994" s="22">
        <v>37892</v>
      </c>
      <c r="F994" t="s">
        <v>13</v>
      </c>
      <c r="G994" t="s">
        <v>202</v>
      </c>
      <c r="H994">
        <v>3</v>
      </c>
      <c r="I994">
        <v>2003</v>
      </c>
      <c r="J994" t="s">
        <v>22</v>
      </c>
      <c r="K994" t="s">
        <v>71</v>
      </c>
    </row>
    <row r="995" spans="1:11">
      <c r="A995" t="s">
        <v>65</v>
      </c>
      <c r="B995">
        <v>10166</v>
      </c>
      <c r="C995">
        <v>43</v>
      </c>
      <c r="D995" s="21">
        <v>100</v>
      </c>
      <c r="E995" s="22">
        <v>37915</v>
      </c>
      <c r="F995" t="s">
        <v>13</v>
      </c>
      <c r="G995" t="s">
        <v>202</v>
      </c>
      <c r="H995">
        <v>4</v>
      </c>
      <c r="I995">
        <v>2003</v>
      </c>
      <c r="J995" t="s">
        <v>22</v>
      </c>
      <c r="K995" t="s">
        <v>66</v>
      </c>
    </row>
    <row r="996" spans="1:11">
      <c r="A996" t="s">
        <v>181</v>
      </c>
      <c r="B996">
        <v>10177</v>
      </c>
      <c r="C996">
        <v>23</v>
      </c>
      <c r="D996" s="21">
        <v>100</v>
      </c>
      <c r="E996" s="22">
        <v>37932</v>
      </c>
      <c r="F996" t="s">
        <v>13</v>
      </c>
      <c r="G996" t="s">
        <v>202</v>
      </c>
      <c r="H996">
        <v>4</v>
      </c>
      <c r="I996">
        <v>2003</v>
      </c>
      <c r="J996" t="s">
        <v>22</v>
      </c>
      <c r="K996" t="s">
        <v>182</v>
      </c>
    </row>
    <row r="997" spans="1:11">
      <c r="A997" t="s">
        <v>126</v>
      </c>
      <c r="B997">
        <v>10185</v>
      </c>
      <c r="C997">
        <v>28</v>
      </c>
      <c r="D997" s="21">
        <v>100</v>
      </c>
      <c r="E997" s="22">
        <v>37939</v>
      </c>
      <c r="F997" t="s">
        <v>13</v>
      </c>
      <c r="G997" t="s">
        <v>202</v>
      </c>
      <c r="H997">
        <v>4</v>
      </c>
      <c r="I997">
        <v>2003</v>
      </c>
      <c r="J997" t="s">
        <v>22</v>
      </c>
      <c r="K997" t="s">
        <v>127</v>
      </c>
    </row>
    <row r="998" spans="1:11">
      <c r="A998" t="s">
        <v>93</v>
      </c>
      <c r="B998">
        <v>10196</v>
      </c>
      <c r="C998">
        <v>49</v>
      </c>
      <c r="D998" s="21">
        <v>100</v>
      </c>
      <c r="E998" s="22">
        <v>37951</v>
      </c>
      <c r="F998" t="s">
        <v>13</v>
      </c>
      <c r="G998" t="s">
        <v>202</v>
      </c>
      <c r="H998">
        <v>4</v>
      </c>
      <c r="I998">
        <v>2003</v>
      </c>
      <c r="J998" t="s">
        <v>22</v>
      </c>
      <c r="K998" t="s">
        <v>94</v>
      </c>
    </row>
    <row r="999" spans="1:11">
      <c r="A999" t="s">
        <v>85</v>
      </c>
      <c r="B999">
        <v>10208</v>
      </c>
      <c r="C999">
        <v>24</v>
      </c>
      <c r="D999" s="21">
        <v>100</v>
      </c>
      <c r="E999" s="22">
        <v>37988</v>
      </c>
      <c r="F999" t="s">
        <v>13</v>
      </c>
      <c r="G999" t="s">
        <v>202</v>
      </c>
      <c r="H999">
        <v>1</v>
      </c>
      <c r="I999">
        <v>2004</v>
      </c>
      <c r="J999" t="s">
        <v>15</v>
      </c>
      <c r="K999" t="s">
        <v>86</v>
      </c>
    </row>
    <row r="1000" spans="1:11">
      <c r="A1000" t="s">
        <v>139</v>
      </c>
      <c r="B1000">
        <v>10221</v>
      </c>
      <c r="C1000">
        <v>33</v>
      </c>
      <c r="D1000" s="21">
        <v>100</v>
      </c>
      <c r="E1000" s="22">
        <v>38035</v>
      </c>
      <c r="F1000" t="s">
        <v>13</v>
      </c>
      <c r="G1000" t="s">
        <v>202</v>
      </c>
      <c r="H1000">
        <v>1</v>
      </c>
      <c r="I1000">
        <v>2004</v>
      </c>
      <c r="J1000" t="s">
        <v>22</v>
      </c>
      <c r="K1000" t="s">
        <v>140</v>
      </c>
    </row>
    <row r="1001" spans="1:11">
      <c r="A1001" t="s">
        <v>145</v>
      </c>
      <c r="B1001">
        <v>10232</v>
      </c>
      <c r="C1001">
        <v>22</v>
      </c>
      <c r="D1001" s="21">
        <v>100</v>
      </c>
      <c r="E1001" s="22">
        <v>38066</v>
      </c>
      <c r="F1001" t="s">
        <v>13</v>
      </c>
      <c r="G1001" t="s">
        <v>202</v>
      </c>
      <c r="H1001">
        <v>1</v>
      </c>
      <c r="I1001">
        <v>2004</v>
      </c>
      <c r="J1001" t="s">
        <v>22</v>
      </c>
      <c r="K1001" t="s">
        <v>146</v>
      </c>
    </row>
    <row r="1002" spans="1:11">
      <c r="A1002" t="s">
        <v>12</v>
      </c>
      <c r="B1002">
        <v>10248</v>
      </c>
      <c r="C1002">
        <v>32</v>
      </c>
      <c r="D1002" s="21">
        <v>100</v>
      </c>
      <c r="E1002" s="22">
        <v>38114</v>
      </c>
      <c r="F1002" t="s">
        <v>128</v>
      </c>
      <c r="G1002" t="s">
        <v>202</v>
      </c>
      <c r="H1002">
        <v>2</v>
      </c>
      <c r="I1002">
        <v>2004</v>
      </c>
      <c r="J1002" t="s">
        <v>22</v>
      </c>
      <c r="K1002" t="s">
        <v>16</v>
      </c>
    </row>
    <row r="1003" spans="1:11">
      <c r="A1003" t="s">
        <v>139</v>
      </c>
      <c r="B1003">
        <v>10273</v>
      </c>
      <c r="C1003">
        <v>40</v>
      </c>
      <c r="D1003" s="21">
        <v>100</v>
      </c>
      <c r="E1003" s="22">
        <v>38189</v>
      </c>
      <c r="F1003" t="s">
        <v>13</v>
      </c>
      <c r="G1003" t="s">
        <v>202</v>
      </c>
      <c r="H1003">
        <v>3</v>
      </c>
      <c r="I1003">
        <v>2004</v>
      </c>
      <c r="J1003" t="s">
        <v>22</v>
      </c>
      <c r="K1003" t="s">
        <v>140</v>
      </c>
    </row>
    <row r="1004" spans="1:11">
      <c r="A1004" t="s">
        <v>103</v>
      </c>
      <c r="B1004">
        <v>10282</v>
      </c>
      <c r="C1004">
        <v>43</v>
      </c>
      <c r="D1004" s="21">
        <v>100</v>
      </c>
      <c r="E1004" s="22">
        <v>38219</v>
      </c>
      <c r="F1004" t="s">
        <v>13</v>
      </c>
      <c r="G1004" t="s">
        <v>202</v>
      </c>
      <c r="H1004">
        <v>3</v>
      </c>
      <c r="I1004">
        <v>2004</v>
      </c>
      <c r="J1004" t="s">
        <v>22</v>
      </c>
      <c r="K1004" t="s">
        <v>104</v>
      </c>
    </row>
    <row r="1005" spans="1:11">
      <c r="A1005" t="s">
        <v>97</v>
      </c>
      <c r="B1005">
        <v>10293</v>
      </c>
      <c r="C1005">
        <v>24</v>
      </c>
      <c r="D1005" s="21">
        <v>100</v>
      </c>
      <c r="E1005" s="22">
        <v>38239</v>
      </c>
      <c r="F1005" t="s">
        <v>13</v>
      </c>
      <c r="G1005" t="s">
        <v>202</v>
      </c>
      <c r="H1005">
        <v>3</v>
      </c>
      <c r="I1005">
        <v>2004</v>
      </c>
      <c r="J1005" t="s">
        <v>15</v>
      </c>
      <c r="K1005" t="s">
        <v>98</v>
      </c>
    </row>
    <row r="1006" spans="1:11">
      <c r="A1006" t="s">
        <v>183</v>
      </c>
      <c r="B1006">
        <v>10306</v>
      </c>
      <c r="C1006">
        <v>32</v>
      </c>
      <c r="D1006" s="21">
        <v>100</v>
      </c>
      <c r="E1006" s="22">
        <v>38274</v>
      </c>
      <c r="F1006" t="s">
        <v>13</v>
      </c>
      <c r="G1006" t="s">
        <v>202</v>
      </c>
      <c r="H1006">
        <v>4</v>
      </c>
      <c r="I1006">
        <v>2004</v>
      </c>
      <c r="J1006" t="s">
        <v>22</v>
      </c>
      <c r="K1006" t="s">
        <v>184</v>
      </c>
    </row>
    <row r="1007" spans="1:11">
      <c r="A1007" t="s">
        <v>185</v>
      </c>
      <c r="B1007">
        <v>10314</v>
      </c>
      <c r="C1007">
        <v>20</v>
      </c>
      <c r="D1007" s="21">
        <v>100</v>
      </c>
      <c r="E1007" s="22">
        <v>38282</v>
      </c>
      <c r="F1007" t="s">
        <v>13</v>
      </c>
      <c r="G1007" t="s">
        <v>202</v>
      </c>
      <c r="H1007">
        <v>4</v>
      </c>
      <c r="I1007">
        <v>2004</v>
      </c>
      <c r="J1007" t="s">
        <v>15</v>
      </c>
      <c r="K1007" t="s">
        <v>186</v>
      </c>
    </row>
    <row r="1008" spans="1:11">
      <c r="A1008" t="s">
        <v>56</v>
      </c>
      <c r="B1008">
        <v>10325</v>
      </c>
      <c r="C1008">
        <v>24</v>
      </c>
      <c r="D1008" s="21">
        <v>69.12</v>
      </c>
      <c r="E1008" s="22">
        <v>38296</v>
      </c>
      <c r="F1008" t="s">
        <v>13</v>
      </c>
      <c r="G1008" t="s">
        <v>202</v>
      </c>
      <c r="H1008">
        <v>4</v>
      </c>
      <c r="I1008">
        <v>2004</v>
      </c>
      <c r="J1008" t="s">
        <v>15</v>
      </c>
      <c r="K1008" t="s">
        <v>57</v>
      </c>
    </row>
    <row r="1009" spans="1:11">
      <c r="A1009" t="s">
        <v>152</v>
      </c>
      <c r="B1009">
        <v>10336</v>
      </c>
      <c r="C1009">
        <v>48</v>
      </c>
      <c r="D1009" s="21">
        <v>100</v>
      </c>
      <c r="E1009" s="22">
        <v>38311</v>
      </c>
      <c r="F1009" t="s">
        <v>13</v>
      </c>
      <c r="G1009" t="s">
        <v>202</v>
      </c>
      <c r="H1009">
        <v>4</v>
      </c>
      <c r="I1009">
        <v>2004</v>
      </c>
      <c r="J1009" t="s">
        <v>22</v>
      </c>
      <c r="K1009" t="s">
        <v>153</v>
      </c>
    </row>
    <row r="1010" spans="1:11">
      <c r="A1010" t="s">
        <v>69</v>
      </c>
      <c r="B1010">
        <v>10350</v>
      </c>
      <c r="C1010">
        <v>44</v>
      </c>
      <c r="D1010" s="21">
        <v>100</v>
      </c>
      <c r="E1010" s="22">
        <v>38323</v>
      </c>
      <c r="F1010" t="s">
        <v>13</v>
      </c>
      <c r="G1010" t="s">
        <v>202</v>
      </c>
      <c r="H1010">
        <v>4</v>
      </c>
      <c r="I1010">
        <v>2004</v>
      </c>
      <c r="J1010" t="s">
        <v>22</v>
      </c>
      <c r="K1010" t="s">
        <v>71</v>
      </c>
    </row>
    <row r="1011" spans="1:11">
      <c r="A1011" t="s">
        <v>95</v>
      </c>
      <c r="B1011">
        <v>10372</v>
      </c>
      <c r="C1011">
        <v>28</v>
      </c>
      <c r="D1011" s="21">
        <v>100</v>
      </c>
      <c r="E1011" s="22">
        <v>38378</v>
      </c>
      <c r="F1011" t="s">
        <v>13</v>
      </c>
      <c r="G1011" t="s">
        <v>202</v>
      </c>
      <c r="H1011">
        <v>1</v>
      </c>
      <c r="I1011">
        <v>2005</v>
      </c>
      <c r="J1011" t="s">
        <v>22</v>
      </c>
      <c r="K1011" t="s">
        <v>96</v>
      </c>
    </row>
    <row r="1012" spans="1:11">
      <c r="A1012" t="s">
        <v>69</v>
      </c>
      <c r="B1012">
        <v>10383</v>
      </c>
      <c r="C1012">
        <v>24</v>
      </c>
      <c r="D1012" s="21">
        <v>61.52</v>
      </c>
      <c r="E1012" s="22">
        <v>38405</v>
      </c>
      <c r="F1012" t="s">
        <v>13</v>
      </c>
      <c r="G1012" t="s">
        <v>202</v>
      </c>
      <c r="H1012">
        <v>1</v>
      </c>
      <c r="I1012">
        <v>2005</v>
      </c>
      <c r="J1012" t="s">
        <v>15</v>
      </c>
      <c r="K1012" t="s">
        <v>71</v>
      </c>
    </row>
    <row r="1013" spans="1:11">
      <c r="A1013" t="s">
        <v>103</v>
      </c>
      <c r="B1013">
        <v>10396</v>
      </c>
      <c r="C1013">
        <v>33</v>
      </c>
      <c r="D1013" s="21">
        <v>100</v>
      </c>
      <c r="E1013" s="22">
        <v>38434</v>
      </c>
      <c r="F1013" t="s">
        <v>13</v>
      </c>
      <c r="G1013" t="s">
        <v>202</v>
      </c>
      <c r="H1013">
        <v>1</v>
      </c>
      <c r="I1013">
        <v>2005</v>
      </c>
      <c r="J1013" t="s">
        <v>22</v>
      </c>
      <c r="K1013" t="s">
        <v>104</v>
      </c>
    </row>
    <row r="1014" spans="1:11">
      <c r="A1014" t="s">
        <v>143</v>
      </c>
      <c r="B1014">
        <v>10414</v>
      </c>
      <c r="C1014">
        <v>41</v>
      </c>
      <c r="D1014" s="21">
        <v>100</v>
      </c>
      <c r="E1014" s="22">
        <v>38478</v>
      </c>
      <c r="F1014" t="s">
        <v>151</v>
      </c>
      <c r="G1014" t="s">
        <v>202</v>
      </c>
      <c r="H1014">
        <v>2</v>
      </c>
      <c r="I1014">
        <v>2005</v>
      </c>
      <c r="J1014" t="s">
        <v>22</v>
      </c>
      <c r="K1014" t="s">
        <v>144</v>
      </c>
    </row>
    <row r="1015" spans="1:11">
      <c r="A1015" t="s">
        <v>69</v>
      </c>
      <c r="B1015">
        <v>10104</v>
      </c>
      <c r="C1015">
        <v>23</v>
      </c>
      <c r="D1015" s="21">
        <v>100</v>
      </c>
      <c r="E1015" s="22">
        <v>37652</v>
      </c>
      <c r="F1015" t="s">
        <v>13</v>
      </c>
      <c r="G1015" t="s">
        <v>72</v>
      </c>
      <c r="H1015">
        <v>1</v>
      </c>
      <c r="I1015">
        <v>2003</v>
      </c>
      <c r="J1015" t="s">
        <v>22</v>
      </c>
      <c r="K1015" t="s">
        <v>71</v>
      </c>
    </row>
    <row r="1016" spans="1:11">
      <c r="A1016" t="s">
        <v>116</v>
      </c>
      <c r="B1016">
        <v>10109</v>
      </c>
      <c r="C1016">
        <v>46</v>
      </c>
      <c r="D1016" s="21">
        <v>100</v>
      </c>
      <c r="E1016" s="22">
        <v>37690</v>
      </c>
      <c r="F1016" t="s">
        <v>13</v>
      </c>
      <c r="G1016" t="s">
        <v>72</v>
      </c>
      <c r="H1016">
        <v>1</v>
      </c>
      <c r="I1016">
        <v>2003</v>
      </c>
      <c r="J1016" t="s">
        <v>61</v>
      </c>
      <c r="K1016" t="s">
        <v>117</v>
      </c>
    </row>
    <row r="1017" spans="1:11">
      <c r="A1017" t="s">
        <v>152</v>
      </c>
      <c r="B1017">
        <v>10114</v>
      </c>
      <c r="C1017">
        <v>48</v>
      </c>
      <c r="D1017" s="21">
        <v>100</v>
      </c>
      <c r="E1017" s="22">
        <v>37712</v>
      </c>
      <c r="F1017" t="s">
        <v>13</v>
      </c>
      <c r="G1017" t="s">
        <v>72</v>
      </c>
      <c r="H1017">
        <v>2</v>
      </c>
      <c r="I1017">
        <v>2003</v>
      </c>
      <c r="J1017" t="s">
        <v>61</v>
      </c>
      <c r="K1017" t="s">
        <v>153</v>
      </c>
    </row>
    <row r="1018" spans="1:11">
      <c r="A1018" t="s">
        <v>163</v>
      </c>
      <c r="B1018">
        <v>10122</v>
      </c>
      <c r="C1018">
        <v>25</v>
      </c>
      <c r="D1018" s="21">
        <v>100</v>
      </c>
      <c r="E1018" s="22">
        <v>37749</v>
      </c>
      <c r="F1018" t="s">
        <v>13</v>
      </c>
      <c r="G1018" t="s">
        <v>72</v>
      </c>
      <c r="H1018">
        <v>2</v>
      </c>
      <c r="I1018">
        <v>2003</v>
      </c>
      <c r="J1018" t="s">
        <v>22</v>
      </c>
      <c r="K1018" t="s">
        <v>164</v>
      </c>
    </row>
    <row r="1019" spans="1:11">
      <c r="A1019" t="s">
        <v>177</v>
      </c>
      <c r="B1019">
        <v>10127</v>
      </c>
      <c r="C1019">
        <v>22</v>
      </c>
      <c r="D1019" s="21">
        <v>100</v>
      </c>
      <c r="E1019" s="22">
        <v>37775</v>
      </c>
      <c r="F1019" t="s">
        <v>13</v>
      </c>
      <c r="G1019" t="s">
        <v>72</v>
      </c>
      <c r="H1019">
        <v>2</v>
      </c>
      <c r="I1019">
        <v>2003</v>
      </c>
      <c r="J1019" t="s">
        <v>22</v>
      </c>
      <c r="K1019" t="s">
        <v>178</v>
      </c>
    </row>
    <row r="1020" spans="1:11">
      <c r="A1020" t="s">
        <v>129</v>
      </c>
      <c r="B1020">
        <v>10136</v>
      </c>
      <c r="C1020">
        <v>41</v>
      </c>
      <c r="D1020" s="21">
        <v>100</v>
      </c>
      <c r="E1020" s="22">
        <v>37806</v>
      </c>
      <c r="F1020" t="s">
        <v>13</v>
      </c>
      <c r="G1020" t="s">
        <v>72</v>
      </c>
      <c r="H1020">
        <v>3</v>
      </c>
      <c r="I1020">
        <v>2003</v>
      </c>
      <c r="J1020" t="s">
        <v>61</v>
      </c>
      <c r="K1020" t="s">
        <v>130</v>
      </c>
    </row>
    <row r="1021" spans="1:11">
      <c r="A1021" t="s">
        <v>175</v>
      </c>
      <c r="B1021">
        <v>10141</v>
      </c>
      <c r="C1021">
        <v>34</v>
      </c>
      <c r="D1021" s="21">
        <v>100</v>
      </c>
      <c r="E1021" s="22">
        <v>37834</v>
      </c>
      <c r="F1021" t="s">
        <v>13</v>
      </c>
      <c r="G1021" t="s">
        <v>72</v>
      </c>
      <c r="H1021">
        <v>3</v>
      </c>
      <c r="I1021">
        <v>2003</v>
      </c>
      <c r="J1021" t="s">
        <v>22</v>
      </c>
      <c r="K1021" t="s">
        <v>176</v>
      </c>
    </row>
    <row r="1022" spans="1:11">
      <c r="A1022" t="s">
        <v>109</v>
      </c>
      <c r="B1022">
        <v>10148</v>
      </c>
      <c r="C1022">
        <v>32</v>
      </c>
      <c r="D1022" s="21">
        <v>100</v>
      </c>
      <c r="E1022" s="22">
        <v>37875</v>
      </c>
      <c r="F1022" t="s">
        <v>13</v>
      </c>
      <c r="G1022" t="s">
        <v>72</v>
      </c>
      <c r="H1022">
        <v>3</v>
      </c>
      <c r="I1022">
        <v>2003</v>
      </c>
      <c r="J1022" t="s">
        <v>22</v>
      </c>
      <c r="K1022" t="s">
        <v>110</v>
      </c>
    </row>
    <row r="1023" spans="1:11">
      <c r="A1023" t="s">
        <v>147</v>
      </c>
      <c r="B1023">
        <v>10151</v>
      </c>
      <c r="C1023">
        <v>21</v>
      </c>
      <c r="D1023" s="21">
        <v>100</v>
      </c>
      <c r="E1023" s="22">
        <v>37885</v>
      </c>
      <c r="F1023" t="s">
        <v>13</v>
      </c>
      <c r="G1023" t="s">
        <v>72</v>
      </c>
      <c r="H1023">
        <v>3</v>
      </c>
      <c r="I1023">
        <v>2003</v>
      </c>
      <c r="J1023" t="s">
        <v>22</v>
      </c>
      <c r="K1023" t="s">
        <v>148</v>
      </c>
    </row>
    <row r="1024" spans="1:11">
      <c r="A1024" t="s">
        <v>135</v>
      </c>
      <c r="B1024">
        <v>10160</v>
      </c>
      <c r="C1024">
        <v>20</v>
      </c>
      <c r="D1024" s="21">
        <v>100</v>
      </c>
      <c r="E1024" s="22">
        <v>37905</v>
      </c>
      <c r="F1024" t="s">
        <v>13</v>
      </c>
      <c r="G1024" t="s">
        <v>72</v>
      </c>
      <c r="H1024">
        <v>4</v>
      </c>
      <c r="I1024">
        <v>2003</v>
      </c>
      <c r="J1024" t="s">
        <v>22</v>
      </c>
      <c r="K1024" t="s">
        <v>136</v>
      </c>
    </row>
    <row r="1025" spans="1:11">
      <c r="A1025" t="s">
        <v>77</v>
      </c>
      <c r="B1025">
        <v>10165</v>
      </c>
      <c r="C1025">
        <v>47</v>
      </c>
      <c r="D1025" s="21">
        <v>100</v>
      </c>
      <c r="E1025" s="22">
        <v>37916</v>
      </c>
      <c r="F1025" t="s">
        <v>13</v>
      </c>
      <c r="G1025" t="s">
        <v>72</v>
      </c>
      <c r="H1025">
        <v>4</v>
      </c>
      <c r="I1025">
        <v>2003</v>
      </c>
      <c r="J1025" t="s">
        <v>61</v>
      </c>
      <c r="K1025" t="s">
        <v>78</v>
      </c>
    </row>
    <row r="1026" spans="1:11">
      <c r="A1026" t="s">
        <v>111</v>
      </c>
      <c r="B1026">
        <v>10171</v>
      </c>
      <c r="C1026">
        <v>39</v>
      </c>
      <c r="D1026" s="21">
        <v>100</v>
      </c>
      <c r="E1026" s="22">
        <v>37930</v>
      </c>
      <c r="F1026" t="s">
        <v>13</v>
      </c>
      <c r="G1026" t="s">
        <v>72</v>
      </c>
      <c r="H1026">
        <v>4</v>
      </c>
      <c r="I1026">
        <v>2003</v>
      </c>
      <c r="J1026" t="s">
        <v>22</v>
      </c>
      <c r="K1026" t="s">
        <v>112</v>
      </c>
    </row>
    <row r="1027" spans="1:11">
      <c r="A1027" t="s">
        <v>124</v>
      </c>
      <c r="B1027">
        <v>10175</v>
      </c>
      <c r="C1027">
        <v>29</v>
      </c>
      <c r="D1027" s="21">
        <v>100</v>
      </c>
      <c r="E1027" s="22">
        <v>37931</v>
      </c>
      <c r="F1027" t="s">
        <v>13</v>
      </c>
      <c r="G1027" t="s">
        <v>72</v>
      </c>
      <c r="H1027">
        <v>4</v>
      </c>
      <c r="I1027">
        <v>2003</v>
      </c>
      <c r="J1027" t="s">
        <v>22</v>
      </c>
      <c r="K1027" t="s">
        <v>125</v>
      </c>
    </row>
    <row r="1028" spans="1:11">
      <c r="A1028" t="s">
        <v>36</v>
      </c>
      <c r="B1028">
        <v>10181</v>
      </c>
      <c r="C1028">
        <v>45</v>
      </c>
      <c r="D1028" s="21">
        <v>100</v>
      </c>
      <c r="E1028" s="22">
        <v>37937</v>
      </c>
      <c r="F1028" t="s">
        <v>13</v>
      </c>
      <c r="G1028" t="s">
        <v>72</v>
      </c>
      <c r="H1028">
        <v>4</v>
      </c>
      <c r="I1028">
        <v>2003</v>
      </c>
      <c r="J1028" t="s">
        <v>22</v>
      </c>
      <c r="K1028" t="s">
        <v>37</v>
      </c>
    </row>
    <row r="1029" spans="1:11">
      <c r="A1029" t="s">
        <v>192</v>
      </c>
      <c r="B1029">
        <v>10184</v>
      </c>
      <c r="C1029">
        <v>28</v>
      </c>
      <c r="D1029" s="21">
        <v>100</v>
      </c>
      <c r="E1029" s="22">
        <v>37939</v>
      </c>
      <c r="F1029" t="s">
        <v>13</v>
      </c>
      <c r="G1029" t="s">
        <v>72</v>
      </c>
      <c r="H1029">
        <v>4</v>
      </c>
      <c r="I1029">
        <v>2003</v>
      </c>
      <c r="J1029" t="s">
        <v>22</v>
      </c>
      <c r="K1029" t="s">
        <v>193</v>
      </c>
    </row>
    <row r="1030" spans="1:11">
      <c r="A1030" t="s">
        <v>105</v>
      </c>
      <c r="B1030">
        <v>10192</v>
      </c>
      <c r="C1030">
        <v>26</v>
      </c>
      <c r="D1030" s="21">
        <v>100</v>
      </c>
      <c r="E1030" s="22">
        <v>37945</v>
      </c>
      <c r="F1030" t="s">
        <v>13</v>
      </c>
      <c r="G1030" t="s">
        <v>72</v>
      </c>
      <c r="H1030">
        <v>4</v>
      </c>
      <c r="I1030">
        <v>2003</v>
      </c>
      <c r="J1030" t="s">
        <v>22</v>
      </c>
      <c r="K1030" t="s">
        <v>106</v>
      </c>
    </row>
    <row r="1031" spans="1:11">
      <c r="A1031" t="s">
        <v>120</v>
      </c>
      <c r="B1031">
        <v>10195</v>
      </c>
      <c r="C1031">
        <v>50</v>
      </c>
      <c r="D1031" s="21">
        <v>100</v>
      </c>
      <c r="E1031" s="22">
        <v>37950</v>
      </c>
      <c r="F1031" t="s">
        <v>13</v>
      </c>
      <c r="G1031" t="s">
        <v>72</v>
      </c>
      <c r="H1031">
        <v>4</v>
      </c>
      <c r="I1031">
        <v>2003</v>
      </c>
      <c r="J1031" t="s">
        <v>61</v>
      </c>
      <c r="K1031" t="s">
        <v>121</v>
      </c>
    </row>
    <row r="1032" spans="1:11">
      <c r="A1032" t="s">
        <v>69</v>
      </c>
      <c r="B1032">
        <v>10203</v>
      </c>
      <c r="C1032">
        <v>48</v>
      </c>
      <c r="D1032" s="21">
        <v>100</v>
      </c>
      <c r="E1032" s="22">
        <v>37957</v>
      </c>
      <c r="F1032" t="s">
        <v>13</v>
      </c>
      <c r="G1032" t="s">
        <v>72</v>
      </c>
      <c r="H1032">
        <v>4</v>
      </c>
      <c r="I1032">
        <v>2003</v>
      </c>
      <c r="J1032" t="s">
        <v>61</v>
      </c>
      <c r="K1032" t="s">
        <v>71</v>
      </c>
    </row>
    <row r="1033" spans="1:11">
      <c r="A1033" t="s">
        <v>157</v>
      </c>
      <c r="B1033">
        <v>10207</v>
      </c>
      <c r="C1033">
        <v>25</v>
      </c>
      <c r="D1033" s="21">
        <v>100</v>
      </c>
      <c r="E1033" s="22">
        <v>37964</v>
      </c>
      <c r="F1033" t="s">
        <v>13</v>
      </c>
      <c r="G1033" t="s">
        <v>72</v>
      </c>
      <c r="H1033">
        <v>4</v>
      </c>
      <c r="I1033">
        <v>2003</v>
      </c>
      <c r="J1033" t="s">
        <v>22</v>
      </c>
      <c r="K1033" t="s">
        <v>158</v>
      </c>
    </row>
    <row r="1034" spans="1:11">
      <c r="A1034" t="s">
        <v>69</v>
      </c>
      <c r="B1034">
        <v>10212</v>
      </c>
      <c r="C1034">
        <v>40</v>
      </c>
      <c r="D1034" s="21">
        <v>100</v>
      </c>
      <c r="E1034" s="22">
        <v>38002</v>
      </c>
      <c r="F1034" t="s">
        <v>13</v>
      </c>
      <c r="G1034" t="s">
        <v>72</v>
      </c>
      <c r="H1034">
        <v>1</v>
      </c>
      <c r="I1034">
        <v>2004</v>
      </c>
      <c r="J1034" t="s">
        <v>22</v>
      </c>
      <c r="K1034" t="s">
        <v>71</v>
      </c>
    </row>
    <row r="1035" spans="1:11">
      <c r="A1035" t="s">
        <v>167</v>
      </c>
      <c r="B1035">
        <v>10225</v>
      </c>
      <c r="C1035">
        <v>43</v>
      </c>
      <c r="D1035" s="21">
        <v>100</v>
      </c>
      <c r="E1035" s="22">
        <v>38039</v>
      </c>
      <c r="F1035" t="s">
        <v>13</v>
      </c>
      <c r="G1035" t="s">
        <v>72</v>
      </c>
      <c r="H1035">
        <v>1</v>
      </c>
      <c r="I1035">
        <v>2004</v>
      </c>
      <c r="J1035" t="s">
        <v>22</v>
      </c>
      <c r="K1035" t="s">
        <v>168</v>
      </c>
    </row>
    <row r="1036" spans="1:11">
      <c r="A1036" t="s">
        <v>103</v>
      </c>
      <c r="B1036">
        <v>10229</v>
      </c>
      <c r="C1036">
        <v>22</v>
      </c>
      <c r="D1036" s="21">
        <v>100</v>
      </c>
      <c r="E1036" s="22">
        <v>38057</v>
      </c>
      <c r="F1036" t="s">
        <v>13</v>
      </c>
      <c r="G1036" t="s">
        <v>72</v>
      </c>
      <c r="H1036">
        <v>1</v>
      </c>
      <c r="I1036">
        <v>2004</v>
      </c>
      <c r="J1036" t="s">
        <v>22</v>
      </c>
      <c r="K1036" t="s">
        <v>104</v>
      </c>
    </row>
    <row r="1037" spans="1:11">
      <c r="A1037" t="s">
        <v>147</v>
      </c>
      <c r="B1037">
        <v>10239</v>
      </c>
      <c r="C1037">
        <v>47</v>
      </c>
      <c r="D1037" s="21">
        <v>100</v>
      </c>
      <c r="E1037" s="22">
        <v>38089</v>
      </c>
      <c r="F1037" t="s">
        <v>13</v>
      </c>
      <c r="G1037" t="s">
        <v>72</v>
      </c>
      <c r="H1037">
        <v>2</v>
      </c>
      <c r="I1037">
        <v>2004</v>
      </c>
      <c r="J1037" t="s">
        <v>61</v>
      </c>
      <c r="K1037" t="s">
        <v>148</v>
      </c>
    </row>
    <row r="1038" spans="1:11">
      <c r="A1038" t="s">
        <v>69</v>
      </c>
      <c r="B1038">
        <v>10246</v>
      </c>
      <c r="C1038">
        <v>36</v>
      </c>
      <c r="D1038" s="21">
        <v>100</v>
      </c>
      <c r="E1038" s="22">
        <v>38112</v>
      </c>
      <c r="F1038" t="s">
        <v>13</v>
      </c>
      <c r="G1038" t="s">
        <v>72</v>
      </c>
      <c r="H1038">
        <v>2</v>
      </c>
      <c r="I1038">
        <v>2004</v>
      </c>
      <c r="J1038" t="s">
        <v>61</v>
      </c>
      <c r="K1038" t="s">
        <v>71</v>
      </c>
    </row>
    <row r="1039" spans="1:11">
      <c r="A1039" t="s">
        <v>67</v>
      </c>
      <c r="B1039">
        <v>10253</v>
      </c>
      <c r="C1039">
        <v>40</v>
      </c>
      <c r="D1039" s="21">
        <v>100</v>
      </c>
      <c r="E1039" s="22">
        <v>38139</v>
      </c>
      <c r="F1039" t="s">
        <v>128</v>
      </c>
      <c r="G1039" t="s">
        <v>72</v>
      </c>
      <c r="H1039">
        <v>2</v>
      </c>
      <c r="I1039">
        <v>2004</v>
      </c>
      <c r="J1039" t="s">
        <v>22</v>
      </c>
      <c r="K1039" t="s">
        <v>68</v>
      </c>
    </row>
    <row r="1040" spans="1:11">
      <c r="A1040" t="s">
        <v>159</v>
      </c>
      <c r="B1040">
        <v>10259</v>
      </c>
      <c r="C1040">
        <v>27</v>
      </c>
      <c r="D1040" s="21">
        <v>100</v>
      </c>
      <c r="E1040" s="22">
        <v>38153</v>
      </c>
      <c r="F1040" t="s">
        <v>13</v>
      </c>
      <c r="G1040" t="s">
        <v>72</v>
      </c>
      <c r="H1040">
        <v>2</v>
      </c>
      <c r="I1040">
        <v>2004</v>
      </c>
      <c r="J1040" t="s">
        <v>22</v>
      </c>
      <c r="K1040" t="s">
        <v>160</v>
      </c>
    </row>
    <row r="1041" spans="1:11">
      <c r="A1041" t="s">
        <v>169</v>
      </c>
      <c r="B1041">
        <v>10266</v>
      </c>
      <c r="C1041">
        <v>29</v>
      </c>
      <c r="D1041" s="21">
        <v>100</v>
      </c>
      <c r="E1041" s="22">
        <v>38174</v>
      </c>
      <c r="F1041" t="s">
        <v>13</v>
      </c>
      <c r="G1041" t="s">
        <v>72</v>
      </c>
      <c r="H1041">
        <v>3</v>
      </c>
      <c r="I1041">
        <v>2004</v>
      </c>
      <c r="J1041" t="s">
        <v>22</v>
      </c>
      <c r="K1041" t="s">
        <v>170</v>
      </c>
    </row>
    <row r="1042" spans="1:11">
      <c r="A1042" t="s">
        <v>103</v>
      </c>
      <c r="B1042">
        <v>10271</v>
      </c>
      <c r="C1042">
        <v>20</v>
      </c>
      <c r="D1042" s="21">
        <v>100</v>
      </c>
      <c r="E1042" s="22">
        <v>38188</v>
      </c>
      <c r="F1042" t="s">
        <v>13</v>
      </c>
      <c r="G1042" t="s">
        <v>72</v>
      </c>
      <c r="H1042">
        <v>3</v>
      </c>
      <c r="I1042">
        <v>2004</v>
      </c>
      <c r="J1042" t="s">
        <v>22</v>
      </c>
      <c r="K1042" t="s">
        <v>104</v>
      </c>
    </row>
    <row r="1043" spans="1:11">
      <c r="A1043" t="s">
        <v>198</v>
      </c>
      <c r="B1043">
        <v>10278</v>
      </c>
      <c r="C1043">
        <v>42</v>
      </c>
      <c r="D1043" s="21">
        <v>100</v>
      </c>
      <c r="E1043" s="22">
        <v>38205</v>
      </c>
      <c r="F1043" t="s">
        <v>13</v>
      </c>
      <c r="G1043" t="s">
        <v>72</v>
      </c>
      <c r="H1043">
        <v>3</v>
      </c>
      <c r="I1043">
        <v>2004</v>
      </c>
      <c r="J1043" t="s">
        <v>22</v>
      </c>
      <c r="K1043" t="s">
        <v>199</v>
      </c>
    </row>
    <row r="1044" spans="1:11">
      <c r="A1044" t="s">
        <v>58</v>
      </c>
      <c r="B1044">
        <v>10281</v>
      </c>
      <c r="C1044">
        <v>25</v>
      </c>
      <c r="D1044" s="21">
        <v>100</v>
      </c>
      <c r="E1044" s="22">
        <v>38218</v>
      </c>
      <c r="F1044" t="s">
        <v>13</v>
      </c>
      <c r="G1044" t="s">
        <v>72</v>
      </c>
      <c r="H1044">
        <v>3</v>
      </c>
      <c r="I1044">
        <v>2004</v>
      </c>
      <c r="J1044" t="s">
        <v>22</v>
      </c>
      <c r="K1044" t="s">
        <v>59</v>
      </c>
    </row>
    <row r="1045" spans="1:11">
      <c r="A1045" t="s">
        <v>167</v>
      </c>
      <c r="B1045">
        <v>10287</v>
      </c>
      <c r="C1045">
        <v>36</v>
      </c>
      <c r="D1045" s="21">
        <v>100</v>
      </c>
      <c r="E1045" s="22">
        <v>38229</v>
      </c>
      <c r="F1045" t="s">
        <v>13</v>
      </c>
      <c r="G1045" t="s">
        <v>72</v>
      </c>
      <c r="H1045">
        <v>3</v>
      </c>
      <c r="I1045">
        <v>2004</v>
      </c>
      <c r="J1045" t="s">
        <v>22</v>
      </c>
      <c r="K1045" t="s">
        <v>168</v>
      </c>
    </row>
    <row r="1046" spans="1:11">
      <c r="A1046" t="s">
        <v>12</v>
      </c>
      <c r="B1046">
        <v>10292</v>
      </c>
      <c r="C1046">
        <v>21</v>
      </c>
      <c r="D1046" s="21">
        <v>100</v>
      </c>
      <c r="E1046" s="22">
        <v>38238</v>
      </c>
      <c r="F1046" t="s">
        <v>13</v>
      </c>
      <c r="G1046" t="s">
        <v>72</v>
      </c>
      <c r="H1046">
        <v>3</v>
      </c>
      <c r="I1046">
        <v>2004</v>
      </c>
      <c r="J1046" t="s">
        <v>15</v>
      </c>
      <c r="K1046" t="s">
        <v>16</v>
      </c>
    </row>
    <row r="1047" spans="1:11">
      <c r="A1047" t="s">
        <v>200</v>
      </c>
      <c r="B1047">
        <v>10301</v>
      </c>
      <c r="C1047">
        <v>23</v>
      </c>
      <c r="D1047" s="21">
        <v>100</v>
      </c>
      <c r="E1047" s="22">
        <v>37899</v>
      </c>
      <c r="F1047" t="s">
        <v>13</v>
      </c>
      <c r="G1047" t="s">
        <v>72</v>
      </c>
      <c r="H1047">
        <v>4</v>
      </c>
      <c r="I1047">
        <v>2003</v>
      </c>
      <c r="J1047" t="s">
        <v>22</v>
      </c>
      <c r="K1047" t="s">
        <v>201</v>
      </c>
    </row>
    <row r="1048" spans="1:11">
      <c r="A1048" t="s">
        <v>52</v>
      </c>
      <c r="B1048">
        <v>10305</v>
      </c>
      <c r="C1048">
        <v>37</v>
      </c>
      <c r="D1048" s="21">
        <v>100</v>
      </c>
      <c r="E1048" s="22">
        <v>38273</v>
      </c>
      <c r="F1048" t="s">
        <v>13</v>
      </c>
      <c r="G1048" t="s">
        <v>72</v>
      </c>
      <c r="H1048">
        <v>4</v>
      </c>
      <c r="I1048">
        <v>2004</v>
      </c>
      <c r="J1048" t="s">
        <v>61</v>
      </c>
      <c r="K1048" t="s">
        <v>53</v>
      </c>
    </row>
    <row r="1049" spans="1:11">
      <c r="A1049" t="s">
        <v>165</v>
      </c>
      <c r="B1049">
        <v>10310</v>
      </c>
      <c r="C1049">
        <v>48</v>
      </c>
      <c r="D1049" s="21">
        <v>100</v>
      </c>
      <c r="E1049" s="22">
        <v>38276</v>
      </c>
      <c r="F1049" t="s">
        <v>13</v>
      </c>
      <c r="G1049" t="s">
        <v>72</v>
      </c>
      <c r="H1049">
        <v>4</v>
      </c>
      <c r="I1049">
        <v>2004</v>
      </c>
      <c r="J1049" t="s">
        <v>61</v>
      </c>
      <c r="K1049" t="s">
        <v>166</v>
      </c>
    </row>
    <row r="1050" spans="1:11">
      <c r="A1050" t="s">
        <v>87</v>
      </c>
      <c r="B1050">
        <v>10313</v>
      </c>
      <c r="C1050">
        <v>25</v>
      </c>
      <c r="D1050" s="21">
        <v>100</v>
      </c>
      <c r="E1050" s="22">
        <v>38282</v>
      </c>
      <c r="F1050" t="s">
        <v>13</v>
      </c>
      <c r="G1050" t="s">
        <v>72</v>
      </c>
      <c r="H1050">
        <v>4</v>
      </c>
      <c r="I1050">
        <v>2004</v>
      </c>
      <c r="J1050" t="s">
        <v>22</v>
      </c>
      <c r="K1050" t="s">
        <v>88</v>
      </c>
    </row>
    <row r="1051" spans="1:11">
      <c r="A1051" t="s">
        <v>65</v>
      </c>
      <c r="B1051">
        <v>10321</v>
      </c>
      <c r="C1051">
        <v>33</v>
      </c>
      <c r="D1051" s="21">
        <v>100</v>
      </c>
      <c r="E1051" s="22">
        <v>38295</v>
      </c>
      <c r="F1051" t="s">
        <v>13</v>
      </c>
      <c r="G1051" t="s">
        <v>72</v>
      </c>
      <c r="H1051">
        <v>4</v>
      </c>
      <c r="I1051">
        <v>2004</v>
      </c>
      <c r="J1051" t="s">
        <v>22</v>
      </c>
      <c r="K1051" t="s">
        <v>66</v>
      </c>
    </row>
    <row r="1052" spans="1:11">
      <c r="A1052" t="s">
        <v>44</v>
      </c>
      <c r="B1052">
        <v>10324</v>
      </c>
      <c r="C1052">
        <v>27</v>
      </c>
      <c r="D1052" s="21">
        <v>100</v>
      </c>
      <c r="E1052" s="22">
        <v>38296</v>
      </c>
      <c r="F1052" t="s">
        <v>13</v>
      </c>
      <c r="G1052" t="s">
        <v>72</v>
      </c>
      <c r="H1052">
        <v>4</v>
      </c>
      <c r="I1052">
        <v>2004</v>
      </c>
      <c r="J1052" t="s">
        <v>22</v>
      </c>
      <c r="K1052" t="s">
        <v>45</v>
      </c>
    </row>
    <row r="1053" spans="1:11">
      <c r="A1053" t="s">
        <v>116</v>
      </c>
      <c r="B1053">
        <v>10331</v>
      </c>
      <c r="C1053">
        <v>27</v>
      </c>
      <c r="D1053" s="21">
        <v>100</v>
      </c>
      <c r="E1053" s="22">
        <v>38308</v>
      </c>
      <c r="F1053" t="s">
        <v>13</v>
      </c>
      <c r="G1053" t="s">
        <v>72</v>
      </c>
      <c r="H1053">
        <v>4</v>
      </c>
      <c r="I1053">
        <v>2004</v>
      </c>
      <c r="J1053" t="s">
        <v>22</v>
      </c>
      <c r="K1053" t="s">
        <v>117</v>
      </c>
    </row>
    <row r="1054" spans="1:11">
      <c r="A1054" t="s">
        <v>73</v>
      </c>
      <c r="B1054">
        <v>10334</v>
      </c>
      <c r="C1054">
        <v>20</v>
      </c>
      <c r="D1054" s="21">
        <v>100</v>
      </c>
      <c r="E1054" s="22">
        <v>38310</v>
      </c>
      <c r="F1054" t="s">
        <v>151</v>
      </c>
      <c r="G1054" t="s">
        <v>72</v>
      </c>
      <c r="H1054">
        <v>4</v>
      </c>
      <c r="I1054">
        <v>2004</v>
      </c>
      <c r="J1054" t="s">
        <v>15</v>
      </c>
      <c r="K1054" t="s">
        <v>74</v>
      </c>
    </row>
    <row r="1055" spans="1:11">
      <c r="A1055" t="s">
        <v>42</v>
      </c>
      <c r="B1055">
        <v>10342</v>
      </c>
      <c r="C1055">
        <v>30</v>
      </c>
      <c r="D1055" s="21">
        <v>100</v>
      </c>
      <c r="E1055" s="22">
        <v>38315</v>
      </c>
      <c r="F1055" t="s">
        <v>13</v>
      </c>
      <c r="G1055" t="s">
        <v>72</v>
      </c>
      <c r="H1055">
        <v>4</v>
      </c>
      <c r="I1055">
        <v>2004</v>
      </c>
      <c r="J1055" t="s">
        <v>22</v>
      </c>
      <c r="K1055" t="s">
        <v>43</v>
      </c>
    </row>
    <row r="1056" spans="1:11">
      <c r="A1056" t="s">
        <v>177</v>
      </c>
      <c r="B1056">
        <v>10349</v>
      </c>
      <c r="C1056">
        <v>48</v>
      </c>
      <c r="D1056" s="21">
        <v>100</v>
      </c>
      <c r="E1056" s="22">
        <v>38322</v>
      </c>
      <c r="F1056" t="s">
        <v>13</v>
      </c>
      <c r="G1056" t="s">
        <v>72</v>
      </c>
      <c r="H1056">
        <v>4</v>
      </c>
      <c r="I1056">
        <v>2004</v>
      </c>
      <c r="J1056" t="s">
        <v>61</v>
      </c>
      <c r="K1056" t="s">
        <v>178</v>
      </c>
    </row>
    <row r="1057" spans="1:11">
      <c r="A1057" t="s">
        <v>69</v>
      </c>
      <c r="B1057">
        <v>10358</v>
      </c>
      <c r="C1057">
        <v>32</v>
      </c>
      <c r="D1057" s="21">
        <v>93.49</v>
      </c>
      <c r="E1057" s="22">
        <v>38331</v>
      </c>
      <c r="F1057" t="s">
        <v>13</v>
      </c>
      <c r="G1057" t="s">
        <v>72</v>
      </c>
      <c r="H1057">
        <v>4</v>
      </c>
      <c r="I1057">
        <v>2004</v>
      </c>
      <c r="J1057" t="s">
        <v>15</v>
      </c>
      <c r="K1057" t="s">
        <v>71</v>
      </c>
    </row>
    <row r="1058" spans="1:11">
      <c r="A1058" t="s">
        <v>212</v>
      </c>
      <c r="B1058">
        <v>10366</v>
      </c>
      <c r="C1058">
        <v>34</v>
      </c>
      <c r="D1058" s="21">
        <v>100</v>
      </c>
      <c r="E1058" s="22">
        <v>38362</v>
      </c>
      <c r="F1058" t="s">
        <v>13</v>
      </c>
      <c r="G1058" t="s">
        <v>72</v>
      </c>
      <c r="H1058">
        <v>1</v>
      </c>
      <c r="I1058">
        <v>2005</v>
      </c>
      <c r="J1058" t="s">
        <v>22</v>
      </c>
      <c r="K1058" t="s">
        <v>213</v>
      </c>
    </row>
    <row r="1059" spans="1:11">
      <c r="A1059" t="s">
        <v>109</v>
      </c>
      <c r="B1059">
        <v>10370</v>
      </c>
      <c r="C1059">
        <v>27</v>
      </c>
      <c r="D1059" s="21">
        <v>56.85</v>
      </c>
      <c r="E1059" s="22">
        <v>38372</v>
      </c>
      <c r="F1059" t="s">
        <v>13</v>
      </c>
      <c r="G1059" t="s">
        <v>72</v>
      </c>
      <c r="H1059">
        <v>1</v>
      </c>
      <c r="I1059">
        <v>2005</v>
      </c>
      <c r="J1059" t="s">
        <v>15</v>
      </c>
      <c r="K1059" t="s">
        <v>110</v>
      </c>
    </row>
    <row r="1060" spans="1:11">
      <c r="A1060" t="s">
        <v>54</v>
      </c>
      <c r="B1060">
        <v>10377</v>
      </c>
      <c r="C1060">
        <v>39</v>
      </c>
      <c r="D1060" s="21">
        <v>100</v>
      </c>
      <c r="E1060" s="22">
        <v>38392</v>
      </c>
      <c r="F1060" t="s">
        <v>13</v>
      </c>
      <c r="G1060" t="s">
        <v>72</v>
      </c>
      <c r="H1060">
        <v>1</v>
      </c>
      <c r="I1060">
        <v>2005</v>
      </c>
      <c r="J1060" t="s">
        <v>61</v>
      </c>
      <c r="K1060" t="s">
        <v>55</v>
      </c>
    </row>
    <row r="1061" spans="1:11">
      <c r="A1061" t="s">
        <v>69</v>
      </c>
      <c r="B1061">
        <v>10383</v>
      </c>
      <c r="C1061">
        <v>47</v>
      </c>
      <c r="D1061" s="21">
        <v>100</v>
      </c>
      <c r="E1061" s="22">
        <v>38405</v>
      </c>
      <c r="F1061" t="s">
        <v>13</v>
      </c>
      <c r="G1061" t="s">
        <v>72</v>
      </c>
      <c r="H1061">
        <v>1</v>
      </c>
      <c r="I1061">
        <v>2005</v>
      </c>
      <c r="J1061" t="s">
        <v>22</v>
      </c>
      <c r="K1061" t="s">
        <v>71</v>
      </c>
    </row>
    <row r="1062" spans="1:11">
      <c r="A1062" t="s">
        <v>69</v>
      </c>
      <c r="B1062">
        <v>10394</v>
      </c>
      <c r="C1062">
        <v>22</v>
      </c>
      <c r="D1062" s="21">
        <v>100</v>
      </c>
      <c r="E1062" s="22">
        <v>38426</v>
      </c>
      <c r="F1062" t="s">
        <v>13</v>
      </c>
      <c r="G1062" t="s">
        <v>72</v>
      </c>
      <c r="H1062">
        <v>1</v>
      </c>
      <c r="I1062">
        <v>2005</v>
      </c>
      <c r="J1062" t="s">
        <v>22</v>
      </c>
      <c r="K1062" t="s">
        <v>71</v>
      </c>
    </row>
    <row r="1063" spans="1:11">
      <c r="A1063" t="s">
        <v>196</v>
      </c>
      <c r="B1063">
        <v>10405</v>
      </c>
      <c r="C1063">
        <v>55</v>
      </c>
      <c r="D1063" s="21">
        <v>100</v>
      </c>
      <c r="E1063" s="22">
        <v>38456</v>
      </c>
      <c r="F1063" t="s">
        <v>13</v>
      </c>
      <c r="G1063" t="s">
        <v>72</v>
      </c>
      <c r="H1063">
        <v>2</v>
      </c>
      <c r="I1063">
        <v>2005</v>
      </c>
      <c r="J1063" t="s">
        <v>61</v>
      </c>
      <c r="K1063" t="s">
        <v>197</v>
      </c>
    </row>
    <row r="1064" spans="1:11">
      <c r="A1064" t="s">
        <v>69</v>
      </c>
      <c r="B1064">
        <v>10412</v>
      </c>
      <c r="C1064">
        <v>60</v>
      </c>
      <c r="D1064" s="21">
        <v>100</v>
      </c>
      <c r="E1064" s="22">
        <v>38475</v>
      </c>
      <c r="F1064" t="s">
        <v>13</v>
      </c>
      <c r="G1064" t="s">
        <v>72</v>
      </c>
      <c r="H1064">
        <v>2</v>
      </c>
      <c r="I1064">
        <v>2005</v>
      </c>
      <c r="J1064" t="s">
        <v>61</v>
      </c>
      <c r="K1064" t="s">
        <v>71</v>
      </c>
    </row>
    <row r="1065" spans="1:11">
      <c r="A1065" t="s">
        <v>60</v>
      </c>
      <c r="B1065">
        <v>10419</v>
      </c>
      <c r="C1065">
        <v>35</v>
      </c>
      <c r="D1065" s="21">
        <v>100</v>
      </c>
      <c r="E1065" s="22">
        <v>38489</v>
      </c>
      <c r="F1065" t="s">
        <v>13</v>
      </c>
      <c r="G1065" t="s">
        <v>72</v>
      </c>
      <c r="H1065">
        <v>2</v>
      </c>
      <c r="I1065">
        <v>2005</v>
      </c>
      <c r="J1065" t="s">
        <v>22</v>
      </c>
      <c r="K1065" t="s">
        <v>62</v>
      </c>
    </row>
    <row r="1066" spans="1:11">
      <c r="A1066" t="s">
        <v>50</v>
      </c>
      <c r="B1066">
        <v>10425</v>
      </c>
      <c r="C1066">
        <v>28</v>
      </c>
      <c r="D1066" s="21">
        <v>100</v>
      </c>
      <c r="E1066" s="22">
        <v>38503</v>
      </c>
      <c r="F1066" t="s">
        <v>113</v>
      </c>
      <c r="G1066" t="s">
        <v>72</v>
      </c>
      <c r="H1066">
        <v>2</v>
      </c>
      <c r="I1066">
        <v>2005</v>
      </c>
      <c r="J1066" t="s">
        <v>22</v>
      </c>
      <c r="K1066" t="s">
        <v>51</v>
      </c>
    </row>
    <row r="1067" spans="1:11">
      <c r="A1067" t="s">
        <v>122</v>
      </c>
      <c r="B1067">
        <v>10105</v>
      </c>
      <c r="C1067">
        <v>38</v>
      </c>
      <c r="D1067" s="21">
        <v>100</v>
      </c>
      <c r="E1067" s="22">
        <v>37663</v>
      </c>
      <c r="F1067" t="s">
        <v>13</v>
      </c>
      <c r="G1067" t="s">
        <v>217</v>
      </c>
      <c r="H1067">
        <v>1</v>
      </c>
      <c r="I1067">
        <v>2003</v>
      </c>
      <c r="J1067" t="s">
        <v>22</v>
      </c>
      <c r="K1067" t="s">
        <v>123</v>
      </c>
    </row>
    <row r="1068" spans="1:11">
      <c r="A1068" t="s">
        <v>77</v>
      </c>
      <c r="B1068">
        <v>10117</v>
      </c>
      <c r="C1068">
        <v>21</v>
      </c>
      <c r="D1068" s="21">
        <v>95.8</v>
      </c>
      <c r="E1068" s="22">
        <v>37727</v>
      </c>
      <c r="F1068" t="s">
        <v>13</v>
      </c>
      <c r="G1068" t="s">
        <v>217</v>
      </c>
      <c r="H1068">
        <v>2</v>
      </c>
      <c r="I1068">
        <v>2003</v>
      </c>
      <c r="J1068" t="s">
        <v>15</v>
      </c>
      <c r="K1068" t="s">
        <v>78</v>
      </c>
    </row>
    <row r="1069" spans="1:11">
      <c r="A1069" t="s">
        <v>69</v>
      </c>
      <c r="B1069">
        <v>10128</v>
      </c>
      <c r="C1069">
        <v>41</v>
      </c>
      <c r="D1069" s="21">
        <v>100</v>
      </c>
      <c r="E1069" s="22">
        <v>37778</v>
      </c>
      <c r="F1069" t="s">
        <v>13</v>
      </c>
      <c r="G1069" t="s">
        <v>217</v>
      </c>
      <c r="H1069">
        <v>2</v>
      </c>
      <c r="I1069">
        <v>2003</v>
      </c>
      <c r="J1069" t="s">
        <v>22</v>
      </c>
      <c r="K1069" t="s">
        <v>71</v>
      </c>
    </row>
    <row r="1070" spans="1:11">
      <c r="A1070" t="s">
        <v>103</v>
      </c>
      <c r="B1070">
        <v>10142</v>
      </c>
      <c r="C1070">
        <v>22</v>
      </c>
      <c r="D1070" s="21">
        <v>97.81</v>
      </c>
      <c r="E1070" s="22">
        <v>37841</v>
      </c>
      <c r="F1070" t="s">
        <v>13</v>
      </c>
      <c r="G1070" t="s">
        <v>217</v>
      </c>
      <c r="H1070">
        <v>3</v>
      </c>
      <c r="I1070">
        <v>2003</v>
      </c>
      <c r="J1070" t="s">
        <v>15</v>
      </c>
      <c r="K1070" t="s">
        <v>104</v>
      </c>
    </row>
    <row r="1071" spans="1:11">
      <c r="A1071" t="s">
        <v>69</v>
      </c>
      <c r="B1071">
        <v>10153</v>
      </c>
      <c r="C1071">
        <v>29</v>
      </c>
      <c r="D1071" s="21">
        <v>88.74</v>
      </c>
      <c r="E1071" s="22">
        <v>37892</v>
      </c>
      <c r="F1071" t="s">
        <v>13</v>
      </c>
      <c r="G1071" t="s">
        <v>217</v>
      </c>
      <c r="H1071">
        <v>3</v>
      </c>
      <c r="I1071">
        <v>2003</v>
      </c>
      <c r="J1071" t="s">
        <v>15</v>
      </c>
      <c r="K1071" t="s">
        <v>71</v>
      </c>
    </row>
    <row r="1072" spans="1:11">
      <c r="A1072" t="s">
        <v>77</v>
      </c>
      <c r="B1072">
        <v>10165</v>
      </c>
      <c r="C1072">
        <v>50</v>
      </c>
      <c r="D1072" s="21">
        <v>100</v>
      </c>
      <c r="E1072" s="22">
        <v>37916</v>
      </c>
      <c r="F1072" t="s">
        <v>13</v>
      </c>
      <c r="G1072" t="s">
        <v>217</v>
      </c>
      <c r="H1072">
        <v>4</v>
      </c>
      <c r="I1072">
        <v>2003</v>
      </c>
      <c r="J1072" t="s">
        <v>22</v>
      </c>
      <c r="K1072" t="s">
        <v>78</v>
      </c>
    </row>
    <row r="1073" spans="1:11">
      <c r="A1073" t="s">
        <v>181</v>
      </c>
      <c r="B1073">
        <v>10177</v>
      </c>
      <c r="C1073">
        <v>29</v>
      </c>
      <c r="D1073" s="21">
        <v>100</v>
      </c>
      <c r="E1073" s="22">
        <v>37932</v>
      </c>
      <c r="F1073" t="s">
        <v>13</v>
      </c>
      <c r="G1073" t="s">
        <v>217</v>
      </c>
      <c r="H1073">
        <v>4</v>
      </c>
      <c r="I1073">
        <v>2003</v>
      </c>
      <c r="J1073" t="s">
        <v>22</v>
      </c>
      <c r="K1073" t="s">
        <v>182</v>
      </c>
    </row>
    <row r="1074" spans="1:11">
      <c r="A1074" t="s">
        <v>126</v>
      </c>
      <c r="B1074">
        <v>10185</v>
      </c>
      <c r="C1074">
        <v>49</v>
      </c>
      <c r="D1074" s="21">
        <v>80.67</v>
      </c>
      <c r="E1074" s="22">
        <v>37939</v>
      </c>
      <c r="F1074" t="s">
        <v>13</v>
      </c>
      <c r="G1074" t="s">
        <v>217</v>
      </c>
      <c r="H1074">
        <v>4</v>
      </c>
      <c r="I1074">
        <v>2003</v>
      </c>
      <c r="J1074" t="s">
        <v>22</v>
      </c>
      <c r="K1074" t="s">
        <v>127</v>
      </c>
    </row>
    <row r="1075" spans="1:11">
      <c r="A1075" t="s">
        <v>93</v>
      </c>
      <c r="B1075">
        <v>10196</v>
      </c>
      <c r="C1075">
        <v>35</v>
      </c>
      <c r="D1075" s="21">
        <v>100</v>
      </c>
      <c r="E1075" s="22">
        <v>37951</v>
      </c>
      <c r="F1075" t="s">
        <v>13</v>
      </c>
      <c r="G1075" t="s">
        <v>217</v>
      </c>
      <c r="H1075">
        <v>4</v>
      </c>
      <c r="I1075">
        <v>2003</v>
      </c>
      <c r="J1075" t="s">
        <v>22</v>
      </c>
      <c r="K1075" t="s">
        <v>94</v>
      </c>
    </row>
    <row r="1076" spans="1:11">
      <c r="A1076" t="s">
        <v>85</v>
      </c>
      <c r="B1076">
        <v>10208</v>
      </c>
      <c r="C1076">
        <v>48</v>
      </c>
      <c r="D1076" s="21">
        <v>100</v>
      </c>
      <c r="E1076" s="22">
        <v>37988</v>
      </c>
      <c r="F1076" t="s">
        <v>13</v>
      </c>
      <c r="G1076" t="s">
        <v>217</v>
      </c>
      <c r="H1076">
        <v>1</v>
      </c>
      <c r="I1076">
        <v>2004</v>
      </c>
      <c r="J1076" t="s">
        <v>22</v>
      </c>
      <c r="K1076" t="s">
        <v>86</v>
      </c>
    </row>
    <row r="1077" spans="1:11">
      <c r="A1077" t="s">
        <v>139</v>
      </c>
      <c r="B1077">
        <v>10221</v>
      </c>
      <c r="C1077">
        <v>23</v>
      </c>
      <c r="D1077" s="21">
        <v>80.67</v>
      </c>
      <c r="E1077" s="22">
        <v>38035</v>
      </c>
      <c r="F1077" t="s">
        <v>13</v>
      </c>
      <c r="G1077" t="s">
        <v>217</v>
      </c>
      <c r="H1077">
        <v>1</v>
      </c>
      <c r="I1077">
        <v>2004</v>
      </c>
      <c r="J1077" t="s">
        <v>15</v>
      </c>
      <c r="K1077" t="s">
        <v>140</v>
      </c>
    </row>
    <row r="1078" spans="1:11">
      <c r="A1078" t="s">
        <v>145</v>
      </c>
      <c r="B1078">
        <v>10232</v>
      </c>
      <c r="C1078">
        <v>48</v>
      </c>
      <c r="D1078" s="21">
        <v>95.8</v>
      </c>
      <c r="E1078" s="22">
        <v>38066</v>
      </c>
      <c r="F1078" t="s">
        <v>13</v>
      </c>
      <c r="G1078" t="s">
        <v>217</v>
      </c>
      <c r="H1078">
        <v>1</v>
      </c>
      <c r="I1078">
        <v>2004</v>
      </c>
      <c r="J1078" t="s">
        <v>22</v>
      </c>
      <c r="K1078" t="s">
        <v>146</v>
      </c>
    </row>
    <row r="1079" spans="1:11">
      <c r="A1079" t="s">
        <v>12</v>
      </c>
      <c r="B1079">
        <v>10248</v>
      </c>
      <c r="C1079">
        <v>42</v>
      </c>
      <c r="D1079" s="21">
        <v>100</v>
      </c>
      <c r="E1079" s="22">
        <v>38114</v>
      </c>
      <c r="F1079" t="s">
        <v>128</v>
      </c>
      <c r="G1079" t="s">
        <v>217</v>
      </c>
      <c r="H1079">
        <v>2</v>
      </c>
      <c r="I1079">
        <v>2004</v>
      </c>
      <c r="J1079" t="s">
        <v>22</v>
      </c>
      <c r="K1079" t="s">
        <v>16</v>
      </c>
    </row>
    <row r="1080" spans="1:11">
      <c r="A1080" t="s">
        <v>139</v>
      </c>
      <c r="B1080">
        <v>10273</v>
      </c>
      <c r="C1080">
        <v>47</v>
      </c>
      <c r="D1080" s="21">
        <v>100</v>
      </c>
      <c r="E1080" s="22">
        <v>38189</v>
      </c>
      <c r="F1080" t="s">
        <v>13</v>
      </c>
      <c r="G1080" t="s">
        <v>217</v>
      </c>
      <c r="H1080">
        <v>3</v>
      </c>
      <c r="I1080">
        <v>2004</v>
      </c>
      <c r="J1080" t="s">
        <v>22</v>
      </c>
      <c r="K1080" t="s">
        <v>140</v>
      </c>
    </row>
    <row r="1081" spans="1:11">
      <c r="A1081" t="s">
        <v>103</v>
      </c>
      <c r="B1081">
        <v>10282</v>
      </c>
      <c r="C1081">
        <v>36</v>
      </c>
      <c r="D1081" s="21">
        <v>100</v>
      </c>
      <c r="E1081" s="22">
        <v>38219</v>
      </c>
      <c r="F1081" t="s">
        <v>13</v>
      </c>
      <c r="G1081" t="s">
        <v>217</v>
      </c>
      <c r="H1081">
        <v>3</v>
      </c>
      <c r="I1081">
        <v>2004</v>
      </c>
      <c r="J1081" t="s">
        <v>22</v>
      </c>
      <c r="K1081" t="s">
        <v>104</v>
      </c>
    </row>
    <row r="1082" spans="1:11">
      <c r="A1082" t="s">
        <v>97</v>
      </c>
      <c r="B1082">
        <v>10293</v>
      </c>
      <c r="C1082">
        <v>22</v>
      </c>
      <c r="D1082" s="21">
        <v>100</v>
      </c>
      <c r="E1082" s="22">
        <v>38239</v>
      </c>
      <c r="F1082" t="s">
        <v>13</v>
      </c>
      <c r="G1082" t="s">
        <v>217</v>
      </c>
      <c r="H1082">
        <v>3</v>
      </c>
      <c r="I1082">
        <v>2004</v>
      </c>
      <c r="J1082" t="s">
        <v>15</v>
      </c>
      <c r="K1082" t="s">
        <v>98</v>
      </c>
    </row>
    <row r="1083" spans="1:11">
      <c r="A1083" t="s">
        <v>183</v>
      </c>
      <c r="B1083">
        <v>10306</v>
      </c>
      <c r="C1083">
        <v>40</v>
      </c>
      <c r="D1083" s="21">
        <v>91.76</v>
      </c>
      <c r="E1083" s="22">
        <v>38274</v>
      </c>
      <c r="F1083" t="s">
        <v>13</v>
      </c>
      <c r="G1083" t="s">
        <v>217</v>
      </c>
      <c r="H1083">
        <v>4</v>
      </c>
      <c r="I1083">
        <v>2004</v>
      </c>
      <c r="J1083" t="s">
        <v>22</v>
      </c>
      <c r="K1083" t="s">
        <v>184</v>
      </c>
    </row>
    <row r="1084" spans="1:11">
      <c r="A1084" t="s">
        <v>185</v>
      </c>
      <c r="B1084">
        <v>10314</v>
      </c>
      <c r="C1084">
        <v>23</v>
      </c>
      <c r="D1084" s="21">
        <v>100</v>
      </c>
      <c r="E1084" s="22">
        <v>38282</v>
      </c>
      <c r="F1084" t="s">
        <v>13</v>
      </c>
      <c r="G1084" t="s">
        <v>217</v>
      </c>
      <c r="H1084">
        <v>4</v>
      </c>
      <c r="I1084">
        <v>2004</v>
      </c>
      <c r="J1084" t="s">
        <v>15</v>
      </c>
      <c r="K1084" t="s">
        <v>186</v>
      </c>
    </row>
    <row r="1085" spans="1:11">
      <c r="A1085" t="s">
        <v>73</v>
      </c>
      <c r="B1085">
        <v>10326</v>
      </c>
      <c r="C1085">
        <v>32</v>
      </c>
      <c r="D1085" s="21">
        <v>100</v>
      </c>
      <c r="E1085" s="22">
        <v>38300</v>
      </c>
      <c r="F1085" t="s">
        <v>13</v>
      </c>
      <c r="G1085" t="s">
        <v>217</v>
      </c>
      <c r="H1085">
        <v>4</v>
      </c>
      <c r="I1085">
        <v>2004</v>
      </c>
      <c r="J1085" t="s">
        <v>22</v>
      </c>
      <c r="K1085" t="s">
        <v>74</v>
      </c>
    </row>
    <row r="1086" spans="1:11">
      <c r="A1086" t="s">
        <v>152</v>
      </c>
      <c r="B1086">
        <v>10336</v>
      </c>
      <c r="C1086">
        <v>21</v>
      </c>
      <c r="D1086" s="21">
        <v>100</v>
      </c>
      <c r="E1086" s="22">
        <v>38311</v>
      </c>
      <c r="F1086" t="s">
        <v>13</v>
      </c>
      <c r="G1086" t="s">
        <v>217</v>
      </c>
      <c r="H1086">
        <v>4</v>
      </c>
      <c r="I1086">
        <v>2004</v>
      </c>
      <c r="J1086" t="s">
        <v>15</v>
      </c>
      <c r="K1086" t="s">
        <v>153</v>
      </c>
    </row>
    <row r="1087" spans="1:11">
      <c r="A1087" t="s">
        <v>69</v>
      </c>
      <c r="B1087">
        <v>10350</v>
      </c>
      <c r="C1087">
        <v>41</v>
      </c>
      <c r="D1087" s="21">
        <v>93.04</v>
      </c>
      <c r="E1087" s="22">
        <v>38323</v>
      </c>
      <c r="F1087" t="s">
        <v>13</v>
      </c>
      <c r="G1087" t="s">
        <v>217</v>
      </c>
      <c r="H1087">
        <v>4</v>
      </c>
      <c r="I1087">
        <v>2004</v>
      </c>
      <c r="J1087" t="s">
        <v>22</v>
      </c>
      <c r="K1087" t="s">
        <v>71</v>
      </c>
    </row>
    <row r="1088" spans="1:11">
      <c r="A1088" t="s">
        <v>95</v>
      </c>
      <c r="B1088">
        <v>10372</v>
      </c>
      <c r="C1088">
        <v>25</v>
      </c>
      <c r="D1088" s="21">
        <v>84.71</v>
      </c>
      <c r="E1088" s="22">
        <v>38378</v>
      </c>
      <c r="F1088" t="s">
        <v>13</v>
      </c>
      <c r="G1088" t="s">
        <v>217</v>
      </c>
      <c r="H1088">
        <v>1</v>
      </c>
      <c r="I1088">
        <v>2005</v>
      </c>
      <c r="J1088" t="s">
        <v>15</v>
      </c>
      <c r="K1088" t="s">
        <v>96</v>
      </c>
    </row>
    <row r="1089" spans="1:11">
      <c r="A1089" t="s">
        <v>69</v>
      </c>
      <c r="B1089">
        <v>10383</v>
      </c>
      <c r="C1089">
        <v>26</v>
      </c>
      <c r="D1089" s="21">
        <v>100</v>
      </c>
      <c r="E1089" s="22">
        <v>38405</v>
      </c>
      <c r="F1089" t="s">
        <v>13</v>
      </c>
      <c r="G1089" t="s">
        <v>217</v>
      </c>
      <c r="H1089">
        <v>1</v>
      </c>
      <c r="I1089">
        <v>2005</v>
      </c>
      <c r="J1089" t="s">
        <v>22</v>
      </c>
      <c r="K1089" t="s">
        <v>71</v>
      </c>
    </row>
    <row r="1090" spans="1:11">
      <c r="A1090" t="s">
        <v>103</v>
      </c>
      <c r="B1090">
        <v>10396</v>
      </c>
      <c r="C1090">
        <v>24</v>
      </c>
      <c r="D1090" s="21">
        <v>89.75</v>
      </c>
      <c r="E1090" s="22">
        <v>38434</v>
      </c>
      <c r="F1090" t="s">
        <v>13</v>
      </c>
      <c r="G1090" t="s">
        <v>217</v>
      </c>
      <c r="H1090">
        <v>1</v>
      </c>
      <c r="I1090">
        <v>2005</v>
      </c>
      <c r="J1090" t="s">
        <v>15</v>
      </c>
      <c r="K1090" t="s">
        <v>104</v>
      </c>
    </row>
    <row r="1091" spans="1:11">
      <c r="A1091" t="s">
        <v>143</v>
      </c>
      <c r="B1091">
        <v>10414</v>
      </c>
      <c r="C1091">
        <v>48</v>
      </c>
      <c r="D1091" s="21">
        <v>100</v>
      </c>
      <c r="E1091" s="22">
        <v>38478</v>
      </c>
      <c r="F1091" t="s">
        <v>151</v>
      </c>
      <c r="G1091" t="s">
        <v>217</v>
      </c>
      <c r="H1091">
        <v>2</v>
      </c>
      <c r="I1091">
        <v>2005</v>
      </c>
      <c r="J1091" t="s">
        <v>22</v>
      </c>
      <c r="K1091" t="s">
        <v>144</v>
      </c>
    </row>
    <row r="1092" spans="1:11">
      <c r="A1092" t="s">
        <v>161</v>
      </c>
      <c r="B1092">
        <v>10108</v>
      </c>
      <c r="C1092">
        <v>26</v>
      </c>
      <c r="D1092" s="21">
        <v>68.35</v>
      </c>
      <c r="E1092" s="22">
        <v>37683</v>
      </c>
      <c r="F1092" t="s">
        <v>13</v>
      </c>
      <c r="G1092" t="s">
        <v>72</v>
      </c>
      <c r="H1092">
        <v>1</v>
      </c>
      <c r="I1092">
        <v>2003</v>
      </c>
      <c r="J1092" t="s">
        <v>15</v>
      </c>
      <c r="K1092" t="s">
        <v>162</v>
      </c>
    </row>
    <row r="1093" spans="1:11">
      <c r="A1093" t="s">
        <v>163</v>
      </c>
      <c r="B1093">
        <v>10122</v>
      </c>
      <c r="C1093">
        <v>21</v>
      </c>
      <c r="D1093" s="21">
        <v>73.17</v>
      </c>
      <c r="E1093" s="22">
        <v>37749</v>
      </c>
      <c r="F1093" t="s">
        <v>13</v>
      </c>
      <c r="G1093" t="s">
        <v>72</v>
      </c>
      <c r="H1093">
        <v>2</v>
      </c>
      <c r="I1093">
        <v>2003</v>
      </c>
      <c r="J1093" t="s">
        <v>15</v>
      </c>
      <c r="K1093" t="s">
        <v>164</v>
      </c>
    </row>
    <row r="1094" spans="1:11">
      <c r="A1094" t="s">
        <v>103</v>
      </c>
      <c r="B1094">
        <v>10135</v>
      </c>
      <c r="C1094">
        <v>45</v>
      </c>
      <c r="D1094" s="21">
        <v>78</v>
      </c>
      <c r="E1094" s="22">
        <v>37804</v>
      </c>
      <c r="F1094" t="s">
        <v>13</v>
      </c>
      <c r="G1094" t="s">
        <v>72</v>
      </c>
      <c r="H1094">
        <v>3</v>
      </c>
      <c r="I1094">
        <v>2003</v>
      </c>
      <c r="J1094" t="s">
        <v>22</v>
      </c>
      <c r="K1094" t="s">
        <v>104</v>
      </c>
    </row>
    <row r="1095" spans="1:11">
      <c r="A1095" t="s">
        <v>107</v>
      </c>
      <c r="B1095">
        <v>10147</v>
      </c>
      <c r="C1095">
        <v>36</v>
      </c>
      <c r="D1095" s="21">
        <v>86.04</v>
      </c>
      <c r="E1095" s="22">
        <v>37869</v>
      </c>
      <c r="F1095" t="s">
        <v>13</v>
      </c>
      <c r="G1095" t="s">
        <v>72</v>
      </c>
      <c r="H1095">
        <v>3</v>
      </c>
      <c r="I1095">
        <v>2003</v>
      </c>
      <c r="J1095" t="s">
        <v>22</v>
      </c>
      <c r="K1095" t="s">
        <v>108</v>
      </c>
    </row>
    <row r="1096" spans="1:11">
      <c r="A1096" t="s">
        <v>28</v>
      </c>
      <c r="B1096">
        <v>10159</v>
      </c>
      <c r="C1096">
        <v>21</v>
      </c>
      <c r="D1096" s="21">
        <v>81.21</v>
      </c>
      <c r="E1096" s="22">
        <v>37904</v>
      </c>
      <c r="F1096" t="s">
        <v>13</v>
      </c>
      <c r="G1096" t="s">
        <v>72</v>
      </c>
      <c r="H1096">
        <v>4</v>
      </c>
      <c r="I1096">
        <v>2003</v>
      </c>
      <c r="J1096" t="s">
        <v>15</v>
      </c>
      <c r="K1096" t="s">
        <v>29</v>
      </c>
    </row>
    <row r="1097" spans="1:11">
      <c r="A1097" t="s">
        <v>109</v>
      </c>
      <c r="B1097">
        <v>10169</v>
      </c>
      <c r="C1097">
        <v>32</v>
      </c>
      <c r="D1097" s="21">
        <v>70.76</v>
      </c>
      <c r="E1097" s="22">
        <v>37929</v>
      </c>
      <c r="F1097" t="s">
        <v>13</v>
      </c>
      <c r="G1097" t="s">
        <v>72</v>
      </c>
      <c r="H1097">
        <v>4</v>
      </c>
      <c r="I1097">
        <v>2003</v>
      </c>
      <c r="J1097" t="s">
        <v>15</v>
      </c>
      <c r="K1097" t="s">
        <v>110</v>
      </c>
    </row>
    <row r="1098" spans="1:11">
      <c r="A1098" t="s">
        <v>36</v>
      </c>
      <c r="B1098">
        <v>10181</v>
      </c>
      <c r="C1098">
        <v>30</v>
      </c>
      <c r="D1098" s="21">
        <v>82.82</v>
      </c>
      <c r="E1098" s="22">
        <v>37937</v>
      </c>
      <c r="F1098" t="s">
        <v>13</v>
      </c>
      <c r="G1098" t="s">
        <v>72</v>
      </c>
      <c r="H1098">
        <v>4</v>
      </c>
      <c r="I1098">
        <v>2003</v>
      </c>
      <c r="J1098" t="s">
        <v>15</v>
      </c>
      <c r="K1098" t="s">
        <v>37</v>
      </c>
    </row>
    <row r="1099" spans="1:11">
      <c r="A1099" t="s">
        <v>165</v>
      </c>
      <c r="B1099">
        <v>10191</v>
      </c>
      <c r="C1099">
        <v>36</v>
      </c>
      <c r="D1099" s="21">
        <v>94.88</v>
      </c>
      <c r="E1099" s="22">
        <v>37945</v>
      </c>
      <c r="F1099" t="s">
        <v>13</v>
      </c>
      <c r="G1099" t="s">
        <v>72</v>
      </c>
      <c r="H1099">
        <v>4</v>
      </c>
      <c r="I1099">
        <v>2003</v>
      </c>
      <c r="J1099" t="s">
        <v>22</v>
      </c>
      <c r="K1099" t="s">
        <v>166</v>
      </c>
    </row>
    <row r="1100" spans="1:11">
      <c r="A1100" t="s">
        <v>69</v>
      </c>
      <c r="B1100">
        <v>10203</v>
      </c>
      <c r="C1100">
        <v>33</v>
      </c>
      <c r="D1100" s="21">
        <v>86.04</v>
      </c>
      <c r="E1100" s="22">
        <v>37957</v>
      </c>
      <c r="F1100" t="s">
        <v>13</v>
      </c>
      <c r="G1100" t="s">
        <v>72</v>
      </c>
      <c r="H1100">
        <v>4</v>
      </c>
      <c r="I1100">
        <v>2003</v>
      </c>
      <c r="J1100" t="s">
        <v>15</v>
      </c>
      <c r="K1100" t="s">
        <v>71</v>
      </c>
    </row>
    <row r="1101" spans="1:11">
      <c r="A1101" t="s">
        <v>40</v>
      </c>
      <c r="B1101">
        <v>10211</v>
      </c>
      <c r="C1101">
        <v>35</v>
      </c>
      <c r="D1101" s="21">
        <v>78</v>
      </c>
      <c r="E1101" s="22">
        <v>38001</v>
      </c>
      <c r="F1101" t="s">
        <v>13</v>
      </c>
      <c r="G1101" t="s">
        <v>72</v>
      </c>
      <c r="H1101">
        <v>1</v>
      </c>
      <c r="I1101">
        <v>2004</v>
      </c>
      <c r="J1101" t="s">
        <v>15</v>
      </c>
      <c r="K1101" t="s">
        <v>41</v>
      </c>
    </row>
    <row r="1102" spans="1:11">
      <c r="A1102" t="s">
        <v>167</v>
      </c>
      <c r="B1102">
        <v>10225</v>
      </c>
      <c r="C1102">
        <v>37</v>
      </c>
      <c r="D1102" s="21">
        <v>95.69</v>
      </c>
      <c r="E1102" s="22">
        <v>38039</v>
      </c>
      <c r="F1102" t="s">
        <v>13</v>
      </c>
      <c r="G1102" t="s">
        <v>72</v>
      </c>
      <c r="H1102">
        <v>1</v>
      </c>
      <c r="I1102">
        <v>2004</v>
      </c>
      <c r="J1102" t="s">
        <v>22</v>
      </c>
      <c r="K1102" t="s">
        <v>168</v>
      </c>
    </row>
    <row r="1103" spans="1:11">
      <c r="A1103" t="s">
        <v>122</v>
      </c>
      <c r="B1103">
        <v>10238</v>
      </c>
      <c r="C1103">
        <v>41</v>
      </c>
      <c r="D1103" s="21">
        <v>73.17</v>
      </c>
      <c r="E1103" s="22">
        <v>38086</v>
      </c>
      <c r="F1103" t="s">
        <v>13</v>
      </c>
      <c r="G1103" t="s">
        <v>72</v>
      </c>
      <c r="H1103">
        <v>2</v>
      </c>
      <c r="I1103">
        <v>2004</v>
      </c>
      <c r="J1103" t="s">
        <v>15</v>
      </c>
      <c r="K1103" t="s">
        <v>123</v>
      </c>
    </row>
    <row r="1104" spans="1:11">
      <c r="A1104" t="s">
        <v>40</v>
      </c>
      <c r="B1104">
        <v>10252</v>
      </c>
      <c r="C1104">
        <v>20</v>
      </c>
      <c r="D1104" s="21">
        <v>76.39</v>
      </c>
      <c r="E1104" s="22">
        <v>38133</v>
      </c>
      <c r="F1104" t="s">
        <v>13</v>
      </c>
      <c r="G1104" t="s">
        <v>72</v>
      </c>
      <c r="H1104">
        <v>2</v>
      </c>
      <c r="I1104">
        <v>2004</v>
      </c>
      <c r="J1104" t="s">
        <v>15</v>
      </c>
      <c r="K1104" t="s">
        <v>41</v>
      </c>
    </row>
    <row r="1105" spans="1:11">
      <c r="A1105" t="s">
        <v>205</v>
      </c>
      <c r="B1105">
        <v>10265</v>
      </c>
      <c r="C1105">
        <v>45</v>
      </c>
      <c r="D1105" s="21">
        <v>86.84</v>
      </c>
      <c r="E1105" s="22">
        <v>38170</v>
      </c>
      <c r="F1105" t="s">
        <v>13</v>
      </c>
      <c r="G1105" t="s">
        <v>72</v>
      </c>
      <c r="H1105">
        <v>3</v>
      </c>
      <c r="I1105">
        <v>2004</v>
      </c>
      <c r="J1105" t="s">
        <v>22</v>
      </c>
      <c r="K1105" t="s">
        <v>206</v>
      </c>
    </row>
    <row r="1106" spans="1:11">
      <c r="A1106" t="s">
        <v>171</v>
      </c>
      <c r="B1106">
        <v>10276</v>
      </c>
      <c r="C1106">
        <v>38</v>
      </c>
      <c r="D1106" s="21">
        <v>69.96</v>
      </c>
      <c r="E1106" s="22">
        <v>38201</v>
      </c>
      <c r="F1106" t="s">
        <v>13</v>
      </c>
      <c r="G1106" t="s">
        <v>72</v>
      </c>
      <c r="H1106">
        <v>3</v>
      </c>
      <c r="I1106">
        <v>2004</v>
      </c>
      <c r="J1106" t="s">
        <v>15</v>
      </c>
      <c r="K1106" t="s">
        <v>172</v>
      </c>
    </row>
    <row r="1107" spans="1:11">
      <c r="A1107" t="s">
        <v>167</v>
      </c>
      <c r="B1107">
        <v>10287</v>
      </c>
      <c r="C1107">
        <v>43</v>
      </c>
      <c r="D1107" s="21">
        <v>70.76</v>
      </c>
      <c r="E1107" s="22">
        <v>38229</v>
      </c>
      <c r="F1107" t="s">
        <v>13</v>
      </c>
      <c r="G1107" t="s">
        <v>72</v>
      </c>
      <c r="H1107">
        <v>3</v>
      </c>
      <c r="I1107">
        <v>2004</v>
      </c>
      <c r="J1107" t="s">
        <v>22</v>
      </c>
      <c r="K1107" t="s">
        <v>168</v>
      </c>
    </row>
    <row r="1108" spans="1:11">
      <c r="A1108" t="s">
        <v>173</v>
      </c>
      <c r="B1108">
        <v>10300</v>
      </c>
      <c r="C1108">
        <v>49</v>
      </c>
      <c r="D1108" s="21">
        <v>78.8</v>
      </c>
      <c r="E1108" s="22">
        <v>37898</v>
      </c>
      <c r="F1108" t="s">
        <v>13</v>
      </c>
      <c r="G1108" t="s">
        <v>72</v>
      </c>
      <c r="H1108">
        <v>4</v>
      </c>
      <c r="I1108">
        <v>2003</v>
      </c>
      <c r="J1108" t="s">
        <v>22</v>
      </c>
      <c r="K1108" t="s">
        <v>174</v>
      </c>
    </row>
    <row r="1109" spans="1:11">
      <c r="A1109" t="s">
        <v>165</v>
      </c>
      <c r="B1109">
        <v>10310</v>
      </c>
      <c r="C1109">
        <v>27</v>
      </c>
      <c r="D1109" s="21">
        <v>80.41</v>
      </c>
      <c r="E1109" s="22">
        <v>38276</v>
      </c>
      <c r="F1109" t="s">
        <v>13</v>
      </c>
      <c r="G1109" t="s">
        <v>72</v>
      </c>
      <c r="H1109">
        <v>4</v>
      </c>
      <c r="I1109">
        <v>2004</v>
      </c>
      <c r="J1109" t="s">
        <v>15</v>
      </c>
      <c r="K1109" t="s">
        <v>166</v>
      </c>
    </row>
    <row r="1110" spans="1:11">
      <c r="A1110" t="s">
        <v>188</v>
      </c>
      <c r="B1110">
        <v>10319</v>
      </c>
      <c r="C1110">
        <v>46</v>
      </c>
      <c r="D1110" s="21">
        <v>73.98</v>
      </c>
      <c r="E1110" s="22">
        <v>38294</v>
      </c>
      <c r="F1110" t="s">
        <v>13</v>
      </c>
      <c r="G1110" t="s">
        <v>72</v>
      </c>
      <c r="H1110">
        <v>4</v>
      </c>
      <c r="I1110">
        <v>2004</v>
      </c>
      <c r="J1110" t="s">
        <v>22</v>
      </c>
      <c r="K1110" t="s">
        <v>189</v>
      </c>
    </row>
    <row r="1111" spans="1:11">
      <c r="A1111" t="s">
        <v>12</v>
      </c>
      <c r="B1111">
        <v>10329</v>
      </c>
      <c r="C1111">
        <v>38</v>
      </c>
      <c r="D1111" s="21">
        <v>59.1</v>
      </c>
      <c r="E1111" s="22">
        <v>38306</v>
      </c>
      <c r="F1111" t="s">
        <v>13</v>
      </c>
      <c r="G1111" t="s">
        <v>72</v>
      </c>
      <c r="H1111">
        <v>4</v>
      </c>
      <c r="I1111">
        <v>2004</v>
      </c>
      <c r="J1111" t="s">
        <v>15</v>
      </c>
      <c r="K1111" t="s">
        <v>16</v>
      </c>
    </row>
    <row r="1112" spans="1:11">
      <c r="A1112" t="s">
        <v>42</v>
      </c>
      <c r="B1112">
        <v>10342</v>
      </c>
      <c r="C1112">
        <v>25</v>
      </c>
      <c r="D1112" s="21">
        <v>66.74</v>
      </c>
      <c r="E1112" s="22">
        <v>38315</v>
      </c>
      <c r="F1112" t="s">
        <v>13</v>
      </c>
      <c r="G1112" t="s">
        <v>72</v>
      </c>
      <c r="H1112">
        <v>4</v>
      </c>
      <c r="I1112">
        <v>2004</v>
      </c>
      <c r="J1112" t="s">
        <v>15</v>
      </c>
      <c r="K1112" t="s">
        <v>43</v>
      </c>
    </row>
    <row r="1113" spans="1:11">
      <c r="A1113" t="s">
        <v>175</v>
      </c>
      <c r="B1113">
        <v>10363</v>
      </c>
      <c r="C1113">
        <v>46</v>
      </c>
      <c r="D1113" s="21">
        <v>60.3</v>
      </c>
      <c r="E1113" s="22">
        <v>38358</v>
      </c>
      <c r="F1113" t="s">
        <v>13</v>
      </c>
      <c r="G1113" t="s">
        <v>72</v>
      </c>
      <c r="H1113">
        <v>1</v>
      </c>
      <c r="I1113">
        <v>2005</v>
      </c>
      <c r="J1113" t="s">
        <v>15</v>
      </c>
      <c r="K1113" t="s">
        <v>176</v>
      </c>
    </row>
    <row r="1114" spans="1:11">
      <c r="A1114" t="s">
        <v>69</v>
      </c>
      <c r="B1114">
        <v>10378</v>
      </c>
      <c r="C1114">
        <v>22</v>
      </c>
      <c r="D1114" s="21">
        <v>100</v>
      </c>
      <c r="E1114" s="22">
        <v>38393</v>
      </c>
      <c r="F1114" t="s">
        <v>13</v>
      </c>
      <c r="G1114" t="s">
        <v>72</v>
      </c>
      <c r="H1114">
        <v>1</v>
      </c>
      <c r="I1114">
        <v>2005</v>
      </c>
      <c r="J1114" t="s">
        <v>15</v>
      </c>
      <c r="K1114" t="s">
        <v>71</v>
      </c>
    </row>
    <row r="1115" spans="1:11">
      <c r="A1115" t="s">
        <v>103</v>
      </c>
      <c r="B1115">
        <v>10390</v>
      </c>
      <c r="C1115">
        <v>40</v>
      </c>
      <c r="D1115" s="21">
        <v>100</v>
      </c>
      <c r="E1115" s="22">
        <v>38415</v>
      </c>
      <c r="F1115" t="s">
        <v>13</v>
      </c>
      <c r="G1115" t="s">
        <v>72</v>
      </c>
      <c r="H1115">
        <v>1</v>
      </c>
      <c r="I1115">
        <v>2005</v>
      </c>
      <c r="J1115" t="s">
        <v>22</v>
      </c>
      <c r="K1115" t="s">
        <v>104</v>
      </c>
    </row>
    <row r="1116" spans="1:11">
      <c r="A1116" t="s">
        <v>56</v>
      </c>
      <c r="B1116">
        <v>10103</v>
      </c>
      <c r="C1116">
        <v>46</v>
      </c>
      <c r="D1116" s="21">
        <v>100</v>
      </c>
      <c r="E1116" s="22">
        <v>37650</v>
      </c>
      <c r="F1116" t="s">
        <v>13</v>
      </c>
      <c r="G1116" t="s">
        <v>202</v>
      </c>
      <c r="H1116">
        <v>1</v>
      </c>
      <c r="I1116">
        <v>2003</v>
      </c>
      <c r="J1116" t="s">
        <v>22</v>
      </c>
      <c r="K1116" t="s">
        <v>57</v>
      </c>
    </row>
    <row r="1117" spans="1:11">
      <c r="A1117" t="s">
        <v>38</v>
      </c>
      <c r="B1117">
        <v>10111</v>
      </c>
      <c r="C1117">
        <v>39</v>
      </c>
      <c r="D1117" s="21">
        <v>100</v>
      </c>
      <c r="E1117" s="22">
        <v>37705</v>
      </c>
      <c r="F1117" t="s">
        <v>13</v>
      </c>
      <c r="G1117" t="s">
        <v>202</v>
      </c>
      <c r="H1117">
        <v>1</v>
      </c>
      <c r="I1117">
        <v>2003</v>
      </c>
      <c r="J1117" t="s">
        <v>22</v>
      </c>
      <c r="K1117" t="s">
        <v>39</v>
      </c>
    </row>
    <row r="1118" spans="1:11">
      <c r="A1118" t="s">
        <v>75</v>
      </c>
      <c r="B1118">
        <v>10126</v>
      </c>
      <c r="C1118">
        <v>38</v>
      </c>
      <c r="D1118" s="21">
        <v>82.34</v>
      </c>
      <c r="E1118" s="22">
        <v>37769</v>
      </c>
      <c r="F1118" t="s">
        <v>13</v>
      </c>
      <c r="G1118" t="s">
        <v>202</v>
      </c>
      <c r="H1118">
        <v>2</v>
      </c>
      <c r="I1118">
        <v>2003</v>
      </c>
      <c r="J1118" t="s">
        <v>22</v>
      </c>
      <c r="K1118" t="s">
        <v>76</v>
      </c>
    </row>
    <row r="1119" spans="1:11">
      <c r="A1119" t="s">
        <v>63</v>
      </c>
      <c r="B1119">
        <v>10139</v>
      </c>
      <c r="C1119">
        <v>30</v>
      </c>
      <c r="D1119" s="21">
        <v>100</v>
      </c>
      <c r="E1119" s="22">
        <v>37818</v>
      </c>
      <c r="F1119" t="s">
        <v>13</v>
      </c>
      <c r="G1119" t="s">
        <v>202</v>
      </c>
      <c r="H1119">
        <v>3</v>
      </c>
      <c r="I1119">
        <v>2003</v>
      </c>
      <c r="J1119" t="s">
        <v>22</v>
      </c>
      <c r="K1119" t="s">
        <v>64</v>
      </c>
    </row>
    <row r="1120" spans="1:11">
      <c r="A1120" t="s">
        <v>194</v>
      </c>
      <c r="B1120">
        <v>10149</v>
      </c>
      <c r="C1120">
        <v>42</v>
      </c>
      <c r="D1120" s="21">
        <v>94.25</v>
      </c>
      <c r="E1120" s="22">
        <v>37876</v>
      </c>
      <c r="F1120" t="s">
        <v>13</v>
      </c>
      <c r="G1120" t="s">
        <v>202</v>
      </c>
      <c r="H1120">
        <v>3</v>
      </c>
      <c r="I1120">
        <v>2003</v>
      </c>
      <c r="J1120" t="s">
        <v>22</v>
      </c>
      <c r="K1120" t="s">
        <v>195</v>
      </c>
    </row>
    <row r="1121" spans="1:11">
      <c r="A1121" t="s">
        <v>79</v>
      </c>
      <c r="B1121">
        <v>10163</v>
      </c>
      <c r="C1121">
        <v>43</v>
      </c>
      <c r="D1121" s="21">
        <v>100</v>
      </c>
      <c r="E1121" s="22">
        <v>37914</v>
      </c>
      <c r="F1121" t="s">
        <v>13</v>
      </c>
      <c r="G1121" t="s">
        <v>202</v>
      </c>
      <c r="H1121">
        <v>4</v>
      </c>
      <c r="I1121">
        <v>2003</v>
      </c>
      <c r="J1121" t="s">
        <v>22</v>
      </c>
      <c r="K1121" t="s">
        <v>80</v>
      </c>
    </row>
    <row r="1122" spans="1:11">
      <c r="A1122" t="s">
        <v>203</v>
      </c>
      <c r="B1122">
        <v>10173</v>
      </c>
      <c r="C1122">
        <v>29</v>
      </c>
      <c r="D1122" s="21">
        <v>95.24</v>
      </c>
      <c r="E1122" s="22">
        <v>37930</v>
      </c>
      <c r="F1122" t="s">
        <v>13</v>
      </c>
      <c r="G1122" t="s">
        <v>202</v>
      </c>
      <c r="H1122">
        <v>4</v>
      </c>
      <c r="I1122">
        <v>2003</v>
      </c>
      <c r="J1122" t="s">
        <v>15</v>
      </c>
      <c r="K1122" t="s">
        <v>204</v>
      </c>
    </row>
    <row r="1123" spans="1:11">
      <c r="A1123" t="s">
        <v>103</v>
      </c>
      <c r="B1123">
        <v>10182</v>
      </c>
      <c r="C1123">
        <v>33</v>
      </c>
      <c r="D1123" s="21">
        <v>86.31</v>
      </c>
      <c r="E1123" s="22">
        <v>37937</v>
      </c>
      <c r="F1123" t="s">
        <v>13</v>
      </c>
      <c r="G1123" t="s">
        <v>202</v>
      </c>
      <c r="H1123">
        <v>4</v>
      </c>
      <c r="I1123">
        <v>2003</v>
      </c>
      <c r="J1123" t="s">
        <v>15</v>
      </c>
      <c r="K1123" t="s">
        <v>104</v>
      </c>
    </row>
    <row r="1124" spans="1:11">
      <c r="A1124" t="s">
        <v>205</v>
      </c>
      <c r="B1124">
        <v>10193</v>
      </c>
      <c r="C1124">
        <v>32</v>
      </c>
      <c r="D1124" s="21">
        <v>79.37</v>
      </c>
      <c r="E1124" s="22">
        <v>37946</v>
      </c>
      <c r="F1124" t="s">
        <v>13</v>
      </c>
      <c r="G1124" t="s">
        <v>202</v>
      </c>
      <c r="H1124">
        <v>4</v>
      </c>
      <c r="I1124">
        <v>2003</v>
      </c>
      <c r="J1124" t="s">
        <v>15</v>
      </c>
      <c r="K1124" t="s">
        <v>206</v>
      </c>
    </row>
    <row r="1125" spans="1:11">
      <c r="A1125" t="s">
        <v>87</v>
      </c>
      <c r="B1125">
        <v>10206</v>
      </c>
      <c r="C1125">
        <v>28</v>
      </c>
      <c r="D1125" s="21">
        <v>87.3</v>
      </c>
      <c r="E1125" s="22">
        <v>37960</v>
      </c>
      <c r="F1125" t="s">
        <v>13</v>
      </c>
      <c r="G1125" t="s">
        <v>202</v>
      </c>
      <c r="H1125">
        <v>4</v>
      </c>
      <c r="I1125">
        <v>2003</v>
      </c>
      <c r="J1125" t="s">
        <v>15</v>
      </c>
      <c r="K1125" t="s">
        <v>88</v>
      </c>
    </row>
    <row r="1126" spans="1:11">
      <c r="A1126" t="s">
        <v>89</v>
      </c>
      <c r="B1126">
        <v>10215</v>
      </c>
      <c r="C1126">
        <v>41</v>
      </c>
      <c r="D1126" s="21">
        <v>100</v>
      </c>
      <c r="E1126" s="22">
        <v>38015</v>
      </c>
      <c r="F1126" t="s">
        <v>13</v>
      </c>
      <c r="G1126" t="s">
        <v>202</v>
      </c>
      <c r="H1126">
        <v>1</v>
      </c>
      <c r="I1126">
        <v>2004</v>
      </c>
      <c r="J1126" t="s">
        <v>22</v>
      </c>
      <c r="K1126" t="s">
        <v>90</v>
      </c>
    </row>
    <row r="1127" spans="1:11">
      <c r="A1127" t="s">
        <v>85</v>
      </c>
      <c r="B1127">
        <v>10227</v>
      </c>
      <c r="C1127">
        <v>33</v>
      </c>
      <c r="D1127" s="21">
        <v>100</v>
      </c>
      <c r="E1127" s="22">
        <v>38048</v>
      </c>
      <c r="F1127" t="s">
        <v>13</v>
      </c>
      <c r="G1127" t="s">
        <v>202</v>
      </c>
      <c r="H1127">
        <v>1</v>
      </c>
      <c r="I1127">
        <v>2004</v>
      </c>
      <c r="J1127" t="s">
        <v>22</v>
      </c>
      <c r="K1127" t="s">
        <v>86</v>
      </c>
    </row>
    <row r="1128" spans="1:11">
      <c r="A1128" t="s">
        <v>69</v>
      </c>
      <c r="B1128">
        <v>10244</v>
      </c>
      <c r="C1128">
        <v>36</v>
      </c>
      <c r="D1128" s="21">
        <v>84.33</v>
      </c>
      <c r="E1128" s="22">
        <v>38106</v>
      </c>
      <c r="F1128" t="s">
        <v>13</v>
      </c>
      <c r="G1128" t="s">
        <v>202</v>
      </c>
      <c r="H1128">
        <v>2</v>
      </c>
      <c r="I1128">
        <v>2004</v>
      </c>
      <c r="J1128" t="s">
        <v>22</v>
      </c>
      <c r="K1128" t="s">
        <v>71</v>
      </c>
    </row>
    <row r="1129" spans="1:11">
      <c r="A1129" t="s">
        <v>149</v>
      </c>
      <c r="B1129">
        <v>10257</v>
      </c>
      <c r="C1129">
        <v>26</v>
      </c>
      <c r="D1129" s="21">
        <v>89.29</v>
      </c>
      <c r="E1129" s="22">
        <v>38152</v>
      </c>
      <c r="F1129" t="s">
        <v>13</v>
      </c>
      <c r="G1129" t="s">
        <v>202</v>
      </c>
      <c r="H1129">
        <v>2</v>
      </c>
      <c r="I1129">
        <v>2004</v>
      </c>
      <c r="J1129" t="s">
        <v>15</v>
      </c>
      <c r="K1129" t="s">
        <v>150</v>
      </c>
    </row>
    <row r="1130" spans="1:11">
      <c r="A1130" t="s">
        <v>97</v>
      </c>
      <c r="B1130">
        <v>10280</v>
      </c>
      <c r="C1130">
        <v>34</v>
      </c>
      <c r="D1130" s="21">
        <v>100</v>
      </c>
      <c r="E1130" s="22">
        <v>38216</v>
      </c>
      <c r="F1130" t="s">
        <v>13</v>
      </c>
      <c r="G1130" t="s">
        <v>202</v>
      </c>
      <c r="H1130">
        <v>3</v>
      </c>
      <c r="I1130">
        <v>2004</v>
      </c>
      <c r="J1130" t="s">
        <v>22</v>
      </c>
      <c r="K1130" t="s">
        <v>98</v>
      </c>
    </row>
    <row r="1131" spans="1:11">
      <c r="A1131" t="s">
        <v>215</v>
      </c>
      <c r="B1131">
        <v>10290</v>
      </c>
      <c r="C1131">
        <v>26</v>
      </c>
      <c r="D1131" s="21">
        <v>96.23</v>
      </c>
      <c r="E1131" s="22">
        <v>38237</v>
      </c>
      <c r="F1131" t="s">
        <v>13</v>
      </c>
      <c r="G1131" t="s">
        <v>202</v>
      </c>
      <c r="H1131">
        <v>3</v>
      </c>
      <c r="I1131">
        <v>2004</v>
      </c>
      <c r="J1131" t="s">
        <v>15</v>
      </c>
      <c r="K1131" t="s">
        <v>216</v>
      </c>
    </row>
    <row r="1132" spans="1:11">
      <c r="A1132" t="s">
        <v>101</v>
      </c>
      <c r="B1132">
        <v>10304</v>
      </c>
      <c r="C1132">
        <v>38</v>
      </c>
      <c r="D1132" s="21">
        <v>100</v>
      </c>
      <c r="E1132" s="22">
        <v>38271</v>
      </c>
      <c r="F1132" t="s">
        <v>13</v>
      </c>
      <c r="G1132" t="s">
        <v>202</v>
      </c>
      <c r="H1132">
        <v>4</v>
      </c>
      <c r="I1132">
        <v>2004</v>
      </c>
      <c r="J1132" t="s">
        <v>22</v>
      </c>
      <c r="K1132" t="s">
        <v>102</v>
      </c>
    </row>
    <row r="1133" spans="1:11">
      <c r="A1133" t="s">
        <v>103</v>
      </c>
      <c r="B1133">
        <v>10312</v>
      </c>
      <c r="C1133">
        <v>33</v>
      </c>
      <c r="D1133" s="21">
        <v>100</v>
      </c>
      <c r="E1133" s="22">
        <v>38281</v>
      </c>
      <c r="F1133" t="s">
        <v>13</v>
      </c>
      <c r="G1133" t="s">
        <v>202</v>
      </c>
      <c r="H1133">
        <v>4</v>
      </c>
      <c r="I1133">
        <v>2004</v>
      </c>
      <c r="J1133" t="s">
        <v>22</v>
      </c>
      <c r="K1133" t="s">
        <v>104</v>
      </c>
    </row>
    <row r="1134" spans="1:11">
      <c r="A1134" t="s">
        <v>173</v>
      </c>
      <c r="B1134">
        <v>10323</v>
      </c>
      <c r="C1134">
        <v>33</v>
      </c>
      <c r="D1134" s="21">
        <v>91.27</v>
      </c>
      <c r="E1134" s="22">
        <v>38296</v>
      </c>
      <c r="F1134" t="s">
        <v>13</v>
      </c>
      <c r="G1134" t="s">
        <v>202</v>
      </c>
      <c r="H1134">
        <v>4</v>
      </c>
      <c r="I1134">
        <v>2004</v>
      </c>
      <c r="J1134" t="s">
        <v>22</v>
      </c>
      <c r="K1134" t="s">
        <v>174</v>
      </c>
    </row>
    <row r="1135" spans="1:11">
      <c r="A1135" t="s">
        <v>38</v>
      </c>
      <c r="B1135">
        <v>10333</v>
      </c>
      <c r="C1135">
        <v>46</v>
      </c>
      <c r="D1135" s="21">
        <v>100</v>
      </c>
      <c r="E1135" s="22">
        <v>38309</v>
      </c>
      <c r="F1135" t="s">
        <v>13</v>
      </c>
      <c r="G1135" t="s">
        <v>202</v>
      </c>
      <c r="H1135">
        <v>4</v>
      </c>
      <c r="I1135">
        <v>2004</v>
      </c>
      <c r="J1135" t="s">
        <v>61</v>
      </c>
      <c r="K1135" t="s">
        <v>39</v>
      </c>
    </row>
    <row r="1136" spans="1:11">
      <c r="A1136" t="s">
        <v>42</v>
      </c>
      <c r="B1136">
        <v>10347</v>
      </c>
      <c r="C1136">
        <v>26</v>
      </c>
      <c r="D1136" s="21">
        <v>100</v>
      </c>
      <c r="E1136" s="22">
        <v>38320</v>
      </c>
      <c r="F1136" t="s">
        <v>13</v>
      </c>
      <c r="G1136" t="s">
        <v>202</v>
      </c>
      <c r="H1136">
        <v>4</v>
      </c>
      <c r="I1136">
        <v>2004</v>
      </c>
      <c r="J1136" t="s">
        <v>15</v>
      </c>
      <c r="K1136" t="s">
        <v>43</v>
      </c>
    </row>
    <row r="1137" spans="1:11">
      <c r="A1137" t="s">
        <v>103</v>
      </c>
      <c r="B1137">
        <v>10357</v>
      </c>
      <c r="C1137">
        <v>25</v>
      </c>
      <c r="D1137" s="21">
        <v>100</v>
      </c>
      <c r="E1137" s="22">
        <v>38331</v>
      </c>
      <c r="F1137" t="s">
        <v>13</v>
      </c>
      <c r="G1137" t="s">
        <v>202</v>
      </c>
      <c r="H1137">
        <v>4</v>
      </c>
      <c r="I1137">
        <v>2004</v>
      </c>
      <c r="J1137" t="s">
        <v>15</v>
      </c>
      <c r="K1137" t="s">
        <v>104</v>
      </c>
    </row>
    <row r="1138" spans="1:11">
      <c r="A1138" t="s">
        <v>107</v>
      </c>
      <c r="B1138">
        <v>10369</v>
      </c>
      <c r="C1138">
        <v>45</v>
      </c>
      <c r="D1138" s="21">
        <v>73.08</v>
      </c>
      <c r="E1138" s="22">
        <v>38372</v>
      </c>
      <c r="F1138" t="s">
        <v>13</v>
      </c>
      <c r="G1138" t="s">
        <v>202</v>
      </c>
      <c r="H1138">
        <v>1</v>
      </c>
      <c r="I1138">
        <v>2005</v>
      </c>
      <c r="J1138" t="s">
        <v>22</v>
      </c>
      <c r="K1138" t="s">
        <v>108</v>
      </c>
    </row>
    <row r="1139" spans="1:11">
      <c r="A1139" t="s">
        <v>103</v>
      </c>
      <c r="B1139">
        <v>10382</v>
      </c>
      <c r="C1139">
        <v>50</v>
      </c>
      <c r="D1139" s="21">
        <v>100</v>
      </c>
      <c r="E1139" s="22">
        <v>38400</v>
      </c>
      <c r="F1139" t="s">
        <v>13</v>
      </c>
      <c r="G1139" t="s">
        <v>202</v>
      </c>
      <c r="H1139">
        <v>1</v>
      </c>
      <c r="I1139">
        <v>2005</v>
      </c>
      <c r="J1139" t="s">
        <v>61</v>
      </c>
      <c r="K1139" t="s">
        <v>104</v>
      </c>
    </row>
    <row r="1140" spans="1:11">
      <c r="A1140" t="s">
        <v>154</v>
      </c>
      <c r="B1140">
        <v>10392</v>
      </c>
      <c r="C1140">
        <v>36</v>
      </c>
      <c r="D1140" s="21">
        <v>100</v>
      </c>
      <c r="E1140" s="22">
        <v>38421</v>
      </c>
      <c r="F1140" t="s">
        <v>13</v>
      </c>
      <c r="G1140" t="s">
        <v>202</v>
      </c>
      <c r="H1140">
        <v>1</v>
      </c>
      <c r="I1140">
        <v>2005</v>
      </c>
      <c r="J1140" t="s">
        <v>22</v>
      </c>
      <c r="K1140" t="s">
        <v>156</v>
      </c>
    </row>
    <row r="1141" spans="1:11">
      <c r="A1141" t="s">
        <v>139</v>
      </c>
      <c r="B1141">
        <v>10423</v>
      </c>
      <c r="C1141">
        <v>21</v>
      </c>
      <c r="D1141" s="21">
        <v>89.29</v>
      </c>
      <c r="E1141" s="22">
        <v>38502</v>
      </c>
      <c r="F1141" t="s">
        <v>113</v>
      </c>
      <c r="G1141" t="s">
        <v>202</v>
      </c>
      <c r="H1141">
        <v>2</v>
      </c>
      <c r="I1141">
        <v>2005</v>
      </c>
      <c r="J1141" t="s">
        <v>15</v>
      </c>
      <c r="K1141" t="s">
        <v>140</v>
      </c>
    </row>
    <row r="1142" spans="1:11">
      <c r="A1142" t="s">
        <v>161</v>
      </c>
      <c r="B1142">
        <v>10108</v>
      </c>
      <c r="C1142">
        <v>29</v>
      </c>
      <c r="D1142" s="21">
        <v>100</v>
      </c>
      <c r="E1142" s="22">
        <v>37683</v>
      </c>
      <c r="F1142" t="s">
        <v>13</v>
      </c>
      <c r="G1142" t="s">
        <v>72</v>
      </c>
      <c r="H1142">
        <v>1</v>
      </c>
      <c r="I1142">
        <v>2003</v>
      </c>
      <c r="J1142" t="s">
        <v>22</v>
      </c>
      <c r="K1142" t="s">
        <v>162</v>
      </c>
    </row>
    <row r="1143" spans="1:11">
      <c r="A1143" t="s">
        <v>163</v>
      </c>
      <c r="B1143">
        <v>10122</v>
      </c>
      <c r="C1143">
        <v>21</v>
      </c>
      <c r="D1143" s="21">
        <v>100</v>
      </c>
      <c r="E1143" s="22">
        <v>37749</v>
      </c>
      <c r="F1143" t="s">
        <v>13</v>
      </c>
      <c r="G1143" t="s">
        <v>72</v>
      </c>
      <c r="H1143">
        <v>2</v>
      </c>
      <c r="I1143">
        <v>2003</v>
      </c>
      <c r="J1143" t="s">
        <v>15</v>
      </c>
      <c r="K1143" t="s">
        <v>164</v>
      </c>
    </row>
    <row r="1144" spans="1:11">
      <c r="A1144" t="s">
        <v>103</v>
      </c>
      <c r="B1144">
        <v>10135</v>
      </c>
      <c r="C1144">
        <v>42</v>
      </c>
      <c r="D1144" s="21">
        <v>100</v>
      </c>
      <c r="E1144" s="22">
        <v>37804</v>
      </c>
      <c r="F1144" t="s">
        <v>13</v>
      </c>
      <c r="G1144" t="s">
        <v>72</v>
      </c>
      <c r="H1144">
        <v>3</v>
      </c>
      <c r="I1144">
        <v>2003</v>
      </c>
      <c r="J1144" t="s">
        <v>22</v>
      </c>
      <c r="K1144" t="s">
        <v>104</v>
      </c>
    </row>
    <row r="1145" spans="1:11">
      <c r="A1145" t="s">
        <v>107</v>
      </c>
      <c r="B1145">
        <v>10147</v>
      </c>
      <c r="C1145">
        <v>37</v>
      </c>
      <c r="D1145" s="21">
        <v>100</v>
      </c>
      <c r="E1145" s="22">
        <v>37869</v>
      </c>
      <c r="F1145" t="s">
        <v>13</v>
      </c>
      <c r="G1145" t="s">
        <v>72</v>
      </c>
      <c r="H1145">
        <v>3</v>
      </c>
      <c r="I1145">
        <v>2003</v>
      </c>
      <c r="J1145" t="s">
        <v>22</v>
      </c>
      <c r="K1145" t="s">
        <v>108</v>
      </c>
    </row>
    <row r="1146" spans="1:11">
      <c r="A1146" t="s">
        <v>28</v>
      </c>
      <c r="B1146">
        <v>10159</v>
      </c>
      <c r="C1146">
        <v>25</v>
      </c>
      <c r="D1146" s="21">
        <v>100</v>
      </c>
      <c r="E1146" s="22">
        <v>37904</v>
      </c>
      <c r="F1146" t="s">
        <v>13</v>
      </c>
      <c r="G1146" t="s">
        <v>72</v>
      </c>
      <c r="H1146">
        <v>4</v>
      </c>
      <c r="I1146">
        <v>2003</v>
      </c>
      <c r="J1146" t="s">
        <v>22</v>
      </c>
      <c r="K1146" t="s">
        <v>29</v>
      </c>
    </row>
    <row r="1147" spans="1:11">
      <c r="A1147" t="s">
        <v>109</v>
      </c>
      <c r="B1147">
        <v>10169</v>
      </c>
      <c r="C1147">
        <v>36</v>
      </c>
      <c r="D1147" s="21">
        <v>100</v>
      </c>
      <c r="E1147" s="22">
        <v>37929</v>
      </c>
      <c r="F1147" t="s">
        <v>13</v>
      </c>
      <c r="G1147" t="s">
        <v>72</v>
      </c>
      <c r="H1147">
        <v>4</v>
      </c>
      <c r="I1147">
        <v>2003</v>
      </c>
      <c r="J1147" t="s">
        <v>22</v>
      </c>
      <c r="K1147" t="s">
        <v>110</v>
      </c>
    </row>
    <row r="1148" spans="1:11">
      <c r="A1148" t="s">
        <v>36</v>
      </c>
      <c r="B1148">
        <v>10181</v>
      </c>
      <c r="C1148">
        <v>22</v>
      </c>
      <c r="D1148" s="21">
        <v>100</v>
      </c>
      <c r="E1148" s="22">
        <v>37937</v>
      </c>
      <c r="F1148" t="s">
        <v>13</v>
      </c>
      <c r="G1148" t="s">
        <v>72</v>
      </c>
      <c r="H1148">
        <v>4</v>
      </c>
      <c r="I1148">
        <v>2003</v>
      </c>
      <c r="J1148" t="s">
        <v>22</v>
      </c>
      <c r="K1148" t="s">
        <v>37</v>
      </c>
    </row>
    <row r="1149" spans="1:11">
      <c r="A1149" t="s">
        <v>165</v>
      </c>
      <c r="B1149">
        <v>10191</v>
      </c>
      <c r="C1149">
        <v>23</v>
      </c>
      <c r="D1149" s="21">
        <v>100</v>
      </c>
      <c r="E1149" s="22">
        <v>37945</v>
      </c>
      <c r="F1149" t="s">
        <v>13</v>
      </c>
      <c r="G1149" t="s">
        <v>72</v>
      </c>
      <c r="H1149">
        <v>4</v>
      </c>
      <c r="I1149">
        <v>2003</v>
      </c>
      <c r="J1149" t="s">
        <v>22</v>
      </c>
      <c r="K1149" t="s">
        <v>166</v>
      </c>
    </row>
    <row r="1150" spans="1:11">
      <c r="A1150" t="s">
        <v>69</v>
      </c>
      <c r="B1150">
        <v>10203</v>
      </c>
      <c r="C1150">
        <v>32</v>
      </c>
      <c r="D1150" s="21">
        <v>100</v>
      </c>
      <c r="E1150" s="22">
        <v>37957</v>
      </c>
      <c r="F1150" t="s">
        <v>13</v>
      </c>
      <c r="G1150" t="s">
        <v>72</v>
      </c>
      <c r="H1150">
        <v>4</v>
      </c>
      <c r="I1150">
        <v>2003</v>
      </c>
      <c r="J1150" t="s">
        <v>22</v>
      </c>
      <c r="K1150" t="s">
        <v>71</v>
      </c>
    </row>
    <row r="1151" spans="1:11">
      <c r="A1151" t="s">
        <v>40</v>
      </c>
      <c r="B1151">
        <v>10211</v>
      </c>
      <c r="C1151">
        <v>28</v>
      </c>
      <c r="D1151" s="21">
        <v>100</v>
      </c>
      <c r="E1151" s="22">
        <v>38001</v>
      </c>
      <c r="F1151" t="s">
        <v>13</v>
      </c>
      <c r="G1151" t="s">
        <v>72</v>
      </c>
      <c r="H1151">
        <v>1</v>
      </c>
      <c r="I1151">
        <v>2004</v>
      </c>
      <c r="J1151" t="s">
        <v>22</v>
      </c>
      <c r="K1151" t="s">
        <v>41</v>
      </c>
    </row>
    <row r="1152" spans="1:11">
      <c r="A1152" t="s">
        <v>167</v>
      </c>
      <c r="B1152">
        <v>10225</v>
      </c>
      <c r="C1152">
        <v>27</v>
      </c>
      <c r="D1152" s="21">
        <v>100</v>
      </c>
      <c r="E1152" s="22">
        <v>38039</v>
      </c>
      <c r="F1152" t="s">
        <v>13</v>
      </c>
      <c r="G1152" t="s">
        <v>72</v>
      </c>
      <c r="H1152">
        <v>1</v>
      </c>
      <c r="I1152">
        <v>2004</v>
      </c>
      <c r="J1152" t="s">
        <v>22</v>
      </c>
      <c r="K1152" t="s">
        <v>168</v>
      </c>
    </row>
    <row r="1153" spans="1:11">
      <c r="A1153" t="s">
        <v>122</v>
      </c>
      <c r="B1153">
        <v>10238</v>
      </c>
      <c r="C1153">
        <v>49</v>
      </c>
      <c r="D1153" s="21">
        <v>100</v>
      </c>
      <c r="E1153" s="22">
        <v>38086</v>
      </c>
      <c r="F1153" t="s">
        <v>13</v>
      </c>
      <c r="G1153" t="s">
        <v>72</v>
      </c>
      <c r="H1153">
        <v>2</v>
      </c>
      <c r="I1153">
        <v>2004</v>
      </c>
      <c r="J1153" t="s">
        <v>22</v>
      </c>
      <c r="K1153" t="s">
        <v>123</v>
      </c>
    </row>
    <row r="1154" spans="1:11">
      <c r="A1154" t="s">
        <v>40</v>
      </c>
      <c r="B1154">
        <v>10252</v>
      </c>
      <c r="C1154">
        <v>41</v>
      </c>
      <c r="D1154" s="21">
        <v>100</v>
      </c>
      <c r="E1154" s="22">
        <v>38133</v>
      </c>
      <c r="F1154" t="s">
        <v>13</v>
      </c>
      <c r="G1154" t="s">
        <v>72</v>
      </c>
      <c r="H1154">
        <v>2</v>
      </c>
      <c r="I1154">
        <v>2004</v>
      </c>
      <c r="J1154" t="s">
        <v>22</v>
      </c>
      <c r="K1154" t="s">
        <v>41</v>
      </c>
    </row>
    <row r="1155" spans="1:11">
      <c r="A1155" t="s">
        <v>205</v>
      </c>
      <c r="B1155">
        <v>10265</v>
      </c>
      <c r="C1155">
        <v>49</v>
      </c>
      <c r="D1155" s="21">
        <v>100</v>
      </c>
      <c r="E1155" s="22">
        <v>38170</v>
      </c>
      <c r="F1155" t="s">
        <v>13</v>
      </c>
      <c r="G1155" t="s">
        <v>72</v>
      </c>
      <c r="H1155">
        <v>3</v>
      </c>
      <c r="I1155">
        <v>2004</v>
      </c>
      <c r="J1155" t="s">
        <v>61</v>
      </c>
      <c r="K1155" t="s">
        <v>206</v>
      </c>
    </row>
    <row r="1156" spans="1:11">
      <c r="A1156" t="s">
        <v>171</v>
      </c>
      <c r="B1156">
        <v>10276</v>
      </c>
      <c r="C1156">
        <v>30</v>
      </c>
      <c r="D1156" s="21">
        <v>100</v>
      </c>
      <c r="E1156" s="22">
        <v>38201</v>
      </c>
      <c r="F1156" t="s">
        <v>13</v>
      </c>
      <c r="G1156" t="s">
        <v>72</v>
      </c>
      <c r="H1156">
        <v>3</v>
      </c>
      <c r="I1156">
        <v>2004</v>
      </c>
      <c r="J1156" t="s">
        <v>22</v>
      </c>
      <c r="K1156" t="s">
        <v>172</v>
      </c>
    </row>
    <row r="1157" spans="1:11">
      <c r="A1157" t="s">
        <v>167</v>
      </c>
      <c r="B1157">
        <v>10287</v>
      </c>
      <c r="C1157">
        <v>40</v>
      </c>
      <c r="D1157" s="21">
        <v>100</v>
      </c>
      <c r="E1157" s="22">
        <v>38229</v>
      </c>
      <c r="F1157" t="s">
        <v>13</v>
      </c>
      <c r="G1157" t="s">
        <v>72</v>
      </c>
      <c r="H1157">
        <v>3</v>
      </c>
      <c r="I1157">
        <v>2004</v>
      </c>
      <c r="J1157" t="s">
        <v>22</v>
      </c>
      <c r="K1157" t="s">
        <v>168</v>
      </c>
    </row>
    <row r="1158" spans="1:11">
      <c r="A1158" t="s">
        <v>173</v>
      </c>
      <c r="B1158">
        <v>10300</v>
      </c>
      <c r="C1158">
        <v>23</v>
      </c>
      <c r="D1158" s="21">
        <v>100</v>
      </c>
      <c r="E1158" s="22">
        <v>37898</v>
      </c>
      <c r="F1158" t="s">
        <v>13</v>
      </c>
      <c r="G1158" t="s">
        <v>72</v>
      </c>
      <c r="H1158">
        <v>4</v>
      </c>
      <c r="I1158">
        <v>2003</v>
      </c>
      <c r="J1158" t="s">
        <v>22</v>
      </c>
      <c r="K1158" t="s">
        <v>174</v>
      </c>
    </row>
    <row r="1159" spans="1:11">
      <c r="A1159" t="s">
        <v>165</v>
      </c>
      <c r="B1159">
        <v>10310</v>
      </c>
      <c r="C1159">
        <v>49</v>
      </c>
      <c r="D1159" s="21">
        <v>100</v>
      </c>
      <c r="E1159" s="22">
        <v>38276</v>
      </c>
      <c r="F1159" t="s">
        <v>13</v>
      </c>
      <c r="G1159" t="s">
        <v>72</v>
      </c>
      <c r="H1159">
        <v>4</v>
      </c>
      <c r="I1159">
        <v>2004</v>
      </c>
      <c r="J1159" t="s">
        <v>22</v>
      </c>
      <c r="K1159" t="s">
        <v>166</v>
      </c>
    </row>
    <row r="1160" spans="1:11">
      <c r="A1160" t="s">
        <v>73</v>
      </c>
      <c r="B1160">
        <v>10320</v>
      </c>
      <c r="C1160">
        <v>25</v>
      </c>
      <c r="D1160" s="21">
        <v>100</v>
      </c>
      <c r="E1160" s="22">
        <v>38294</v>
      </c>
      <c r="F1160" t="s">
        <v>13</v>
      </c>
      <c r="G1160" t="s">
        <v>72</v>
      </c>
      <c r="H1160">
        <v>4</v>
      </c>
      <c r="I1160">
        <v>2004</v>
      </c>
      <c r="J1160" t="s">
        <v>22</v>
      </c>
      <c r="K1160" t="s">
        <v>74</v>
      </c>
    </row>
    <row r="1161" spans="1:11">
      <c r="A1161" t="s">
        <v>161</v>
      </c>
      <c r="B1161">
        <v>10330</v>
      </c>
      <c r="C1161">
        <v>37</v>
      </c>
      <c r="D1161" s="21">
        <v>100</v>
      </c>
      <c r="E1161" s="22">
        <v>38307</v>
      </c>
      <c r="F1161" t="s">
        <v>13</v>
      </c>
      <c r="G1161" t="s">
        <v>72</v>
      </c>
      <c r="H1161">
        <v>4</v>
      </c>
      <c r="I1161">
        <v>2004</v>
      </c>
      <c r="J1161" t="s">
        <v>22</v>
      </c>
      <c r="K1161" t="s">
        <v>162</v>
      </c>
    </row>
    <row r="1162" spans="1:11">
      <c r="A1162" t="s">
        <v>42</v>
      </c>
      <c r="B1162">
        <v>10342</v>
      </c>
      <c r="C1162">
        <v>55</v>
      </c>
      <c r="D1162" s="21">
        <v>100</v>
      </c>
      <c r="E1162" s="22">
        <v>38315</v>
      </c>
      <c r="F1162" t="s">
        <v>13</v>
      </c>
      <c r="G1162" t="s">
        <v>72</v>
      </c>
      <c r="H1162">
        <v>4</v>
      </c>
      <c r="I1162">
        <v>2004</v>
      </c>
      <c r="J1162" t="s">
        <v>22</v>
      </c>
      <c r="K1162" t="s">
        <v>43</v>
      </c>
    </row>
    <row r="1163" spans="1:11">
      <c r="A1163" t="s">
        <v>69</v>
      </c>
      <c r="B1163">
        <v>10355</v>
      </c>
      <c r="C1163">
        <v>23</v>
      </c>
      <c r="D1163" s="21">
        <v>100</v>
      </c>
      <c r="E1163" s="22">
        <v>38328</v>
      </c>
      <c r="F1163" t="s">
        <v>13</v>
      </c>
      <c r="G1163" t="s">
        <v>72</v>
      </c>
      <c r="H1163">
        <v>4</v>
      </c>
      <c r="I1163">
        <v>2004</v>
      </c>
      <c r="J1163" t="s">
        <v>22</v>
      </c>
      <c r="K1163" t="s">
        <v>71</v>
      </c>
    </row>
    <row r="1164" spans="1:11">
      <c r="A1164" t="s">
        <v>175</v>
      </c>
      <c r="B1164">
        <v>10363</v>
      </c>
      <c r="C1164">
        <v>24</v>
      </c>
      <c r="D1164" s="21">
        <v>100</v>
      </c>
      <c r="E1164" s="22">
        <v>38358</v>
      </c>
      <c r="F1164" t="s">
        <v>13</v>
      </c>
      <c r="G1164" t="s">
        <v>72</v>
      </c>
      <c r="H1164">
        <v>1</v>
      </c>
      <c r="I1164">
        <v>2005</v>
      </c>
      <c r="J1164" t="s">
        <v>22</v>
      </c>
      <c r="K1164" t="s">
        <v>176</v>
      </c>
    </row>
    <row r="1165" spans="1:11">
      <c r="A1165" t="s">
        <v>69</v>
      </c>
      <c r="B1165">
        <v>10378</v>
      </c>
      <c r="C1165">
        <v>43</v>
      </c>
      <c r="D1165" s="21">
        <v>96.49</v>
      </c>
      <c r="E1165" s="22">
        <v>38393</v>
      </c>
      <c r="F1165" t="s">
        <v>13</v>
      </c>
      <c r="G1165" t="s">
        <v>72</v>
      </c>
      <c r="H1165">
        <v>1</v>
      </c>
      <c r="I1165">
        <v>2005</v>
      </c>
      <c r="J1165" t="s">
        <v>22</v>
      </c>
      <c r="K1165" t="s">
        <v>71</v>
      </c>
    </row>
    <row r="1166" spans="1:11">
      <c r="A1166" t="s">
        <v>103</v>
      </c>
      <c r="B1166">
        <v>10390</v>
      </c>
      <c r="C1166">
        <v>50</v>
      </c>
      <c r="D1166" s="21">
        <v>100</v>
      </c>
      <c r="E1166" s="22">
        <v>38415</v>
      </c>
      <c r="F1166" t="s">
        <v>13</v>
      </c>
      <c r="G1166" t="s">
        <v>72</v>
      </c>
      <c r="H1166">
        <v>1</v>
      </c>
      <c r="I1166">
        <v>2005</v>
      </c>
      <c r="J1166" t="s">
        <v>61</v>
      </c>
      <c r="K1166" t="s">
        <v>104</v>
      </c>
    </row>
    <row r="1167" spans="1:11">
      <c r="A1167" t="s">
        <v>116</v>
      </c>
      <c r="B1167">
        <v>10109</v>
      </c>
      <c r="C1167">
        <v>47</v>
      </c>
      <c r="D1167" s="21">
        <v>100</v>
      </c>
      <c r="E1167" s="22">
        <v>37690</v>
      </c>
      <c r="F1167" t="s">
        <v>13</v>
      </c>
      <c r="G1167" t="s">
        <v>72</v>
      </c>
      <c r="H1167">
        <v>1</v>
      </c>
      <c r="I1167">
        <v>2003</v>
      </c>
      <c r="J1167" t="s">
        <v>22</v>
      </c>
      <c r="K1167" t="s">
        <v>117</v>
      </c>
    </row>
    <row r="1168" spans="1:11">
      <c r="A1168" t="s">
        <v>118</v>
      </c>
      <c r="B1168">
        <v>10123</v>
      </c>
      <c r="C1168">
        <v>34</v>
      </c>
      <c r="D1168" s="21">
        <v>100</v>
      </c>
      <c r="E1168" s="22">
        <v>37761</v>
      </c>
      <c r="F1168" t="s">
        <v>13</v>
      </c>
      <c r="G1168" t="s">
        <v>72</v>
      </c>
      <c r="H1168">
        <v>2</v>
      </c>
      <c r="I1168">
        <v>2003</v>
      </c>
      <c r="J1168" t="s">
        <v>22</v>
      </c>
      <c r="K1168" t="s">
        <v>119</v>
      </c>
    </row>
    <row r="1169" spans="1:11">
      <c r="A1169" t="s">
        <v>18</v>
      </c>
      <c r="B1169">
        <v>10137</v>
      </c>
      <c r="C1169">
        <v>31</v>
      </c>
      <c r="D1169" s="21">
        <v>100</v>
      </c>
      <c r="E1169" s="22">
        <v>37812</v>
      </c>
      <c r="F1169" t="s">
        <v>13</v>
      </c>
      <c r="G1169" t="s">
        <v>72</v>
      </c>
      <c r="H1169">
        <v>3</v>
      </c>
      <c r="I1169">
        <v>2003</v>
      </c>
      <c r="J1169" t="s">
        <v>22</v>
      </c>
      <c r="K1169" t="s">
        <v>19</v>
      </c>
    </row>
    <row r="1170" spans="1:11">
      <c r="A1170" t="s">
        <v>109</v>
      </c>
      <c r="B1170">
        <v>10148</v>
      </c>
      <c r="C1170">
        <v>28</v>
      </c>
      <c r="D1170" s="21">
        <v>100</v>
      </c>
      <c r="E1170" s="22">
        <v>37875</v>
      </c>
      <c r="F1170" t="s">
        <v>13</v>
      </c>
      <c r="G1170" t="s">
        <v>72</v>
      </c>
      <c r="H1170">
        <v>3</v>
      </c>
      <c r="I1170">
        <v>2003</v>
      </c>
      <c r="J1170" t="s">
        <v>22</v>
      </c>
      <c r="K1170" t="s">
        <v>110</v>
      </c>
    </row>
    <row r="1171" spans="1:11">
      <c r="A1171" t="s">
        <v>185</v>
      </c>
      <c r="B1171">
        <v>10161</v>
      </c>
      <c r="C1171">
        <v>36</v>
      </c>
      <c r="D1171" s="21">
        <v>100</v>
      </c>
      <c r="E1171" s="22">
        <v>37911</v>
      </c>
      <c r="F1171" t="s">
        <v>13</v>
      </c>
      <c r="G1171" t="s">
        <v>72</v>
      </c>
      <c r="H1171">
        <v>4</v>
      </c>
      <c r="I1171">
        <v>2003</v>
      </c>
      <c r="J1171" t="s">
        <v>22</v>
      </c>
      <c r="K1171" t="s">
        <v>186</v>
      </c>
    </row>
    <row r="1172" spans="1:11">
      <c r="A1172" t="s">
        <v>48</v>
      </c>
      <c r="B1172">
        <v>10172</v>
      </c>
      <c r="C1172">
        <v>48</v>
      </c>
      <c r="D1172" s="21">
        <v>100</v>
      </c>
      <c r="E1172" s="22">
        <v>37930</v>
      </c>
      <c r="F1172" t="s">
        <v>13</v>
      </c>
      <c r="G1172" t="s">
        <v>72</v>
      </c>
      <c r="H1172">
        <v>4</v>
      </c>
      <c r="I1172">
        <v>2003</v>
      </c>
      <c r="J1172" t="s">
        <v>22</v>
      </c>
      <c r="K1172" t="s">
        <v>49</v>
      </c>
    </row>
    <row r="1173" spans="1:11">
      <c r="A1173" t="s">
        <v>36</v>
      </c>
      <c r="B1173">
        <v>10181</v>
      </c>
      <c r="C1173">
        <v>39</v>
      </c>
      <c r="D1173" s="21">
        <v>100</v>
      </c>
      <c r="E1173" s="22">
        <v>37937</v>
      </c>
      <c r="F1173" t="s">
        <v>13</v>
      </c>
      <c r="G1173" t="s">
        <v>72</v>
      </c>
      <c r="H1173">
        <v>4</v>
      </c>
      <c r="I1173">
        <v>2003</v>
      </c>
      <c r="J1173" t="s">
        <v>22</v>
      </c>
      <c r="K1173" t="s">
        <v>37</v>
      </c>
    </row>
    <row r="1174" spans="1:11">
      <c r="A1174" t="s">
        <v>105</v>
      </c>
      <c r="B1174">
        <v>10192</v>
      </c>
      <c r="C1174">
        <v>45</v>
      </c>
      <c r="D1174" s="21">
        <v>100</v>
      </c>
      <c r="E1174" s="22">
        <v>37945</v>
      </c>
      <c r="F1174" t="s">
        <v>13</v>
      </c>
      <c r="G1174" t="s">
        <v>72</v>
      </c>
      <c r="H1174">
        <v>4</v>
      </c>
      <c r="I1174">
        <v>2003</v>
      </c>
      <c r="J1174" t="s">
        <v>22</v>
      </c>
      <c r="K1174" t="s">
        <v>106</v>
      </c>
    </row>
    <row r="1175" spans="1:11">
      <c r="A1175" t="s">
        <v>177</v>
      </c>
      <c r="B1175">
        <v>10204</v>
      </c>
      <c r="C1175">
        <v>35</v>
      </c>
      <c r="D1175" s="21">
        <v>100</v>
      </c>
      <c r="E1175" s="22">
        <v>37957</v>
      </c>
      <c r="F1175" t="s">
        <v>13</v>
      </c>
      <c r="G1175" t="s">
        <v>72</v>
      </c>
      <c r="H1175">
        <v>4</v>
      </c>
      <c r="I1175">
        <v>2003</v>
      </c>
      <c r="J1175" t="s">
        <v>22</v>
      </c>
      <c r="K1175" t="s">
        <v>178</v>
      </c>
    </row>
    <row r="1176" spans="1:11">
      <c r="A1176" t="s">
        <v>69</v>
      </c>
      <c r="B1176">
        <v>10212</v>
      </c>
      <c r="C1176">
        <v>45</v>
      </c>
      <c r="D1176" s="21">
        <v>100</v>
      </c>
      <c r="E1176" s="22">
        <v>38002</v>
      </c>
      <c r="F1176" t="s">
        <v>13</v>
      </c>
      <c r="G1176" t="s">
        <v>72</v>
      </c>
      <c r="H1176">
        <v>1</v>
      </c>
      <c r="I1176">
        <v>2004</v>
      </c>
      <c r="J1176" t="s">
        <v>22</v>
      </c>
      <c r="K1176" t="s">
        <v>71</v>
      </c>
    </row>
    <row r="1177" spans="1:11">
      <c r="A1177" t="s">
        <v>137</v>
      </c>
      <c r="B1177">
        <v>10226</v>
      </c>
      <c r="C1177">
        <v>46</v>
      </c>
      <c r="D1177" s="21">
        <v>100</v>
      </c>
      <c r="E1177" s="22">
        <v>38043</v>
      </c>
      <c r="F1177" t="s">
        <v>13</v>
      </c>
      <c r="G1177" t="s">
        <v>72</v>
      </c>
      <c r="H1177">
        <v>1</v>
      </c>
      <c r="I1177">
        <v>2004</v>
      </c>
      <c r="J1177" t="s">
        <v>61</v>
      </c>
      <c r="K1177" t="s">
        <v>138</v>
      </c>
    </row>
    <row r="1178" spans="1:11">
      <c r="A1178" t="s">
        <v>114</v>
      </c>
      <c r="B1178">
        <v>10240</v>
      </c>
      <c r="C1178">
        <v>37</v>
      </c>
      <c r="D1178" s="21">
        <v>100</v>
      </c>
      <c r="E1178" s="22">
        <v>38090</v>
      </c>
      <c r="F1178" t="s">
        <v>13</v>
      </c>
      <c r="G1178" t="s">
        <v>72</v>
      </c>
      <c r="H1178">
        <v>2</v>
      </c>
      <c r="I1178">
        <v>2004</v>
      </c>
      <c r="J1178" t="s">
        <v>22</v>
      </c>
      <c r="K1178" t="s">
        <v>115</v>
      </c>
    </row>
    <row r="1179" spans="1:11">
      <c r="A1179" t="s">
        <v>67</v>
      </c>
      <c r="B1179">
        <v>10253</v>
      </c>
      <c r="C1179">
        <v>31</v>
      </c>
      <c r="D1179" s="21">
        <v>100</v>
      </c>
      <c r="E1179" s="22">
        <v>38139</v>
      </c>
      <c r="F1179" t="s">
        <v>128</v>
      </c>
      <c r="G1179" t="s">
        <v>72</v>
      </c>
      <c r="H1179">
        <v>2</v>
      </c>
      <c r="I1179">
        <v>2004</v>
      </c>
      <c r="J1179" t="s">
        <v>22</v>
      </c>
      <c r="K1179" t="s">
        <v>68</v>
      </c>
    </row>
    <row r="1180" spans="1:11">
      <c r="A1180" t="s">
        <v>169</v>
      </c>
      <c r="B1180">
        <v>10266</v>
      </c>
      <c r="C1180">
        <v>33</v>
      </c>
      <c r="D1180" s="21">
        <v>100</v>
      </c>
      <c r="E1180" s="22">
        <v>38174</v>
      </c>
      <c r="F1180" t="s">
        <v>13</v>
      </c>
      <c r="G1180" t="s">
        <v>72</v>
      </c>
      <c r="H1180">
        <v>3</v>
      </c>
      <c r="I1180">
        <v>2004</v>
      </c>
      <c r="J1180" t="s">
        <v>22</v>
      </c>
      <c r="K1180" t="s">
        <v>170</v>
      </c>
    </row>
    <row r="1181" spans="1:11">
      <c r="A1181" t="s">
        <v>198</v>
      </c>
      <c r="B1181">
        <v>10278</v>
      </c>
      <c r="C1181">
        <v>31</v>
      </c>
      <c r="D1181" s="21">
        <v>100</v>
      </c>
      <c r="E1181" s="22">
        <v>38205</v>
      </c>
      <c r="F1181" t="s">
        <v>13</v>
      </c>
      <c r="G1181" t="s">
        <v>72</v>
      </c>
      <c r="H1181">
        <v>3</v>
      </c>
      <c r="I1181">
        <v>2004</v>
      </c>
      <c r="J1181" t="s">
        <v>22</v>
      </c>
      <c r="K1181" t="s">
        <v>199</v>
      </c>
    </row>
    <row r="1182" spans="1:11">
      <c r="A1182" t="s">
        <v>167</v>
      </c>
      <c r="B1182">
        <v>10287</v>
      </c>
      <c r="C1182">
        <v>27</v>
      </c>
      <c r="D1182" s="21">
        <v>100</v>
      </c>
      <c r="E1182" s="22">
        <v>38229</v>
      </c>
      <c r="F1182" t="s">
        <v>13</v>
      </c>
      <c r="G1182" t="s">
        <v>72</v>
      </c>
      <c r="H1182">
        <v>3</v>
      </c>
      <c r="I1182">
        <v>2004</v>
      </c>
      <c r="J1182" t="s">
        <v>22</v>
      </c>
      <c r="K1182" t="s">
        <v>168</v>
      </c>
    </row>
    <row r="1183" spans="1:11">
      <c r="A1183" t="s">
        <v>200</v>
      </c>
      <c r="B1183">
        <v>10301</v>
      </c>
      <c r="C1183">
        <v>39</v>
      </c>
      <c r="D1183" s="21">
        <v>100</v>
      </c>
      <c r="E1183" s="22">
        <v>37899</v>
      </c>
      <c r="F1183" t="s">
        <v>13</v>
      </c>
      <c r="G1183" t="s">
        <v>72</v>
      </c>
      <c r="H1183">
        <v>4</v>
      </c>
      <c r="I1183">
        <v>2003</v>
      </c>
      <c r="J1183" t="s">
        <v>22</v>
      </c>
      <c r="K1183" t="s">
        <v>201</v>
      </c>
    </row>
    <row r="1184" spans="1:11">
      <c r="A1184" t="s">
        <v>69</v>
      </c>
      <c r="B1184">
        <v>10311</v>
      </c>
      <c r="C1184">
        <v>32</v>
      </c>
      <c r="D1184" s="21">
        <v>100</v>
      </c>
      <c r="E1184" s="22">
        <v>38276</v>
      </c>
      <c r="F1184" t="s">
        <v>13</v>
      </c>
      <c r="G1184" t="s">
        <v>72</v>
      </c>
      <c r="H1184">
        <v>4</v>
      </c>
      <c r="I1184">
        <v>2004</v>
      </c>
      <c r="J1184" t="s">
        <v>22</v>
      </c>
      <c r="K1184" t="s">
        <v>71</v>
      </c>
    </row>
    <row r="1185" spans="1:11">
      <c r="A1185" t="s">
        <v>65</v>
      </c>
      <c r="B1185">
        <v>10321</v>
      </c>
      <c r="C1185">
        <v>28</v>
      </c>
      <c r="D1185" s="21">
        <v>100</v>
      </c>
      <c r="E1185" s="22">
        <v>38295</v>
      </c>
      <c r="F1185" t="s">
        <v>13</v>
      </c>
      <c r="G1185" t="s">
        <v>72</v>
      </c>
      <c r="H1185">
        <v>4</v>
      </c>
      <c r="I1185">
        <v>2004</v>
      </c>
      <c r="J1185" t="s">
        <v>22</v>
      </c>
      <c r="K1185" t="s">
        <v>66</v>
      </c>
    </row>
    <row r="1186" spans="1:11">
      <c r="A1186" t="s">
        <v>116</v>
      </c>
      <c r="B1186">
        <v>10331</v>
      </c>
      <c r="C1186">
        <v>26</v>
      </c>
      <c r="D1186" s="21">
        <v>67.91</v>
      </c>
      <c r="E1186" s="22">
        <v>38308</v>
      </c>
      <c r="F1186" t="s">
        <v>13</v>
      </c>
      <c r="G1186" t="s">
        <v>72</v>
      </c>
      <c r="H1186">
        <v>4</v>
      </c>
      <c r="I1186">
        <v>2004</v>
      </c>
      <c r="J1186" t="s">
        <v>15</v>
      </c>
      <c r="K1186" t="s">
        <v>117</v>
      </c>
    </row>
    <row r="1187" spans="1:11">
      <c r="A1187" t="s">
        <v>18</v>
      </c>
      <c r="B1187">
        <v>10343</v>
      </c>
      <c r="C1187">
        <v>44</v>
      </c>
      <c r="D1187" s="21">
        <v>84.88</v>
      </c>
      <c r="E1187" s="22">
        <v>38315</v>
      </c>
      <c r="F1187" t="s">
        <v>13</v>
      </c>
      <c r="G1187" t="s">
        <v>72</v>
      </c>
      <c r="H1187">
        <v>4</v>
      </c>
      <c r="I1187">
        <v>2004</v>
      </c>
      <c r="J1187" t="s">
        <v>22</v>
      </c>
      <c r="K1187" t="s">
        <v>19</v>
      </c>
    </row>
    <row r="1188" spans="1:11">
      <c r="A1188" t="s">
        <v>25</v>
      </c>
      <c r="B1188">
        <v>10367</v>
      </c>
      <c r="C1188">
        <v>46</v>
      </c>
      <c r="D1188" s="21">
        <v>100</v>
      </c>
      <c r="E1188" s="22">
        <v>38364</v>
      </c>
      <c r="F1188" t="s">
        <v>155</v>
      </c>
      <c r="G1188" t="s">
        <v>72</v>
      </c>
      <c r="H1188">
        <v>1</v>
      </c>
      <c r="I1188">
        <v>2005</v>
      </c>
      <c r="J1188" t="s">
        <v>22</v>
      </c>
      <c r="K1188" t="s">
        <v>26</v>
      </c>
    </row>
    <row r="1189" spans="1:11">
      <c r="A1189" t="s">
        <v>69</v>
      </c>
      <c r="B1189">
        <v>10379</v>
      </c>
      <c r="C1189">
        <v>32</v>
      </c>
      <c r="D1189" s="21">
        <v>70.83</v>
      </c>
      <c r="E1189" s="22">
        <v>38393</v>
      </c>
      <c r="F1189" t="s">
        <v>13</v>
      </c>
      <c r="G1189" t="s">
        <v>72</v>
      </c>
      <c r="H1189">
        <v>1</v>
      </c>
      <c r="I1189">
        <v>2005</v>
      </c>
      <c r="J1189" t="s">
        <v>15</v>
      </c>
      <c r="K1189" t="s">
        <v>71</v>
      </c>
    </row>
    <row r="1190" spans="1:11">
      <c r="A1190" t="s">
        <v>122</v>
      </c>
      <c r="B1190">
        <v>10406</v>
      </c>
      <c r="C1190">
        <v>65</v>
      </c>
      <c r="D1190" s="21">
        <v>100</v>
      </c>
      <c r="E1190" s="22">
        <v>38457</v>
      </c>
      <c r="F1190" t="s">
        <v>70</v>
      </c>
      <c r="G1190" t="s">
        <v>72</v>
      </c>
      <c r="H1190">
        <v>2</v>
      </c>
      <c r="I1190">
        <v>2005</v>
      </c>
      <c r="J1190" t="s">
        <v>61</v>
      </c>
      <c r="K1190" t="s">
        <v>123</v>
      </c>
    </row>
    <row r="1191" spans="1:11">
      <c r="A1191" t="s">
        <v>60</v>
      </c>
      <c r="B1191">
        <v>10419</v>
      </c>
      <c r="C1191">
        <v>43</v>
      </c>
      <c r="D1191" s="21">
        <v>100</v>
      </c>
      <c r="E1191" s="22">
        <v>38489</v>
      </c>
      <c r="F1191" t="s">
        <v>13</v>
      </c>
      <c r="G1191" t="s">
        <v>72</v>
      </c>
      <c r="H1191">
        <v>2</v>
      </c>
      <c r="I1191">
        <v>2005</v>
      </c>
      <c r="J1191" t="s">
        <v>22</v>
      </c>
      <c r="K1191" t="s">
        <v>62</v>
      </c>
    </row>
    <row r="1192" spans="1:11">
      <c r="A1192" t="s">
        <v>161</v>
      </c>
      <c r="B1192">
        <v>10108</v>
      </c>
      <c r="C1192">
        <v>43</v>
      </c>
      <c r="D1192" s="21">
        <v>67.77</v>
      </c>
      <c r="E1192" s="22">
        <v>37683</v>
      </c>
      <c r="F1192" t="s">
        <v>13</v>
      </c>
      <c r="G1192" t="s">
        <v>14</v>
      </c>
      <c r="H1192">
        <v>1</v>
      </c>
      <c r="I1192">
        <v>2003</v>
      </c>
      <c r="J1192" t="s">
        <v>15</v>
      </c>
      <c r="K1192" t="s">
        <v>162</v>
      </c>
    </row>
    <row r="1193" spans="1:11">
      <c r="A1193" t="s">
        <v>163</v>
      </c>
      <c r="B1193">
        <v>10122</v>
      </c>
      <c r="C1193">
        <v>35</v>
      </c>
      <c r="D1193" s="21">
        <v>49.74</v>
      </c>
      <c r="E1193" s="22">
        <v>37749</v>
      </c>
      <c r="F1193" t="s">
        <v>13</v>
      </c>
      <c r="G1193" t="s">
        <v>14</v>
      </c>
      <c r="H1193">
        <v>2</v>
      </c>
      <c r="I1193">
        <v>2003</v>
      </c>
      <c r="J1193" t="s">
        <v>15</v>
      </c>
      <c r="K1193" t="s">
        <v>164</v>
      </c>
    </row>
    <row r="1194" spans="1:11">
      <c r="A1194" t="s">
        <v>103</v>
      </c>
      <c r="B1194">
        <v>10135</v>
      </c>
      <c r="C1194">
        <v>45</v>
      </c>
      <c r="D1194" s="21">
        <v>50.36</v>
      </c>
      <c r="E1194" s="22">
        <v>37804</v>
      </c>
      <c r="F1194" t="s">
        <v>13</v>
      </c>
      <c r="G1194" t="s">
        <v>14</v>
      </c>
      <c r="H1194">
        <v>3</v>
      </c>
      <c r="I1194">
        <v>2003</v>
      </c>
      <c r="J1194" t="s">
        <v>15</v>
      </c>
      <c r="K1194" t="s">
        <v>104</v>
      </c>
    </row>
    <row r="1195" spans="1:11">
      <c r="A1195" t="s">
        <v>208</v>
      </c>
      <c r="B1195">
        <v>10146</v>
      </c>
      <c r="C1195">
        <v>47</v>
      </c>
      <c r="D1195" s="21">
        <v>67.14</v>
      </c>
      <c r="E1195" s="22">
        <v>37867</v>
      </c>
      <c r="F1195" t="s">
        <v>13</v>
      </c>
      <c r="G1195" t="s">
        <v>14</v>
      </c>
      <c r="H1195">
        <v>3</v>
      </c>
      <c r="I1195">
        <v>2003</v>
      </c>
      <c r="J1195" t="s">
        <v>22</v>
      </c>
      <c r="K1195" t="s">
        <v>209</v>
      </c>
    </row>
    <row r="1196" spans="1:11">
      <c r="A1196" t="s">
        <v>28</v>
      </c>
      <c r="B1196">
        <v>10159</v>
      </c>
      <c r="C1196">
        <v>21</v>
      </c>
      <c r="D1196" s="21">
        <v>64.66</v>
      </c>
      <c r="E1196" s="22">
        <v>37904</v>
      </c>
      <c r="F1196" t="s">
        <v>13</v>
      </c>
      <c r="G1196" t="s">
        <v>14</v>
      </c>
      <c r="H1196">
        <v>4</v>
      </c>
      <c r="I1196">
        <v>2003</v>
      </c>
      <c r="J1196" t="s">
        <v>15</v>
      </c>
      <c r="K1196" t="s">
        <v>29</v>
      </c>
    </row>
    <row r="1197" spans="1:11">
      <c r="A1197" t="s">
        <v>109</v>
      </c>
      <c r="B1197">
        <v>10169</v>
      </c>
      <c r="C1197">
        <v>38</v>
      </c>
      <c r="D1197" s="21">
        <v>68.39</v>
      </c>
      <c r="E1197" s="22">
        <v>37929</v>
      </c>
      <c r="F1197" t="s">
        <v>13</v>
      </c>
      <c r="G1197" t="s">
        <v>14</v>
      </c>
      <c r="H1197">
        <v>4</v>
      </c>
      <c r="I1197">
        <v>2003</v>
      </c>
      <c r="J1197" t="s">
        <v>15</v>
      </c>
      <c r="K1197" t="s">
        <v>110</v>
      </c>
    </row>
    <row r="1198" spans="1:11">
      <c r="A1198" t="s">
        <v>34</v>
      </c>
      <c r="B1198">
        <v>10180</v>
      </c>
      <c r="C1198">
        <v>21</v>
      </c>
      <c r="D1198" s="21">
        <v>50.36</v>
      </c>
      <c r="E1198" s="22">
        <v>37936</v>
      </c>
      <c r="F1198" t="s">
        <v>13</v>
      </c>
      <c r="G1198" t="s">
        <v>14</v>
      </c>
      <c r="H1198">
        <v>4</v>
      </c>
      <c r="I1198">
        <v>2003</v>
      </c>
      <c r="J1198" t="s">
        <v>15</v>
      </c>
      <c r="K1198" t="s">
        <v>35</v>
      </c>
    </row>
    <row r="1199" spans="1:11">
      <c r="A1199" t="s">
        <v>165</v>
      </c>
      <c r="B1199">
        <v>10191</v>
      </c>
      <c r="C1199">
        <v>43</v>
      </c>
      <c r="D1199" s="21">
        <v>72.74</v>
      </c>
      <c r="E1199" s="22">
        <v>37945</v>
      </c>
      <c r="F1199" t="s">
        <v>13</v>
      </c>
      <c r="G1199" t="s">
        <v>14</v>
      </c>
      <c r="H1199">
        <v>4</v>
      </c>
      <c r="I1199">
        <v>2003</v>
      </c>
      <c r="J1199" t="s">
        <v>22</v>
      </c>
      <c r="K1199" t="s">
        <v>166</v>
      </c>
    </row>
    <row r="1200" spans="1:11">
      <c r="A1200" t="s">
        <v>40</v>
      </c>
      <c r="B1200">
        <v>10211</v>
      </c>
      <c r="C1200">
        <v>46</v>
      </c>
      <c r="D1200" s="21">
        <v>54.09</v>
      </c>
      <c r="E1200" s="22">
        <v>38001</v>
      </c>
      <c r="F1200" t="s">
        <v>13</v>
      </c>
      <c r="G1200" t="s">
        <v>14</v>
      </c>
      <c r="H1200">
        <v>1</v>
      </c>
      <c r="I1200">
        <v>2004</v>
      </c>
      <c r="J1200" t="s">
        <v>15</v>
      </c>
      <c r="K1200" t="s">
        <v>41</v>
      </c>
    </row>
    <row r="1201" spans="1:11">
      <c r="A1201" t="s">
        <v>34</v>
      </c>
      <c r="B1201">
        <v>10224</v>
      </c>
      <c r="C1201">
        <v>38</v>
      </c>
      <c r="D1201" s="21">
        <v>58.44</v>
      </c>
      <c r="E1201" s="22">
        <v>38038</v>
      </c>
      <c r="F1201" t="s">
        <v>13</v>
      </c>
      <c r="G1201" t="s">
        <v>14</v>
      </c>
      <c r="H1201">
        <v>1</v>
      </c>
      <c r="I1201">
        <v>2004</v>
      </c>
      <c r="J1201" t="s">
        <v>15</v>
      </c>
      <c r="K1201" t="s">
        <v>35</v>
      </c>
    </row>
    <row r="1202" spans="1:11">
      <c r="A1202" t="s">
        <v>44</v>
      </c>
      <c r="B1202">
        <v>10237</v>
      </c>
      <c r="C1202">
        <v>26</v>
      </c>
      <c r="D1202" s="21">
        <v>52.22</v>
      </c>
      <c r="E1202" s="22">
        <v>38082</v>
      </c>
      <c r="F1202" t="s">
        <v>13</v>
      </c>
      <c r="G1202" t="s">
        <v>14</v>
      </c>
      <c r="H1202">
        <v>2</v>
      </c>
      <c r="I1202">
        <v>2004</v>
      </c>
      <c r="J1202" t="s">
        <v>15</v>
      </c>
      <c r="K1202" t="s">
        <v>45</v>
      </c>
    </row>
    <row r="1203" spans="1:11">
      <c r="A1203" t="s">
        <v>40</v>
      </c>
      <c r="B1203">
        <v>10252</v>
      </c>
      <c r="C1203">
        <v>31</v>
      </c>
      <c r="D1203" s="21">
        <v>52.84</v>
      </c>
      <c r="E1203" s="22">
        <v>38133</v>
      </c>
      <c r="F1203" t="s">
        <v>13</v>
      </c>
      <c r="G1203" t="s">
        <v>14</v>
      </c>
      <c r="H1203">
        <v>2</v>
      </c>
      <c r="I1203">
        <v>2004</v>
      </c>
      <c r="J1203" t="s">
        <v>15</v>
      </c>
      <c r="K1203" t="s">
        <v>41</v>
      </c>
    </row>
    <row r="1204" spans="1:11">
      <c r="A1204" t="s">
        <v>143</v>
      </c>
      <c r="B1204">
        <v>10264</v>
      </c>
      <c r="C1204">
        <v>48</v>
      </c>
      <c r="D1204" s="21">
        <v>54.71</v>
      </c>
      <c r="E1204" s="22">
        <v>38168</v>
      </c>
      <c r="F1204" t="s">
        <v>13</v>
      </c>
      <c r="G1204" t="s">
        <v>14</v>
      </c>
      <c r="H1204">
        <v>2</v>
      </c>
      <c r="I1204">
        <v>2004</v>
      </c>
      <c r="J1204" t="s">
        <v>15</v>
      </c>
      <c r="K1204" t="s">
        <v>144</v>
      </c>
    </row>
    <row r="1205" spans="1:11">
      <c r="A1205" t="s">
        <v>171</v>
      </c>
      <c r="B1205">
        <v>10276</v>
      </c>
      <c r="C1205">
        <v>33</v>
      </c>
      <c r="D1205" s="21">
        <v>50.36</v>
      </c>
      <c r="E1205" s="22">
        <v>38201</v>
      </c>
      <c r="F1205" t="s">
        <v>13</v>
      </c>
      <c r="G1205" t="s">
        <v>14</v>
      </c>
      <c r="H1205">
        <v>3</v>
      </c>
      <c r="I1205">
        <v>2004</v>
      </c>
      <c r="J1205" t="s">
        <v>15</v>
      </c>
      <c r="K1205" t="s">
        <v>172</v>
      </c>
    </row>
    <row r="1206" spans="1:11">
      <c r="A1206" t="s">
        <v>152</v>
      </c>
      <c r="B1206">
        <v>10286</v>
      </c>
      <c r="C1206">
        <v>38</v>
      </c>
      <c r="D1206" s="21">
        <v>57.2</v>
      </c>
      <c r="E1206" s="22">
        <v>38227</v>
      </c>
      <c r="F1206" t="s">
        <v>13</v>
      </c>
      <c r="G1206" t="s">
        <v>14</v>
      </c>
      <c r="H1206">
        <v>3</v>
      </c>
      <c r="I1206">
        <v>2004</v>
      </c>
      <c r="J1206" t="s">
        <v>15</v>
      </c>
      <c r="K1206" t="s">
        <v>153</v>
      </c>
    </row>
    <row r="1207" spans="1:11">
      <c r="A1207" t="s">
        <v>54</v>
      </c>
      <c r="B1207">
        <v>10299</v>
      </c>
      <c r="C1207">
        <v>39</v>
      </c>
      <c r="D1207" s="21">
        <v>55.95</v>
      </c>
      <c r="E1207" s="22">
        <v>38260</v>
      </c>
      <c r="F1207" t="s">
        <v>13</v>
      </c>
      <c r="G1207" t="s">
        <v>14</v>
      </c>
      <c r="H1207">
        <v>3</v>
      </c>
      <c r="I1207">
        <v>2004</v>
      </c>
      <c r="J1207" t="s">
        <v>15</v>
      </c>
      <c r="K1207" t="s">
        <v>55</v>
      </c>
    </row>
    <row r="1208" spans="1:11">
      <c r="A1208" t="s">
        <v>165</v>
      </c>
      <c r="B1208">
        <v>10310</v>
      </c>
      <c r="C1208">
        <v>42</v>
      </c>
      <c r="D1208" s="21">
        <v>67.14</v>
      </c>
      <c r="E1208" s="22">
        <v>38276</v>
      </c>
      <c r="F1208" t="s">
        <v>13</v>
      </c>
      <c r="G1208" t="s">
        <v>14</v>
      </c>
      <c r="H1208">
        <v>4</v>
      </c>
      <c r="I1208">
        <v>2004</v>
      </c>
      <c r="J1208" t="s">
        <v>15</v>
      </c>
      <c r="K1208" t="s">
        <v>166</v>
      </c>
    </row>
    <row r="1209" spans="1:11">
      <c r="A1209" t="s">
        <v>188</v>
      </c>
      <c r="B1209">
        <v>10319</v>
      </c>
      <c r="C1209">
        <v>44</v>
      </c>
      <c r="D1209" s="21">
        <v>59.06</v>
      </c>
      <c r="E1209" s="22">
        <v>38294</v>
      </c>
      <c r="F1209" t="s">
        <v>13</v>
      </c>
      <c r="G1209" t="s">
        <v>14</v>
      </c>
      <c r="H1209">
        <v>4</v>
      </c>
      <c r="I1209">
        <v>2004</v>
      </c>
      <c r="J1209" t="s">
        <v>15</v>
      </c>
      <c r="K1209" t="s">
        <v>189</v>
      </c>
    </row>
    <row r="1210" spans="1:11">
      <c r="A1210" t="s">
        <v>161</v>
      </c>
      <c r="B1210">
        <v>10330</v>
      </c>
      <c r="C1210">
        <v>29</v>
      </c>
      <c r="D1210" s="21">
        <v>69.63</v>
      </c>
      <c r="E1210" s="22">
        <v>38307</v>
      </c>
      <c r="F1210" t="s">
        <v>13</v>
      </c>
      <c r="G1210" t="s">
        <v>14</v>
      </c>
      <c r="H1210">
        <v>4</v>
      </c>
      <c r="I1210">
        <v>2004</v>
      </c>
      <c r="J1210" t="s">
        <v>15</v>
      </c>
      <c r="K1210" t="s">
        <v>162</v>
      </c>
    </row>
    <row r="1211" spans="1:11">
      <c r="A1211" t="s">
        <v>42</v>
      </c>
      <c r="B1211">
        <v>10342</v>
      </c>
      <c r="C1211">
        <v>26</v>
      </c>
      <c r="D1211" s="21">
        <v>55.95</v>
      </c>
      <c r="E1211" s="22">
        <v>38315</v>
      </c>
      <c r="F1211" t="s">
        <v>13</v>
      </c>
      <c r="G1211" t="s">
        <v>14</v>
      </c>
      <c r="H1211">
        <v>4</v>
      </c>
      <c r="I1211">
        <v>2004</v>
      </c>
      <c r="J1211" t="s">
        <v>15</v>
      </c>
      <c r="K1211" t="s">
        <v>43</v>
      </c>
    </row>
    <row r="1212" spans="1:11">
      <c r="A1212" t="s">
        <v>69</v>
      </c>
      <c r="B1212">
        <v>10355</v>
      </c>
      <c r="C1212">
        <v>31</v>
      </c>
      <c r="D1212" s="21">
        <v>53.47</v>
      </c>
      <c r="E1212" s="22">
        <v>38328</v>
      </c>
      <c r="F1212" t="s">
        <v>13</v>
      </c>
      <c r="G1212" t="s">
        <v>14</v>
      </c>
      <c r="H1212">
        <v>4</v>
      </c>
      <c r="I1212">
        <v>2004</v>
      </c>
      <c r="J1212" t="s">
        <v>15</v>
      </c>
      <c r="K1212" t="s">
        <v>71</v>
      </c>
    </row>
    <row r="1213" spans="1:11">
      <c r="A1213" t="s">
        <v>175</v>
      </c>
      <c r="B1213">
        <v>10363</v>
      </c>
      <c r="C1213">
        <v>32</v>
      </c>
      <c r="D1213" s="21">
        <v>89.12</v>
      </c>
      <c r="E1213" s="22">
        <v>38358</v>
      </c>
      <c r="F1213" t="s">
        <v>13</v>
      </c>
      <c r="G1213" t="s">
        <v>14</v>
      </c>
      <c r="H1213">
        <v>1</v>
      </c>
      <c r="I1213">
        <v>2005</v>
      </c>
      <c r="J1213" t="s">
        <v>15</v>
      </c>
      <c r="K1213" t="s">
        <v>176</v>
      </c>
    </row>
    <row r="1214" spans="1:11">
      <c r="A1214" t="s">
        <v>69</v>
      </c>
      <c r="B1214">
        <v>10378</v>
      </c>
      <c r="C1214">
        <v>28</v>
      </c>
      <c r="D1214" s="21">
        <v>100</v>
      </c>
      <c r="E1214" s="22">
        <v>38393</v>
      </c>
      <c r="F1214" t="s">
        <v>13</v>
      </c>
      <c r="G1214" t="s">
        <v>14</v>
      </c>
      <c r="H1214">
        <v>1</v>
      </c>
      <c r="I1214">
        <v>2005</v>
      </c>
      <c r="J1214" t="s">
        <v>22</v>
      </c>
      <c r="K1214" t="s">
        <v>71</v>
      </c>
    </row>
    <row r="1215" spans="1:11">
      <c r="A1215" t="s">
        <v>103</v>
      </c>
      <c r="B1215">
        <v>10390</v>
      </c>
      <c r="C1215">
        <v>36</v>
      </c>
      <c r="D1215" s="21">
        <v>100</v>
      </c>
      <c r="E1215" s="22">
        <v>38415</v>
      </c>
      <c r="F1215" t="s">
        <v>13</v>
      </c>
      <c r="G1215" t="s">
        <v>14</v>
      </c>
      <c r="H1215">
        <v>1</v>
      </c>
      <c r="I1215">
        <v>2005</v>
      </c>
      <c r="J1215" t="s">
        <v>22</v>
      </c>
      <c r="K1215" t="s">
        <v>104</v>
      </c>
    </row>
    <row r="1216" spans="1:11">
      <c r="A1216" t="s">
        <v>67</v>
      </c>
      <c r="B1216">
        <v>10403</v>
      </c>
      <c r="C1216">
        <v>36</v>
      </c>
      <c r="D1216" s="21">
        <v>52.22</v>
      </c>
      <c r="E1216" s="22">
        <v>38450</v>
      </c>
      <c r="F1216" t="s">
        <v>13</v>
      </c>
      <c r="G1216" t="s">
        <v>14</v>
      </c>
      <c r="H1216">
        <v>2</v>
      </c>
      <c r="I1216">
        <v>2005</v>
      </c>
      <c r="J1216" t="s">
        <v>15</v>
      </c>
      <c r="K1216" t="s">
        <v>68</v>
      </c>
    </row>
    <row r="1217" spans="1:11">
      <c r="A1217" t="s">
        <v>203</v>
      </c>
      <c r="B1217">
        <v>10106</v>
      </c>
      <c r="C1217">
        <v>41</v>
      </c>
      <c r="D1217" s="21">
        <v>100</v>
      </c>
      <c r="E1217" s="22">
        <v>37669</v>
      </c>
      <c r="F1217" t="s">
        <v>13</v>
      </c>
      <c r="G1217" t="s">
        <v>202</v>
      </c>
      <c r="H1217">
        <v>1</v>
      </c>
      <c r="I1217">
        <v>2003</v>
      </c>
      <c r="J1217" t="s">
        <v>22</v>
      </c>
      <c r="K1217" t="s">
        <v>204</v>
      </c>
    </row>
    <row r="1218" spans="1:11">
      <c r="A1218" t="s">
        <v>60</v>
      </c>
      <c r="B1218">
        <v>10119</v>
      </c>
      <c r="C1218">
        <v>27</v>
      </c>
      <c r="D1218" s="21">
        <v>99.52</v>
      </c>
      <c r="E1218" s="22">
        <v>37739</v>
      </c>
      <c r="F1218" t="s">
        <v>13</v>
      </c>
      <c r="G1218" t="s">
        <v>202</v>
      </c>
      <c r="H1218">
        <v>2</v>
      </c>
      <c r="I1218">
        <v>2003</v>
      </c>
      <c r="J1218" t="s">
        <v>15</v>
      </c>
      <c r="K1218" t="s">
        <v>62</v>
      </c>
    </row>
    <row r="1219" spans="1:11">
      <c r="A1219" t="s">
        <v>215</v>
      </c>
      <c r="B1219">
        <v>10130</v>
      </c>
      <c r="C1219">
        <v>33</v>
      </c>
      <c r="D1219" s="21">
        <v>100</v>
      </c>
      <c r="E1219" s="22">
        <v>37788</v>
      </c>
      <c r="F1219" t="s">
        <v>13</v>
      </c>
      <c r="G1219" t="s">
        <v>202</v>
      </c>
      <c r="H1219">
        <v>2</v>
      </c>
      <c r="I1219">
        <v>2003</v>
      </c>
      <c r="J1219" t="s">
        <v>22</v>
      </c>
      <c r="K1219" t="s">
        <v>216</v>
      </c>
    </row>
    <row r="1220" spans="1:11">
      <c r="A1220" t="s">
        <v>126</v>
      </c>
      <c r="B1220">
        <v>10143</v>
      </c>
      <c r="C1220">
        <v>34</v>
      </c>
      <c r="D1220" s="21">
        <v>100</v>
      </c>
      <c r="E1220" s="22">
        <v>37843</v>
      </c>
      <c r="F1220" t="s">
        <v>13</v>
      </c>
      <c r="G1220" t="s">
        <v>202</v>
      </c>
      <c r="H1220">
        <v>3</v>
      </c>
      <c r="I1220">
        <v>2003</v>
      </c>
      <c r="J1220" t="s">
        <v>22</v>
      </c>
      <c r="K1220" t="s">
        <v>127</v>
      </c>
    </row>
    <row r="1221" spans="1:11">
      <c r="A1221" t="s">
        <v>54</v>
      </c>
      <c r="B1221">
        <v>10155</v>
      </c>
      <c r="C1221">
        <v>29</v>
      </c>
      <c r="D1221" s="21">
        <v>100</v>
      </c>
      <c r="E1221" s="22">
        <v>37900</v>
      </c>
      <c r="F1221" t="s">
        <v>13</v>
      </c>
      <c r="G1221" t="s">
        <v>202</v>
      </c>
      <c r="H1221">
        <v>4</v>
      </c>
      <c r="I1221">
        <v>2003</v>
      </c>
      <c r="J1221" t="s">
        <v>22</v>
      </c>
      <c r="K1221" t="s">
        <v>55</v>
      </c>
    </row>
    <row r="1222" spans="1:11">
      <c r="A1222" t="s">
        <v>99</v>
      </c>
      <c r="B1222">
        <v>10167</v>
      </c>
      <c r="C1222">
        <v>34</v>
      </c>
      <c r="D1222" s="21">
        <v>100</v>
      </c>
      <c r="E1222" s="22">
        <v>37917</v>
      </c>
      <c r="F1222" t="s">
        <v>128</v>
      </c>
      <c r="G1222" t="s">
        <v>202</v>
      </c>
      <c r="H1222">
        <v>4</v>
      </c>
      <c r="I1222">
        <v>2003</v>
      </c>
      <c r="J1222" t="s">
        <v>22</v>
      </c>
      <c r="K1222" t="s">
        <v>100</v>
      </c>
    </row>
    <row r="1223" spans="1:11">
      <c r="A1223" t="s">
        <v>129</v>
      </c>
      <c r="B1223">
        <v>10178</v>
      </c>
      <c r="C1223">
        <v>48</v>
      </c>
      <c r="D1223" s="21">
        <v>100</v>
      </c>
      <c r="E1223" s="22">
        <v>37933</v>
      </c>
      <c r="F1223" t="s">
        <v>13</v>
      </c>
      <c r="G1223" t="s">
        <v>202</v>
      </c>
      <c r="H1223">
        <v>4</v>
      </c>
      <c r="I1223">
        <v>2003</v>
      </c>
      <c r="J1223" t="s">
        <v>22</v>
      </c>
      <c r="K1223" t="s">
        <v>130</v>
      </c>
    </row>
    <row r="1224" spans="1:11">
      <c r="A1224" t="s">
        <v>131</v>
      </c>
      <c r="B1224">
        <v>10186</v>
      </c>
      <c r="C1224">
        <v>46</v>
      </c>
      <c r="D1224" s="21">
        <v>100</v>
      </c>
      <c r="E1224" s="22">
        <v>37939</v>
      </c>
      <c r="F1224" t="s">
        <v>13</v>
      </c>
      <c r="G1224" t="s">
        <v>202</v>
      </c>
      <c r="H1224">
        <v>4</v>
      </c>
      <c r="I1224">
        <v>2003</v>
      </c>
      <c r="J1224" t="s">
        <v>22</v>
      </c>
      <c r="K1224" t="s">
        <v>132</v>
      </c>
    </row>
    <row r="1225" spans="1:11">
      <c r="A1225" t="s">
        <v>133</v>
      </c>
      <c r="B1225">
        <v>10197</v>
      </c>
      <c r="C1225">
        <v>22</v>
      </c>
      <c r="D1225" s="21">
        <v>100</v>
      </c>
      <c r="E1225" s="22">
        <v>37951</v>
      </c>
      <c r="F1225" t="s">
        <v>13</v>
      </c>
      <c r="G1225" t="s">
        <v>202</v>
      </c>
      <c r="H1225">
        <v>4</v>
      </c>
      <c r="I1225">
        <v>2003</v>
      </c>
      <c r="J1225" t="s">
        <v>15</v>
      </c>
      <c r="K1225" t="s">
        <v>134</v>
      </c>
    </row>
    <row r="1226" spans="1:11">
      <c r="A1226" t="s">
        <v>135</v>
      </c>
      <c r="B1226">
        <v>10209</v>
      </c>
      <c r="C1226">
        <v>20</v>
      </c>
      <c r="D1226" s="21">
        <v>100</v>
      </c>
      <c r="E1226" s="22">
        <v>37995</v>
      </c>
      <c r="F1226" t="s">
        <v>13</v>
      </c>
      <c r="G1226" t="s">
        <v>202</v>
      </c>
      <c r="H1226">
        <v>1</v>
      </c>
      <c r="I1226">
        <v>2004</v>
      </c>
      <c r="J1226" t="s">
        <v>15</v>
      </c>
      <c r="K1226" t="s">
        <v>136</v>
      </c>
    </row>
    <row r="1227" spans="1:11">
      <c r="A1227" t="s">
        <v>137</v>
      </c>
      <c r="B1227">
        <v>10222</v>
      </c>
      <c r="C1227">
        <v>45</v>
      </c>
      <c r="D1227" s="21">
        <v>85.75</v>
      </c>
      <c r="E1227" s="22">
        <v>38036</v>
      </c>
      <c r="F1227" t="s">
        <v>13</v>
      </c>
      <c r="G1227" t="s">
        <v>202</v>
      </c>
      <c r="H1227">
        <v>1</v>
      </c>
      <c r="I1227">
        <v>2004</v>
      </c>
      <c r="J1227" t="s">
        <v>22</v>
      </c>
      <c r="K1227" t="s">
        <v>138</v>
      </c>
    </row>
    <row r="1228" spans="1:11">
      <c r="A1228" t="s">
        <v>91</v>
      </c>
      <c r="B1228">
        <v>10249</v>
      </c>
      <c r="C1228">
        <v>46</v>
      </c>
      <c r="D1228" s="21">
        <v>100</v>
      </c>
      <c r="E1228" s="22">
        <v>38115</v>
      </c>
      <c r="F1228" t="s">
        <v>13</v>
      </c>
      <c r="G1228" t="s">
        <v>202</v>
      </c>
      <c r="H1228">
        <v>2</v>
      </c>
      <c r="I1228">
        <v>2004</v>
      </c>
      <c r="J1228" t="s">
        <v>22</v>
      </c>
      <c r="K1228" t="s">
        <v>92</v>
      </c>
    </row>
    <row r="1229" spans="1:11">
      <c r="A1229" t="s">
        <v>69</v>
      </c>
      <c r="B1229">
        <v>10262</v>
      </c>
      <c r="C1229">
        <v>34</v>
      </c>
      <c r="D1229" s="21">
        <v>100</v>
      </c>
      <c r="E1229" s="22">
        <v>38162</v>
      </c>
      <c r="F1229" t="s">
        <v>128</v>
      </c>
      <c r="G1229" t="s">
        <v>202</v>
      </c>
      <c r="H1229">
        <v>2</v>
      </c>
      <c r="I1229">
        <v>2004</v>
      </c>
      <c r="J1229" t="s">
        <v>22</v>
      </c>
      <c r="K1229" t="s">
        <v>71</v>
      </c>
    </row>
    <row r="1230" spans="1:11">
      <c r="A1230" t="s">
        <v>139</v>
      </c>
      <c r="B1230">
        <v>10273</v>
      </c>
      <c r="C1230">
        <v>50</v>
      </c>
      <c r="D1230" s="21">
        <v>85.75</v>
      </c>
      <c r="E1230" s="22">
        <v>38189</v>
      </c>
      <c r="F1230" t="s">
        <v>13</v>
      </c>
      <c r="G1230" t="s">
        <v>202</v>
      </c>
      <c r="H1230">
        <v>3</v>
      </c>
      <c r="I1230">
        <v>2004</v>
      </c>
      <c r="J1230" t="s">
        <v>22</v>
      </c>
      <c r="K1230" t="s">
        <v>140</v>
      </c>
    </row>
    <row r="1231" spans="1:11">
      <c r="A1231" t="s">
        <v>141</v>
      </c>
      <c r="B1231">
        <v>10283</v>
      </c>
      <c r="C1231">
        <v>46</v>
      </c>
      <c r="D1231" s="21">
        <v>100</v>
      </c>
      <c r="E1231" s="22">
        <v>38219</v>
      </c>
      <c r="F1231" t="s">
        <v>13</v>
      </c>
      <c r="G1231" t="s">
        <v>202</v>
      </c>
      <c r="H1231">
        <v>3</v>
      </c>
      <c r="I1231">
        <v>2004</v>
      </c>
      <c r="J1231" t="s">
        <v>22</v>
      </c>
      <c r="K1231" t="s">
        <v>142</v>
      </c>
    </row>
    <row r="1232" spans="1:11">
      <c r="A1232" t="s">
        <v>210</v>
      </c>
      <c r="B1232">
        <v>10296</v>
      </c>
      <c r="C1232">
        <v>22</v>
      </c>
      <c r="D1232" s="21">
        <v>84.7</v>
      </c>
      <c r="E1232" s="22">
        <v>38245</v>
      </c>
      <c r="F1232" t="s">
        <v>13</v>
      </c>
      <c r="G1232" t="s">
        <v>202</v>
      </c>
      <c r="H1232">
        <v>3</v>
      </c>
      <c r="I1232">
        <v>2004</v>
      </c>
      <c r="J1232" t="s">
        <v>15</v>
      </c>
      <c r="K1232" t="s">
        <v>211</v>
      </c>
    </row>
    <row r="1233" spans="1:11">
      <c r="A1233" t="s">
        <v>83</v>
      </c>
      <c r="B1233">
        <v>10307</v>
      </c>
      <c r="C1233">
        <v>48</v>
      </c>
      <c r="D1233" s="21">
        <v>86.81</v>
      </c>
      <c r="E1233" s="22">
        <v>38274</v>
      </c>
      <c r="F1233" t="s">
        <v>13</v>
      </c>
      <c r="G1233" t="s">
        <v>202</v>
      </c>
      <c r="H1233">
        <v>4</v>
      </c>
      <c r="I1233">
        <v>2004</v>
      </c>
      <c r="J1233" t="s">
        <v>22</v>
      </c>
      <c r="K1233" t="s">
        <v>84</v>
      </c>
    </row>
    <row r="1234" spans="1:11">
      <c r="A1234" t="s">
        <v>145</v>
      </c>
      <c r="B1234">
        <v>10316</v>
      </c>
      <c r="C1234">
        <v>47</v>
      </c>
      <c r="D1234" s="21">
        <v>86.81</v>
      </c>
      <c r="E1234" s="22">
        <v>38292</v>
      </c>
      <c r="F1234" t="s">
        <v>13</v>
      </c>
      <c r="G1234" t="s">
        <v>202</v>
      </c>
      <c r="H1234">
        <v>4</v>
      </c>
      <c r="I1234">
        <v>2004</v>
      </c>
      <c r="J1234" t="s">
        <v>22</v>
      </c>
      <c r="K1234" t="s">
        <v>146</v>
      </c>
    </row>
    <row r="1235" spans="1:11">
      <c r="A1235" t="s">
        <v>203</v>
      </c>
      <c r="B1235">
        <v>10328</v>
      </c>
      <c r="C1235">
        <v>34</v>
      </c>
      <c r="D1235" s="21">
        <v>100</v>
      </c>
      <c r="E1235" s="22">
        <v>38303</v>
      </c>
      <c r="F1235" t="s">
        <v>13</v>
      </c>
      <c r="G1235" t="s">
        <v>202</v>
      </c>
      <c r="H1235">
        <v>4</v>
      </c>
      <c r="I1235">
        <v>2004</v>
      </c>
      <c r="J1235" t="s">
        <v>22</v>
      </c>
      <c r="K1235" t="s">
        <v>204</v>
      </c>
    </row>
    <row r="1236" spans="1:11">
      <c r="A1236" t="s">
        <v>212</v>
      </c>
      <c r="B1236">
        <v>10338</v>
      </c>
      <c r="C1236">
        <v>45</v>
      </c>
      <c r="D1236" s="21">
        <v>100</v>
      </c>
      <c r="E1236" s="22">
        <v>38313</v>
      </c>
      <c r="F1236" t="s">
        <v>13</v>
      </c>
      <c r="G1236" t="s">
        <v>202</v>
      </c>
      <c r="H1236">
        <v>4</v>
      </c>
      <c r="I1236">
        <v>2004</v>
      </c>
      <c r="J1236" t="s">
        <v>22</v>
      </c>
      <c r="K1236" t="s">
        <v>213</v>
      </c>
    </row>
    <row r="1237" spans="1:11">
      <c r="A1237" t="s">
        <v>124</v>
      </c>
      <c r="B1237">
        <v>10351</v>
      </c>
      <c r="C1237">
        <v>20</v>
      </c>
      <c r="D1237" s="21">
        <v>100</v>
      </c>
      <c r="E1237" s="22">
        <v>38324</v>
      </c>
      <c r="F1237" t="s">
        <v>13</v>
      </c>
      <c r="G1237" t="s">
        <v>202</v>
      </c>
      <c r="H1237">
        <v>4</v>
      </c>
      <c r="I1237">
        <v>2004</v>
      </c>
      <c r="J1237" t="s">
        <v>22</v>
      </c>
      <c r="K1237" t="s">
        <v>125</v>
      </c>
    </row>
    <row r="1238" spans="1:11">
      <c r="A1238" t="s">
        <v>147</v>
      </c>
      <c r="B1238">
        <v>10373</v>
      </c>
      <c r="C1238">
        <v>50</v>
      </c>
      <c r="D1238" s="21">
        <v>60.49</v>
      </c>
      <c r="E1238" s="22">
        <v>38383</v>
      </c>
      <c r="F1238" t="s">
        <v>13</v>
      </c>
      <c r="G1238" t="s">
        <v>202</v>
      </c>
      <c r="H1238">
        <v>1</v>
      </c>
      <c r="I1238">
        <v>2005</v>
      </c>
      <c r="J1238" t="s">
        <v>22</v>
      </c>
      <c r="K1238" t="s">
        <v>148</v>
      </c>
    </row>
    <row r="1239" spans="1:11">
      <c r="A1239" t="s">
        <v>69</v>
      </c>
      <c r="B1239">
        <v>10386</v>
      </c>
      <c r="C1239">
        <v>22</v>
      </c>
      <c r="D1239" s="21">
        <v>57.55</v>
      </c>
      <c r="E1239" s="22">
        <v>38412</v>
      </c>
      <c r="F1239" t="s">
        <v>155</v>
      </c>
      <c r="G1239" t="s">
        <v>202</v>
      </c>
      <c r="H1239">
        <v>1</v>
      </c>
      <c r="I1239">
        <v>2005</v>
      </c>
      <c r="J1239" t="s">
        <v>15</v>
      </c>
      <c r="K1239" t="s">
        <v>71</v>
      </c>
    </row>
    <row r="1240" spans="1:11">
      <c r="A1240" t="s">
        <v>18</v>
      </c>
      <c r="B1240">
        <v>10398</v>
      </c>
      <c r="C1240">
        <v>45</v>
      </c>
      <c r="D1240" s="21">
        <v>100</v>
      </c>
      <c r="E1240" s="22">
        <v>38441</v>
      </c>
      <c r="F1240" t="s">
        <v>13</v>
      </c>
      <c r="G1240" t="s">
        <v>202</v>
      </c>
      <c r="H1240">
        <v>1</v>
      </c>
      <c r="I1240">
        <v>2005</v>
      </c>
      <c r="J1240" t="s">
        <v>22</v>
      </c>
      <c r="K1240" t="s">
        <v>19</v>
      </c>
    </row>
    <row r="1241" spans="1:11">
      <c r="A1241" t="s">
        <v>149</v>
      </c>
      <c r="B1241">
        <v>10400</v>
      </c>
      <c r="C1241">
        <v>58</v>
      </c>
      <c r="D1241" s="21">
        <v>100</v>
      </c>
      <c r="E1241" s="22">
        <v>38443</v>
      </c>
      <c r="F1241" t="s">
        <v>13</v>
      </c>
      <c r="G1241" t="s">
        <v>202</v>
      </c>
      <c r="H1241">
        <v>2</v>
      </c>
      <c r="I1241">
        <v>2005</v>
      </c>
      <c r="J1241" t="s">
        <v>61</v>
      </c>
      <c r="K1241" t="s">
        <v>150</v>
      </c>
    </row>
    <row r="1242" spans="1:11">
      <c r="A1242" t="s">
        <v>205</v>
      </c>
      <c r="B1242">
        <v>10415</v>
      </c>
      <c r="C1242">
        <v>51</v>
      </c>
      <c r="D1242" s="21">
        <v>100</v>
      </c>
      <c r="E1242" s="22">
        <v>38481</v>
      </c>
      <c r="F1242" t="s">
        <v>70</v>
      </c>
      <c r="G1242" t="s">
        <v>202</v>
      </c>
      <c r="H1242">
        <v>2</v>
      </c>
      <c r="I1242">
        <v>2005</v>
      </c>
      <c r="J1242" t="s">
        <v>22</v>
      </c>
      <c r="K1242" t="s">
        <v>206</v>
      </c>
    </row>
    <row r="1243" spans="1:11">
      <c r="A1243" t="s">
        <v>69</v>
      </c>
      <c r="B1243">
        <v>10104</v>
      </c>
      <c r="C1243">
        <v>38</v>
      </c>
      <c r="D1243" s="21">
        <v>100</v>
      </c>
      <c r="E1243" s="22">
        <v>37652</v>
      </c>
      <c r="F1243" t="s">
        <v>13</v>
      </c>
      <c r="G1243" t="s">
        <v>72</v>
      </c>
      <c r="H1243">
        <v>1</v>
      </c>
      <c r="I1243">
        <v>2003</v>
      </c>
      <c r="J1243" t="s">
        <v>22</v>
      </c>
      <c r="K1243" t="s">
        <v>71</v>
      </c>
    </row>
    <row r="1244" spans="1:11">
      <c r="A1244" t="s">
        <v>77</v>
      </c>
      <c r="B1244">
        <v>10117</v>
      </c>
      <c r="C1244">
        <v>22</v>
      </c>
      <c r="D1244" s="21">
        <v>100</v>
      </c>
      <c r="E1244" s="22">
        <v>37727</v>
      </c>
      <c r="F1244" t="s">
        <v>13</v>
      </c>
      <c r="G1244" t="s">
        <v>72</v>
      </c>
      <c r="H1244">
        <v>2</v>
      </c>
      <c r="I1244">
        <v>2003</v>
      </c>
      <c r="J1244" t="s">
        <v>15</v>
      </c>
      <c r="K1244" t="s">
        <v>78</v>
      </c>
    </row>
    <row r="1245" spans="1:11">
      <c r="A1245" t="s">
        <v>177</v>
      </c>
      <c r="B1245">
        <v>10127</v>
      </c>
      <c r="C1245">
        <v>25</v>
      </c>
      <c r="D1245" s="21">
        <v>100</v>
      </c>
      <c r="E1245" s="22">
        <v>37775</v>
      </c>
      <c r="F1245" t="s">
        <v>13</v>
      </c>
      <c r="G1245" t="s">
        <v>72</v>
      </c>
      <c r="H1245">
        <v>2</v>
      </c>
      <c r="I1245">
        <v>2003</v>
      </c>
      <c r="J1245" t="s">
        <v>22</v>
      </c>
      <c r="K1245" t="s">
        <v>178</v>
      </c>
    </row>
    <row r="1246" spans="1:11">
      <c r="A1246" t="s">
        <v>103</v>
      </c>
      <c r="B1246">
        <v>10142</v>
      </c>
      <c r="C1246">
        <v>24</v>
      </c>
      <c r="D1246" s="21">
        <v>100</v>
      </c>
      <c r="E1246" s="22">
        <v>37841</v>
      </c>
      <c r="F1246" t="s">
        <v>13</v>
      </c>
      <c r="G1246" t="s">
        <v>72</v>
      </c>
      <c r="H1246">
        <v>3</v>
      </c>
      <c r="I1246">
        <v>2003</v>
      </c>
      <c r="J1246" t="s">
        <v>22</v>
      </c>
      <c r="K1246" t="s">
        <v>104</v>
      </c>
    </row>
    <row r="1247" spans="1:11">
      <c r="A1247" t="s">
        <v>81</v>
      </c>
      <c r="B1247">
        <v>10152</v>
      </c>
      <c r="C1247">
        <v>35</v>
      </c>
      <c r="D1247" s="21">
        <v>100</v>
      </c>
      <c r="E1247" s="22">
        <v>37889</v>
      </c>
      <c r="F1247" t="s">
        <v>13</v>
      </c>
      <c r="G1247" t="s">
        <v>72</v>
      </c>
      <c r="H1247">
        <v>3</v>
      </c>
      <c r="I1247">
        <v>2003</v>
      </c>
      <c r="J1247" t="s">
        <v>22</v>
      </c>
      <c r="K1247" t="s">
        <v>82</v>
      </c>
    </row>
    <row r="1248" spans="1:11">
      <c r="A1248" t="s">
        <v>77</v>
      </c>
      <c r="B1248">
        <v>10165</v>
      </c>
      <c r="C1248">
        <v>28</v>
      </c>
      <c r="D1248" s="21">
        <v>100</v>
      </c>
      <c r="E1248" s="22">
        <v>37916</v>
      </c>
      <c r="F1248" t="s">
        <v>13</v>
      </c>
      <c r="G1248" t="s">
        <v>72</v>
      </c>
      <c r="H1248">
        <v>4</v>
      </c>
      <c r="I1248">
        <v>2003</v>
      </c>
      <c r="J1248" t="s">
        <v>22</v>
      </c>
      <c r="K1248" t="s">
        <v>78</v>
      </c>
    </row>
    <row r="1249" spans="1:11">
      <c r="A1249" t="s">
        <v>169</v>
      </c>
      <c r="B1249">
        <v>10176</v>
      </c>
      <c r="C1249">
        <v>36</v>
      </c>
      <c r="D1249" s="21">
        <v>100</v>
      </c>
      <c r="E1249" s="22">
        <v>37931</v>
      </c>
      <c r="F1249" t="s">
        <v>13</v>
      </c>
      <c r="G1249" t="s">
        <v>72</v>
      </c>
      <c r="H1249">
        <v>4</v>
      </c>
      <c r="I1249">
        <v>2003</v>
      </c>
      <c r="J1249" t="s">
        <v>22</v>
      </c>
      <c r="K1249" t="s">
        <v>170</v>
      </c>
    </row>
    <row r="1250" spans="1:11">
      <c r="A1250" t="s">
        <v>126</v>
      </c>
      <c r="B1250">
        <v>10185</v>
      </c>
      <c r="C1250">
        <v>39</v>
      </c>
      <c r="D1250" s="21">
        <v>100</v>
      </c>
      <c r="E1250" s="22">
        <v>37939</v>
      </c>
      <c r="F1250" t="s">
        <v>13</v>
      </c>
      <c r="G1250" t="s">
        <v>72</v>
      </c>
      <c r="H1250">
        <v>4</v>
      </c>
      <c r="I1250">
        <v>2003</v>
      </c>
      <c r="J1250" t="s">
        <v>22</v>
      </c>
      <c r="K1250" t="s">
        <v>127</v>
      </c>
    </row>
    <row r="1251" spans="1:11">
      <c r="A1251" t="s">
        <v>93</v>
      </c>
      <c r="B1251">
        <v>10196</v>
      </c>
      <c r="C1251">
        <v>27</v>
      </c>
      <c r="D1251" s="21">
        <v>100</v>
      </c>
      <c r="E1251" s="22">
        <v>37951</v>
      </c>
      <c r="F1251" t="s">
        <v>13</v>
      </c>
      <c r="G1251" t="s">
        <v>72</v>
      </c>
      <c r="H1251">
        <v>4</v>
      </c>
      <c r="I1251">
        <v>2003</v>
      </c>
      <c r="J1251" t="s">
        <v>22</v>
      </c>
      <c r="K1251" t="s">
        <v>94</v>
      </c>
    </row>
    <row r="1252" spans="1:11">
      <c r="A1252" t="s">
        <v>157</v>
      </c>
      <c r="B1252">
        <v>10207</v>
      </c>
      <c r="C1252">
        <v>40</v>
      </c>
      <c r="D1252" s="21">
        <v>100</v>
      </c>
      <c r="E1252" s="22">
        <v>37964</v>
      </c>
      <c r="F1252" t="s">
        <v>13</v>
      </c>
      <c r="G1252" t="s">
        <v>72</v>
      </c>
      <c r="H1252">
        <v>4</v>
      </c>
      <c r="I1252">
        <v>2003</v>
      </c>
      <c r="J1252" t="s">
        <v>22</v>
      </c>
      <c r="K1252" t="s">
        <v>158</v>
      </c>
    </row>
    <row r="1253" spans="1:11">
      <c r="A1253" t="s">
        <v>179</v>
      </c>
      <c r="B1253">
        <v>10220</v>
      </c>
      <c r="C1253">
        <v>50</v>
      </c>
      <c r="D1253" s="21">
        <v>100</v>
      </c>
      <c r="E1253" s="22">
        <v>38029</v>
      </c>
      <c r="F1253" t="s">
        <v>13</v>
      </c>
      <c r="G1253" t="s">
        <v>72</v>
      </c>
      <c r="H1253">
        <v>1</v>
      </c>
      <c r="I1253">
        <v>2004</v>
      </c>
      <c r="J1253" t="s">
        <v>61</v>
      </c>
      <c r="K1253" t="s">
        <v>180</v>
      </c>
    </row>
    <row r="1254" spans="1:11">
      <c r="A1254" t="s">
        <v>173</v>
      </c>
      <c r="B1254">
        <v>10230</v>
      </c>
      <c r="C1254">
        <v>42</v>
      </c>
      <c r="D1254" s="21">
        <v>100</v>
      </c>
      <c r="E1254" s="22">
        <v>38061</v>
      </c>
      <c r="F1254" t="s">
        <v>13</v>
      </c>
      <c r="G1254" t="s">
        <v>72</v>
      </c>
      <c r="H1254">
        <v>1</v>
      </c>
      <c r="I1254">
        <v>2004</v>
      </c>
      <c r="J1254" t="s">
        <v>61</v>
      </c>
      <c r="K1254" t="s">
        <v>174</v>
      </c>
    </row>
    <row r="1255" spans="1:11">
      <c r="A1255" t="s">
        <v>175</v>
      </c>
      <c r="B1255">
        <v>10247</v>
      </c>
      <c r="C1255">
        <v>48</v>
      </c>
      <c r="D1255" s="21">
        <v>100</v>
      </c>
      <c r="E1255" s="22">
        <v>38112</v>
      </c>
      <c r="F1255" t="s">
        <v>13</v>
      </c>
      <c r="G1255" t="s">
        <v>72</v>
      </c>
      <c r="H1255">
        <v>2</v>
      </c>
      <c r="I1255">
        <v>2004</v>
      </c>
      <c r="J1255" t="s">
        <v>22</v>
      </c>
      <c r="K1255" t="s">
        <v>176</v>
      </c>
    </row>
    <row r="1256" spans="1:11">
      <c r="A1256" t="s">
        <v>58</v>
      </c>
      <c r="B1256">
        <v>10272</v>
      </c>
      <c r="C1256">
        <v>25</v>
      </c>
      <c r="D1256" s="21">
        <v>100</v>
      </c>
      <c r="E1256" s="22">
        <v>38188</v>
      </c>
      <c r="F1256" t="s">
        <v>13</v>
      </c>
      <c r="G1256" t="s">
        <v>72</v>
      </c>
      <c r="H1256">
        <v>3</v>
      </c>
      <c r="I1256">
        <v>2004</v>
      </c>
      <c r="J1256" t="s">
        <v>22</v>
      </c>
      <c r="K1256" t="s">
        <v>59</v>
      </c>
    </row>
    <row r="1257" spans="1:11">
      <c r="A1257" t="s">
        <v>103</v>
      </c>
      <c r="B1257">
        <v>10282</v>
      </c>
      <c r="C1257">
        <v>31</v>
      </c>
      <c r="D1257" s="21">
        <v>100</v>
      </c>
      <c r="E1257" s="22">
        <v>38219</v>
      </c>
      <c r="F1257" t="s">
        <v>13</v>
      </c>
      <c r="G1257" t="s">
        <v>72</v>
      </c>
      <c r="H1257">
        <v>3</v>
      </c>
      <c r="I1257">
        <v>2004</v>
      </c>
      <c r="J1257" t="s">
        <v>22</v>
      </c>
      <c r="K1257" t="s">
        <v>104</v>
      </c>
    </row>
    <row r="1258" spans="1:11">
      <c r="A1258" t="s">
        <v>12</v>
      </c>
      <c r="B1258">
        <v>10292</v>
      </c>
      <c r="C1258">
        <v>44</v>
      </c>
      <c r="D1258" s="21">
        <v>100</v>
      </c>
      <c r="E1258" s="22">
        <v>38238</v>
      </c>
      <c r="F1258" t="s">
        <v>13</v>
      </c>
      <c r="G1258" t="s">
        <v>72</v>
      </c>
      <c r="H1258">
        <v>3</v>
      </c>
      <c r="I1258">
        <v>2004</v>
      </c>
      <c r="J1258" t="s">
        <v>61</v>
      </c>
      <c r="K1258" t="s">
        <v>16</v>
      </c>
    </row>
    <row r="1259" spans="1:11">
      <c r="A1259" t="s">
        <v>183</v>
      </c>
      <c r="B1259">
        <v>10306</v>
      </c>
      <c r="C1259">
        <v>23</v>
      </c>
      <c r="D1259" s="21">
        <v>100</v>
      </c>
      <c r="E1259" s="22">
        <v>38274</v>
      </c>
      <c r="F1259" t="s">
        <v>13</v>
      </c>
      <c r="G1259" t="s">
        <v>72</v>
      </c>
      <c r="H1259">
        <v>4</v>
      </c>
      <c r="I1259">
        <v>2004</v>
      </c>
      <c r="J1259" t="s">
        <v>22</v>
      </c>
      <c r="K1259" t="s">
        <v>184</v>
      </c>
    </row>
    <row r="1260" spans="1:11">
      <c r="A1260" t="s">
        <v>185</v>
      </c>
      <c r="B1260">
        <v>10314</v>
      </c>
      <c r="C1260">
        <v>29</v>
      </c>
      <c r="D1260" s="21">
        <v>100</v>
      </c>
      <c r="E1260" s="22">
        <v>38282</v>
      </c>
      <c r="F1260" t="s">
        <v>13</v>
      </c>
      <c r="G1260" t="s">
        <v>72</v>
      </c>
      <c r="H1260">
        <v>4</v>
      </c>
      <c r="I1260">
        <v>2004</v>
      </c>
      <c r="J1260" t="s">
        <v>22</v>
      </c>
      <c r="K1260" t="s">
        <v>186</v>
      </c>
    </row>
    <row r="1261" spans="1:11">
      <c r="A1261" t="s">
        <v>44</v>
      </c>
      <c r="B1261">
        <v>10324</v>
      </c>
      <c r="C1261">
        <v>49</v>
      </c>
      <c r="D1261" s="21">
        <v>100</v>
      </c>
      <c r="E1261" s="22">
        <v>38296</v>
      </c>
      <c r="F1261" t="s">
        <v>13</v>
      </c>
      <c r="G1261" t="s">
        <v>72</v>
      </c>
      <c r="H1261">
        <v>4</v>
      </c>
      <c r="I1261">
        <v>2004</v>
      </c>
      <c r="J1261" t="s">
        <v>22</v>
      </c>
      <c r="K1261" t="s">
        <v>45</v>
      </c>
    </row>
    <row r="1262" spans="1:11">
      <c r="A1262" t="s">
        <v>79</v>
      </c>
      <c r="B1262">
        <v>10337</v>
      </c>
      <c r="C1262">
        <v>36</v>
      </c>
      <c r="D1262" s="21">
        <v>100</v>
      </c>
      <c r="E1262" s="22">
        <v>38312</v>
      </c>
      <c r="F1262" t="s">
        <v>13</v>
      </c>
      <c r="G1262" t="s">
        <v>72</v>
      </c>
      <c r="H1262">
        <v>4</v>
      </c>
      <c r="I1262">
        <v>2004</v>
      </c>
      <c r="J1262" t="s">
        <v>22</v>
      </c>
      <c r="K1262" t="s">
        <v>80</v>
      </c>
    </row>
    <row r="1263" spans="1:11">
      <c r="A1263" t="s">
        <v>177</v>
      </c>
      <c r="B1263">
        <v>10349</v>
      </c>
      <c r="C1263">
        <v>34</v>
      </c>
      <c r="D1263" s="21">
        <v>100</v>
      </c>
      <c r="E1263" s="22">
        <v>38322</v>
      </c>
      <c r="F1263" t="s">
        <v>13</v>
      </c>
      <c r="G1263" t="s">
        <v>72</v>
      </c>
      <c r="H1263">
        <v>4</v>
      </c>
      <c r="I1263">
        <v>2004</v>
      </c>
      <c r="J1263" t="s">
        <v>22</v>
      </c>
      <c r="K1263" t="s">
        <v>178</v>
      </c>
    </row>
    <row r="1264" spans="1:11">
      <c r="A1264" t="s">
        <v>69</v>
      </c>
      <c r="B1264">
        <v>10358</v>
      </c>
      <c r="C1264">
        <v>25</v>
      </c>
      <c r="D1264" s="21">
        <v>100</v>
      </c>
      <c r="E1264" s="22">
        <v>38331</v>
      </c>
      <c r="F1264" t="s">
        <v>13</v>
      </c>
      <c r="G1264" t="s">
        <v>72</v>
      </c>
      <c r="H1264">
        <v>4</v>
      </c>
      <c r="I1264">
        <v>2004</v>
      </c>
      <c r="J1264" t="s">
        <v>15</v>
      </c>
      <c r="K1264" t="s">
        <v>71</v>
      </c>
    </row>
    <row r="1265" spans="1:11">
      <c r="A1265" t="s">
        <v>95</v>
      </c>
      <c r="B1265">
        <v>10372</v>
      </c>
      <c r="C1265">
        <v>48</v>
      </c>
      <c r="D1265" s="21">
        <v>100</v>
      </c>
      <c r="E1265" s="22">
        <v>38378</v>
      </c>
      <c r="F1265" t="s">
        <v>13</v>
      </c>
      <c r="G1265" t="s">
        <v>72</v>
      </c>
      <c r="H1265">
        <v>1</v>
      </c>
      <c r="I1265">
        <v>2005</v>
      </c>
      <c r="J1265" t="s">
        <v>61</v>
      </c>
      <c r="K1265" t="s">
        <v>96</v>
      </c>
    </row>
    <row r="1266" spans="1:11">
      <c r="A1266" t="s">
        <v>69</v>
      </c>
      <c r="B1266">
        <v>10383</v>
      </c>
      <c r="C1266">
        <v>38</v>
      </c>
      <c r="D1266" s="21">
        <v>100</v>
      </c>
      <c r="E1266" s="22">
        <v>38405</v>
      </c>
      <c r="F1266" t="s">
        <v>13</v>
      </c>
      <c r="G1266" t="s">
        <v>72</v>
      </c>
      <c r="H1266">
        <v>1</v>
      </c>
      <c r="I1266">
        <v>2005</v>
      </c>
      <c r="J1266" t="s">
        <v>22</v>
      </c>
      <c r="K1266" t="s">
        <v>71</v>
      </c>
    </row>
    <row r="1267" spans="1:11">
      <c r="A1267" t="s">
        <v>69</v>
      </c>
      <c r="B1267">
        <v>10394</v>
      </c>
      <c r="C1267">
        <v>37</v>
      </c>
      <c r="D1267" s="21">
        <v>100</v>
      </c>
      <c r="E1267" s="22">
        <v>38426</v>
      </c>
      <c r="F1267" t="s">
        <v>13</v>
      </c>
      <c r="G1267" t="s">
        <v>72</v>
      </c>
      <c r="H1267">
        <v>1</v>
      </c>
      <c r="I1267">
        <v>2005</v>
      </c>
      <c r="J1267" t="s">
        <v>22</v>
      </c>
      <c r="K1267" t="s">
        <v>71</v>
      </c>
    </row>
    <row r="1268" spans="1:11">
      <c r="A1268" t="s">
        <v>48</v>
      </c>
      <c r="B1268">
        <v>10413</v>
      </c>
      <c r="C1268">
        <v>49</v>
      </c>
      <c r="D1268" s="21">
        <v>100</v>
      </c>
      <c r="E1268" s="22">
        <v>38477</v>
      </c>
      <c r="F1268" t="s">
        <v>13</v>
      </c>
      <c r="G1268" t="s">
        <v>72</v>
      </c>
      <c r="H1268">
        <v>2</v>
      </c>
      <c r="I1268">
        <v>2005</v>
      </c>
      <c r="J1268" t="s">
        <v>22</v>
      </c>
      <c r="K1268" t="s">
        <v>49</v>
      </c>
    </row>
    <row r="1269" spans="1:11">
      <c r="A1269" t="s">
        <v>105</v>
      </c>
      <c r="B1269">
        <v>10100</v>
      </c>
      <c r="C1269">
        <v>22</v>
      </c>
      <c r="D1269" s="21">
        <v>86.51</v>
      </c>
      <c r="E1269" s="22">
        <v>37627</v>
      </c>
      <c r="F1269" t="s">
        <v>13</v>
      </c>
      <c r="G1269" t="s">
        <v>202</v>
      </c>
      <c r="H1269">
        <v>1</v>
      </c>
      <c r="I1269">
        <v>2003</v>
      </c>
      <c r="J1269" t="s">
        <v>15</v>
      </c>
      <c r="K1269" t="s">
        <v>106</v>
      </c>
    </row>
    <row r="1270" spans="1:11">
      <c r="A1270" t="s">
        <v>183</v>
      </c>
      <c r="B1270">
        <v>10110</v>
      </c>
      <c r="C1270">
        <v>28</v>
      </c>
      <c r="D1270" s="21">
        <v>89.27</v>
      </c>
      <c r="E1270" s="22">
        <v>37698</v>
      </c>
      <c r="F1270" t="s">
        <v>13</v>
      </c>
      <c r="G1270" t="s">
        <v>202</v>
      </c>
      <c r="H1270">
        <v>1</v>
      </c>
      <c r="I1270">
        <v>2003</v>
      </c>
      <c r="J1270" t="s">
        <v>15</v>
      </c>
      <c r="K1270" t="s">
        <v>184</v>
      </c>
    </row>
    <row r="1271" spans="1:11">
      <c r="A1271" t="s">
        <v>198</v>
      </c>
      <c r="B1271">
        <v>10124</v>
      </c>
      <c r="C1271">
        <v>36</v>
      </c>
      <c r="D1271" s="21">
        <v>85.59</v>
      </c>
      <c r="E1271" s="22">
        <v>37762</v>
      </c>
      <c r="F1271" t="s">
        <v>13</v>
      </c>
      <c r="G1271" t="s">
        <v>202</v>
      </c>
      <c r="H1271">
        <v>2</v>
      </c>
      <c r="I1271">
        <v>2003</v>
      </c>
      <c r="J1271" t="s">
        <v>22</v>
      </c>
      <c r="K1271" t="s">
        <v>199</v>
      </c>
    </row>
    <row r="1272" spans="1:11">
      <c r="A1272" t="s">
        <v>109</v>
      </c>
      <c r="B1272">
        <v>10148</v>
      </c>
      <c r="C1272">
        <v>34</v>
      </c>
      <c r="D1272" s="21">
        <v>100</v>
      </c>
      <c r="E1272" s="22">
        <v>37875</v>
      </c>
      <c r="F1272" t="s">
        <v>13</v>
      </c>
      <c r="G1272" t="s">
        <v>202</v>
      </c>
      <c r="H1272">
        <v>3</v>
      </c>
      <c r="I1272">
        <v>2003</v>
      </c>
      <c r="J1272" t="s">
        <v>22</v>
      </c>
      <c r="K1272" t="s">
        <v>110</v>
      </c>
    </row>
    <row r="1273" spans="1:11">
      <c r="A1273" t="s">
        <v>28</v>
      </c>
      <c r="B1273">
        <v>10162</v>
      </c>
      <c r="C1273">
        <v>39</v>
      </c>
      <c r="D1273" s="21">
        <v>100</v>
      </c>
      <c r="E1273" s="22">
        <v>37912</v>
      </c>
      <c r="F1273" t="s">
        <v>13</v>
      </c>
      <c r="G1273" t="s">
        <v>202</v>
      </c>
      <c r="H1273">
        <v>4</v>
      </c>
      <c r="I1273">
        <v>2003</v>
      </c>
      <c r="J1273" t="s">
        <v>22</v>
      </c>
      <c r="K1273" t="s">
        <v>29</v>
      </c>
    </row>
    <row r="1274" spans="1:11">
      <c r="A1274" t="s">
        <v>203</v>
      </c>
      <c r="B1274">
        <v>10173</v>
      </c>
      <c r="C1274">
        <v>21</v>
      </c>
      <c r="D1274" s="21">
        <v>75.46</v>
      </c>
      <c r="E1274" s="22">
        <v>37930</v>
      </c>
      <c r="F1274" t="s">
        <v>13</v>
      </c>
      <c r="G1274" t="s">
        <v>202</v>
      </c>
      <c r="H1274">
        <v>4</v>
      </c>
      <c r="I1274">
        <v>2003</v>
      </c>
      <c r="J1274" t="s">
        <v>15</v>
      </c>
      <c r="K1274" t="s">
        <v>204</v>
      </c>
    </row>
    <row r="1275" spans="1:11">
      <c r="A1275" t="s">
        <v>103</v>
      </c>
      <c r="B1275">
        <v>10182</v>
      </c>
      <c r="C1275">
        <v>36</v>
      </c>
      <c r="D1275" s="21">
        <v>100</v>
      </c>
      <c r="E1275" s="22">
        <v>37937</v>
      </c>
      <c r="F1275" t="s">
        <v>13</v>
      </c>
      <c r="G1275" t="s">
        <v>202</v>
      </c>
      <c r="H1275">
        <v>4</v>
      </c>
      <c r="I1275">
        <v>2003</v>
      </c>
      <c r="J1275" t="s">
        <v>22</v>
      </c>
      <c r="K1275" t="s">
        <v>104</v>
      </c>
    </row>
    <row r="1276" spans="1:11">
      <c r="A1276" t="s">
        <v>205</v>
      </c>
      <c r="B1276">
        <v>10193</v>
      </c>
      <c r="C1276">
        <v>24</v>
      </c>
      <c r="D1276" s="21">
        <v>97.55</v>
      </c>
      <c r="E1276" s="22">
        <v>37946</v>
      </c>
      <c r="F1276" t="s">
        <v>13</v>
      </c>
      <c r="G1276" t="s">
        <v>202</v>
      </c>
      <c r="H1276">
        <v>4</v>
      </c>
      <c r="I1276">
        <v>2003</v>
      </c>
      <c r="J1276" t="s">
        <v>15</v>
      </c>
      <c r="K1276" t="s">
        <v>206</v>
      </c>
    </row>
    <row r="1277" spans="1:11">
      <c r="A1277" t="s">
        <v>177</v>
      </c>
      <c r="B1277">
        <v>10204</v>
      </c>
      <c r="C1277">
        <v>29</v>
      </c>
      <c r="D1277" s="21">
        <v>85.59</v>
      </c>
      <c r="E1277" s="22">
        <v>37957</v>
      </c>
      <c r="F1277" t="s">
        <v>13</v>
      </c>
      <c r="G1277" t="s">
        <v>202</v>
      </c>
      <c r="H1277">
        <v>4</v>
      </c>
      <c r="I1277">
        <v>2003</v>
      </c>
      <c r="J1277" t="s">
        <v>15</v>
      </c>
      <c r="K1277" t="s">
        <v>178</v>
      </c>
    </row>
    <row r="1278" spans="1:11">
      <c r="A1278" t="s">
        <v>131</v>
      </c>
      <c r="B1278">
        <v>10213</v>
      </c>
      <c r="C1278">
        <v>38</v>
      </c>
      <c r="D1278" s="21">
        <v>94.79</v>
      </c>
      <c r="E1278" s="22">
        <v>38008</v>
      </c>
      <c r="F1278" t="s">
        <v>13</v>
      </c>
      <c r="G1278" t="s">
        <v>202</v>
      </c>
      <c r="H1278">
        <v>1</v>
      </c>
      <c r="I1278">
        <v>2004</v>
      </c>
      <c r="J1278" t="s">
        <v>22</v>
      </c>
      <c r="K1278" t="s">
        <v>132</v>
      </c>
    </row>
    <row r="1279" spans="1:11">
      <c r="A1279" t="s">
        <v>85</v>
      </c>
      <c r="B1279">
        <v>10227</v>
      </c>
      <c r="C1279">
        <v>34</v>
      </c>
      <c r="D1279" s="21">
        <v>100</v>
      </c>
      <c r="E1279" s="22">
        <v>38048</v>
      </c>
      <c r="F1279" t="s">
        <v>13</v>
      </c>
      <c r="G1279" t="s">
        <v>202</v>
      </c>
      <c r="H1279">
        <v>1</v>
      </c>
      <c r="I1279">
        <v>2004</v>
      </c>
      <c r="J1279" t="s">
        <v>22</v>
      </c>
      <c r="K1279" t="s">
        <v>86</v>
      </c>
    </row>
    <row r="1280" spans="1:11">
      <c r="A1280" t="s">
        <v>196</v>
      </c>
      <c r="B1280">
        <v>10241</v>
      </c>
      <c r="C1280">
        <v>42</v>
      </c>
      <c r="D1280" s="21">
        <v>90.19</v>
      </c>
      <c r="E1280" s="22">
        <v>38090</v>
      </c>
      <c r="F1280" t="s">
        <v>13</v>
      </c>
      <c r="G1280" t="s">
        <v>202</v>
      </c>
      <c r="H1280">
        <v>2</v>
      </c>
      <c r="I1280">
        <v>2004</v>
      </c>
      <c r="J1280" t="s">
        <v>22</v>
      </c>
      <c r="K1280" t="s">
        <v>197</v>
      </c>
    </row>
    <row r="1281" spans="1:11">
      <c r="A1281" t="s">
        <v>97</v>
      </c>
      <c r="B1281">
        <v>10280</v>
      </c>
      <c r="C1281">
        <v>35</v>
      </c>
      <c r="D1281" s="21">
        <v>100</v>
      </c>
      <c r="E1281" s="22">
        <v>38216</v>
      </c>
      <c r="F1281" t="s">
        <v>13</v>
      </c>
      <c r="G1281" t="s">
        <v>202</v>
      </c>
      <c r="H1281">
        <v>3</v>
      </c>
      <c r="I1281">
        <v>2004</v>
      </c>
      <c r="J1281" t="s">
        <v>22</v>
      </c>
      <c r="K1281" t="s">
        <v>98</v>
      </c>
    </row>
    <row r="1282" spans="1:11">
      <c r="A1282" t="s">
        <v>159</v>
      </c>
      <c r="B1282">
        <v>10288</v>
      </c>
      <c r="C1282">
        <v>35</v>
      </c>
      <c r="D1282" s="21">
        <v>80.99</v>
      </c>
      <c r="E1282" s="22">
        <v>38231</v>
      </c>
      <c r="F1282" t="s">
        <v>13</v>
      </c>
      <c r="G1282" t="s">
        <v>202</v>
      </c>
      <c r="H1282">
        <v>3</v>
      </c>
      <c r="I1282">
        <v>2004</v>
      </c>
      <c r="J1282" t="s">
        <v>15</v>
      </c>
      <c r="K1282" t="s">
        <v>160</v>
      </c>
    </row>
    <row r="1283" spans="1:11">
      <c r="A1283" t="s">
        <v>67</v>
      </c>
      <c r="B1283">
        <v>10302</v>
      </c>
      <c r="C1283">
        <v>38</v>
      </c>
      <c r="D1283" s="21">
        <v>89.27</v>
      </c>
      <c r="E1283" s="22">
        <v>37900</v>
      </c>
      <c r="F1283" t="s">
        <v>13</v>
      </c>
      <c r="G1283" t="s">
        <v>202</v>
      </c>
      <c r="H1283">
        <v>4</v>
      </c>
      <c r="I1283">
        <v>2003</v>
      </c>
      <c r="J1283" t="s">
        <v>22</v>
      </c>
      <c r="K1283" t="s">
        <v>68</v>
      </c>
    </row>
    <row r="1284" spans="1:11">
      <c r="A1284" t="s">
        <v>69</v>
      </c>
      <c r="B1284">
        <v>10311</v>
      </c>
      <c r="C1284">
        <v>41</v>
      </c>
      <c r="D1284" s="21">
        <v>81.91</v>
      </c>
      <c r="E1284" s="22">
        <v>38276</v>
      </c>
      <c r="F1284" t="s">
        <v>13</v>
      </c>
      <c r="G1284" t="s">
        <v>202</v>
      </c>
      <c r="H1284">
        <v>4</v>
      </c>
      <c r="I1284">
        <v>2004</v>
      </c>
      <c r="J1284" t="s">
        <v>22</v>
      </c>
      <c r="K1284" t="s">
        <v>71</v>
      </c>
    </row>
    <row r="1285" spans="1:11">
      <c r="A1285" t="s">
        <v>183</v>
      </c>
      <c r="B1285">
        <v>10332</v>
      </c>
      <c r="C1285">
        <v>50</v>
      </c>
      <c r="D1285" s="21">
        <v>100</v>
      </c>
      <c r="E1285" s="22">
        <v>38308</v>
      </c>
      <c r="F1285" t="s">
        <v>13</v>
      </c>
      <c r="G1285" t="s">
        <v>202</v>
      </c>
      <c r="H1285">
        <v>4</v>
      </c>
      <c r="I1285">
        <v>2004</v>
      </c>
      <c r="J1285" t="s">
        <v>61</v>
      </c>
      <c r="K1285" t="s">
        <v>184</v>
      </c>
    </row>
    <row r="1286" spans="1:11">
      <c r="A1286" t="s">
        <v>163</v>
      </c>
      <c r="B1286">
        <v>10344</v>
      </c>
      <c r="C1286">
        <v>21</v>
      </c>
      <c r="D1286" s="21">
        <v>100</v>
      </c>
      <c r="E1286" s="22">
        <v>38316</v>
      </c>
      <c r="F1286" t="s">
        <v>13</v>
      </c>
      <c r="G1286" t="s">
        <v>202</v>
      </c>
      <c r="H1286">
        <v>4</v>
      </c>
      <c r="I1286">
        <v>2004</v>
      </c>
      <c r="J1286" t="s">
        <v>15</v>
      </c>
      <c r="K1286" t="s">
        <v>164</v>
      </c>
    </row>
    <row r="1287" spans="1:11">
      <c r="A1287" t="s">
        <v>25</v>
      </c>
      <c r="B1287">
        <v>10367</v>
      </c>
      <c r="C1287">
        <v>43</v>
      </c>
      <c r="D1287" s="21">
        <v>62.72</v>
      </c>
      <c r="E1287" s="22">
        <v>38364</v>
      </c>
      <c r="F1287" t="s">
        <v>155</v>
      </c>
      <c r="G1287" t="s">
        <v>202</v>
      </c>
      <c r="H1287">
        <v>1</v>
      </c>
      <c r="I1287">
        <v>2005</v>
      </c>
      <c r="J1287" t="s">
        <v>15</v>
      </c>
      <c r="K1287" t="s">
        <v>26</v>
      </c>
    </row>
    <row r="1288" spans="1:11">
      <c r="A1288" t="s">
        <v>69</v>
      </c>
      <c r="B1288">
        <v>10380</v>
      </c>
      <c r="C1288">
        <v>32</v>
      </c>
      <c r="D1288" s="21">
        <v>100</v>
      </c>
      <c r="E1288" s="22">
        <v>38399</v>
      </c>
      <c r="F1288" t="s">
        <v>13</v>
      </c>
      <c r="G1288" t="s">
        <v>202</v>
      </c>
      <c r="H1288">
        <v>1</v>
      </c>
      <c r="I1288">
        <v>2005</v>
      </c>
      <c r="J1288" t="s">
        <v>22</v>
      </c>
      <c r="K1288" t="s">
        <v>71</v>
      </c>
    </row>
    <row r="1289" spans="1:11">
      <c r="A1289" t="s">
        <v>149</v>
      </c>
      <c r="B1289">
        <v>10407</v>
      </c>
      <c r="C1289">
        <v>6</v>
      </c>
      <c r="D1289" s="21">
        <v>90.19</v>
      </c>
      <c r="E1289" s="22">
        <v>38464</v>
      </c>
      <c r="F1289" t="s">
        <v>151</v>
      </c>
      <c r="G1289" t="s">
        <v>202</v>
      </c>
      <c r="H1289">
        <v>2</v>
      </c>
      <c r="I1289">
        <v>2005</v>
      </c>
      <c r="J1289" t="s">
        <v>15</v>
      </c>
      <c r="K1289" t="s">
        <v>150</v>
      </c>
    </row>
    <row r="1290" spans="1:11">
      <c r="A1290" t="s">
        <v>63</v>
      </c>
      <c r="B1290">
        <v>10420</v>
      </c>
      <c r="C1290">
        <v>66</v>
      </c>
      <c r="D1290" s="21">
        <v>92.95</v>
      </c>
      <c r="E1290" s="22">
        <v>38501</v>
      </c>
      <c r="F1290" t="s">
        <v>113</v>
      </c>
      <c r="G1290" t="s">
        <v>202</v>
      </c>
      <c r="H1290">
        <v>2</v>
      </c>
      <c r="I1290">
        <v>2005</v>
      </c>
      <c r="J1290" t="s">
        <v>22</v>
      </c>
      <c r="K1290" t="s">
        <v>64</v>
      </c>
    </row>
    <row r="1291" spans="1:11">
      <c r="A1291" t="s">
        <v>122</v>
      </c>
      <c r="B1291">
        <v>10105</v>
      </c>
      <c r="C1291">
        <v>41</v>
      </c>
      <c r="D1291" s="21">
        <v>82.5</v>
      </c>
      <c r="E1291" s="22">
        <v>37663</v>
      </c>
      <c r="F1291" t="s">
        <v>13</v>
      </c>
      <c r="G1291" t="s">
        <v>202</v>
      </c>
      <c r="H1291">
        <v>1</v>
      </c>
      <c r="I1291">
        <v>2003</v>
      </c>
      <c r="J1291" t="s">
        <v>22</v>
      </c>
      <c r="K1291" t="s">
        <v>123</v>
      </c>
    </row>
    <row r="1292" spans="1:11">
      <c r="A1292" t="s">
        <v>77</v>
      </c>
      <c r="B1292">
        <v>10117</v>
      </c>
      <c r="C1292">
        <v>23</v>
      </c>
      <c r="D1292" s="21">
        <v>97.42</v>
      </c>
      <c r="E1292" s="22">
        <v>37727</v>
      </c>
      <c r="F1292" t="s">
        <v>13</v>
      </c>
      <c r="G1292" t="s">
        <v>202</v>
      </c>
      <c r="H1292">
        <v>2</v>
      </c>
      <c r="I1292">
        <v>2003</v>
      </c>
      <c r="J1292" t="s">
        <v>15</v>
      </c>
      <c r="K1292" t="s">
        <v>78</v>
      </c>
    </row>
    <row r="1293" spans="1:11">
      <c r="A1293" t="s">
        <v>69</v>
      </c>
      <c r="B1293">
        <v>10128</v>
      </c>
      <c r="C1293">
        <v>43</v>
      </c>
      <c r="D1293" s="21">
        <v>92.16</v>
      </c>
      <c r="E1293" s="22">
        <v>37778</v>
      </c>
      <c r="F1293" t="s">
        <v>13</v>
      </c>
      <c r="G1293" t="s">
        <v>202</v>
      </c>
      <c r="H1293">
        <v>2</v>
      </c>
      <c r="I1293">
        <v>2003</v>
      </c>
      <c r="J1293" t="s">
        <v>22</v>
      </c>
      <c r="K1293" t="s">
        <v>71</v>
      </c>
    </row>
    <row r="1294" spans="1:11">
      <c r="A1294" t="s">
        <v>103</v>
      </c>
      <c r="B1294">
        <v>10142</v>
      </c>
      <c r="C1294">
        <v>24</v>
      </c>
      <c r="D1294" s="21">
        <v>70.22</v>
      </c>
      <c r="E1294" s="22">
        <v>37841</v>
      </c>
      <c r="F1294" t="s">
        <v>13</v>
      </c>
      <c r="G1294" t="s">
        <v>202</v>
      </c>
      <c r="H1294">
        <v>3</v>
      </c>
      <c r="I1294">
        <v>2003</v>
      </c>
      <c r="J1294" t="s">
        <v>15</v>
      </c>
      <c r="K1294" t="s">
        <v>104</v>
      </c>
    </row>
    <row r="1295" spans="1:11">
      <c r="A1295" t="s">
        <v>69</v>
      </c>
      <c r="B1295">
        <v>10153</v>
      </c>
      <c r="C1295">
        <v>22</v>
      </c>
      <c r="D1295" s="21">
        <v>83.38</v>
      </c>
      <c r="E1295" s="22">
        <v>37892</v>
      </c>
      <c r="F1295" t="s">
        <v>13</v>
      </c>
      <c r="G1295" t="s">
        <v>202</v>
      </c>
      <c r="H1295">
        <v>3</v>
      </c>
      <c r="I1295">
        <v>2003</v>
      </c>
      <c r="J1295" t="s">
        <v>15</v>
      </c>
      <c r="K1295" t="s">
        <v>71</v>
      </c>
    </row>
    <row r="1296" spans="1:11">
      <c r="A1296" t="s">
        <v>65</v>
      </c>
      <c r="B1296">
        <v>10166</v>
      </c>
      <c r="C1296">
        <v>26</v>
      </c>
      <c r="D1296" s="21">
        <v>73.73</v>
      </c>
      <c r="E1296" s="22">
        <v>37915</v>
      </c>
      <c r="F1296" t="s">
        <v>13</v>
      </c>
      <c r="G1296" t="s">
        <v>202</v>
      </c>
      <c r="H1296">
        <v>4</v>
      </c>
      <c r="I1296">
        <v>2003</v>
      </c>
      <c r="J1296" t="s">
        <v>15</v>
      </c>
      <c r="K1296" t="s">
        <v>66</v>
      </c>
    </row>
    <row r="1297" spans="1:11">
      <c r="A1297" t="s">
        <v>181</v>
      </c>
      <c r="B1297">
        <v>10177</v>
      </c>
      <c r="C1297">
        <v>35</v>
      </c>
      <c r="D1297" s="21">
        <v>74.6</v>
      </c>
      <c r="E1297" s="22">
        <v>37932</v>
      </c>
      <c r="F1297" t="s">
        <v>13</v>
      </c>
      <c r="G1297" t="s">
        <v>202</v>
      </c>
      <c r="H1297">
        <v>4</v>
      </c>
      <c r="I1297">
        <v>2003</v>
      </c>
      <c r="J1297" t="s">
        <v>15</v>
      </c>
      <c r="K1297" t="s">
        <v>182</v>
      </c>
    </row>
    <row r="1298" spans="1:11">
      <c r="A1298" t="s">
        <v>126</v>
      </c>
      <c r="B1298">
        <v>10185</v>
      </c>
      <c r="C1298">
        <v>47</v>
      </c>
      <c r="D1298" s="21">
        <v>77.24</v>
      </c>
      <c r="E1298" s="22">
        <v>37939</v>
      </c>
      <c r="F1298" t="s">
        <v>13</v>
      </c>
      <c r="G1298" t="s">
        <v>202</v>
      </c>
      <c r="H1298">
        <v>4</v>
      </c>
      <c r="I1298">
        <v>2003</v>
      </c>
      <c r="J1298" t="s">
        <v>22</v>
      </c>
      <c r="K1298" t="s">
        <v>127</v>
      </c>
    </row>
    <row r="1299" spans="1:11">
      <c r="A1299" t="s">
        <v>133</v>
      </c>
      <c r="B1299">
        <v>10197</v>
      </c>
      <c r="C1299">
        <v>50</v>
      </c>
      <c r="D1299" s="21">
        <v>100</v>
      </c>
      <c r="E1299" s="22">
        <v>37951</v>
      </c>
      <c r="F1299" t="s">
        <v>13</v>
      </c>
      <c r="G1299" t="s">
        <v>202</v>
      </c>
      <c r="H1299">
        <v>4</v>
      </c>
      <c r="I1299">
        <v>2003</v>
      </c>
      <c r="J1299" t="s">
        <v>22</v>
      </c>
      <c r="K1299" t="s">
        <v>134</v>
      </c>
    </row>
    <row r="1300" spans="1:11">
      <c r="A1300" t="s">
        <v>85</v>
      </c>
      <c r="B1300">
        <v>10208</v>
      </c>
      <c r="C1300">
        <v>45</v>
      </c>
      <c r="D1300" s="21">
        <v>87.77</v>
      </c>
      <c r="E1300" s="22">
        <v>37988</v>
      </c>
      <c r="F1300" t="s">
        <v>13</v>
      </c>
      <c r="G1300" t="s">
        <v>202</v>
      </c>
      <c r="H1300">
        <v>1</v>
      </c>
      <c r="I1300">
        <v>2004</v>
      </c>
      <c r="J1300" t="s">
        <v>22</v>
      </c>
      <c r="K1300" t="s">
        <v>86</v>
      </c>
    </row>
    <row r="1301" spans="1:11">
      <c r="A1301" t="s">
        <v>139</v>
      </c>
      <c r="B1301">
        <v>10221</v>
      </c>
      <c r="C1301">
        <v>39</v>
      </c>
      <c r="D1301" s="21">
        <v>89.53</v>
      </c>
      <c r="E1301" s="22">
        <v>38035</v>
      </c>
      <c r="F1301" t="s">
        <v>13</v>
      </c>
      <c r="G1301" t="s">
        <v>202</v>
      </c>
      <c r="H1301">
        <v>1</v>
      </c>
      <c r="I1301">
        <v>2004</v>
      </c>
      <c r="J1301" t="s">
        <v>22</v>
      </c>
      <c r="K1301" t="s">
        <v>140</v>
      </c>
    </row>
    <row r="1302" spans="1:11">
      <c r="A1302" t="s">
        <v>145</v>
      </c>
      <c r="B1302">
        <v>10232</v>
      </c>
      <c r="C1302">
        <v>23</v>
      </c>
      <c r="D1302" s="21">
        <v>89.53</v>
      </c>
      <c r="E1302" s="22">
        <v>38066</v>
      </c>
      <c r="F1302" t="s">
        <v>13</v>
      </c>
      <c r="G1302" t="s">
        <v>202</v>
      </c>
      <c r="H1302">
        <v>1</v>
      </c>
      <c r="I1302">
        <v>2004</v>
      </c>
      <c r="J1302" t="s">
        <v>15</v>
      </c>
      <c r="K1302" t="s">
        <v>146</v>
      </c>
    </row>
    <row r="1303" spans="1:11">
      <c r="A1303" t="s">
        <v>12</v>
      </c>
      <c r="B1303">
        <v>10248</v>
      </c>
      <c r="C1303">
        <v>42</v>
      </c>
      <c r="D1303" s="21">
        <v>75.48</v>
      </c>
      <c r="E1303" s="22">
        <v>38114</v>
      </c>
      <c r="F1303" t="s">
        <v>128</v>
      </c>
      <c r="G1303" t="s">
        <v>202</v>
      </c>
      <c r="H1303">
        <v>2</v>
      </c>
      <c r="I1303">
        <v>2004</v>
      </c>
      <c r="J1303" t="s">
        <v>22</v>
      </c>
      <c r="K1303" t="s">
        <v>16</v>
      </c>
    </row>
    <row r="1304" spans="1:11">
      <c r="A1304" t="s">
        <v>111</v>
      </c>
      <c r="B1304">
        <v>10261</v>
      </c>
      <c r="C1304">
        <v>20</v>
      </c>
      <c r="D1304" s="21">
        <v>89.53</v>
      </c>
      <c r="E1304" s="22">
        <v>38155</v>
      </c>
      <c r="F1304" t="s">
        <v>13</v>
      </c>
      <c r="G1304" t="s">
        <v>202</v>
      </c>
      <c r="H1304">
        <v>2</v>
      </c>
      <c r="I1304">
        <v>2004</v>
      </c>
      <c r="J1304" t="s">
        <v>15</v>
      </c>
      <c r="K1304" t="s">
        <v>112</v>
      </c>
    </row>
    <row r="1305" spans="1:11">
      <c r="A1305" t="s">
        <v>139</v>
      </c>
      <c r="B1305">
        <v>10273</v>
      </c>
      <c r="C1305">
        <v>33</v>
      </c>
      <c r="D1305" s="21">
        <v>71.09</v>
      </c>
      <c r="E1305" s="22">
        <v>38189</v>
      </c>
      <c r="F1305" t="s">
        <v>13</v>
      </c>
      <c r="G1305" t="s">
        <v>202</v>
      </c>
      <c r="H1305">
        <v>3</v>
      </c>
      <c r="I1305">
        <v>2004</v>
      </c>
      <c r="J1305" t="s">
        <v>15</v>
      </c>
      <c r="K1305" t="s">
        <v>140</v>
      </c>
    </row>
    <row r="1306" spans="1:11">
      <c r="A1306" t="s">
        <v>141</v>
      </c>
      <c r="B1306">
        <v>10283</v>
      </c>
      <c r="C1306">
        <v>34</v>
      </c>
      <c r="D1306" s="21">
        <v>100</v>
      </c>
      <c r="E1306" s="22">
        <v>38219</v>
      </c>
      <c r="F1306" t="s">
        <v>13</v>
      </c>
      <c r="G1306" t="s">
        <v>202</v>
      </c>
      <c r="H1306">
        <v>3</v>
      </c>
      <c r="I1306">
        <v>2004</v>
      </c>
      <c r="J1306" t="s">
        <v>22</v>
      </c>
      <c r="K1306" t="s">
        <v>142</v>
      </c>
    </row>
    <row r="1307" spans="1:11">
      <c r="A1307" t="s">
        <v>97</v>
      </c>
      <c r="B1307">
        <v>10293</v>
      </c>
      <c r="C1307">
        <v>49</v>
      </c>
      <c r="D1307" s="21">
        <v>100</v>
      </c>
      <c r="E1307" s="22">
        <v>38239</v>
      </c>
      <c r="F1307" t="s">
        <v>13</v>
      </c>
      <c r="G1307" t="s">
        <v>202</v>
      </c>
      <c r="H1307">
        <v>3</v>
      </c>
      <c r="I1307">
        <v>2004</v>
      </c>
      <c r="J1307" t="s">
        <v>22</v>
      </c>
      <c r="K1307" t="s">
        <v>98</v>
      </c>
    </row>
    <row r="1308" spans="1:11">
      <c r="A1308" t="s">
        <v>183</v>
      </c>
      <c r="B1308">
        <v>10306</v>
      </c>
      <c r="C1308">
        <v>39</v>
      </c>
      <c r="D1308" s="21">
        <v>90.4</v>
      </c>
      <c r="E1308" s="22">
        <v>38274</v>
      </c>
      <c r="F1308" t="s">
        <v>13</v>
      </c>
      <c r="G1308" t="s">
        <v>202</v>
      </c>
      <c r="H1308">
        <v>4</v>
      </c>
      <c r="I1308">
        <v>2004</v>
      </c>
      <c r="J1308" t="s">
        <v>22</v>
      </c>
      <c r="K1308" t="s">
        <v>184</v>
      </c>
    </row>
    <row r="1309" spans="1:11">
      <c r="A1309" t="s">
        <v>50</v>
      </c>
      <c r="B1309">
        <v>10315</v>
      </c>
      <c r="C1309">
        <v>36</v>
      </c>
      <c r="D1309" s="21">
        <v>100</v>
      </c>
      <c r="E1309" s="22">
        <v>38289</v>
      </c>
      <c r="F1309" t="s">
        <v>13</v>
      </c>
      <c r="G1309" t="s">
        <v>202</v>
      </c>
      <c r="H1309">
        <v>4</v>
      </c>
      <c r="I1309">
        <v>2004</v>
      </c>
      <c r="J1309" t="s">
        <v>22</v>
      </c>
      <c r="K1309" t="s">
        <v>51</v>
      </c>
    </row>
    <row r="1310" spans="1:11">
      <c r="A1310" t="s">
        <v>73</v>
      </c>
      <c r="B1310">
        <v>10326</v>
      </c>
      <c r="C1310">
        <v>50</v>
      </c>
      <c r="D1310" s="21">
        <v>86.01</v>
      </c>
      <c r="E1310" s="22">
        <v>38300</v>
      </c>
      <c r="F1310" t="s">
        <v>13</v>
      </c>
      <c r="G1310" t="s">
        <v>202</v>
      </c>
      <c r="H1310">
        <v>4</v>
      </c>
      <c r="I1310">
        <v>2004</v>
      </c>
      <c r="J1310" t="s">
        <v>22</v>
      </c>
      <c r="K1310" t="s">
        <v>74</v>
      </c>
    </row>
    <row r="1311" spans="1:11">
      <c r="A1311" t="s">
        <v>79</v>
      </c>
      <c r="B1311">
        <v>10337</v>
      </c>
      <c r="C1311">
        <v>29</v>
      </c>
      <c r="D1311" s="21">
        <v>100</v>
      </c>
      <c r="E1311" s="22">
        <v>38312</v>
      </c>
      <c r="F1311" t="s">
        <v>13</v>
      </c>
      <c r="G1311" t="s">
        <v>202</v>
      </c>
      <c r="H1311">
        <v>4</v>
      </c>
      <c r="I1311">
        <v>2004</v>
      </c>
      <c r="J1311" t="s">
        <v>22</v>
      </c>
      <c r="K1311" t="s">
        <v>80</v>
      </c>
    </row>
    <row r="1312" spans="1:11">
      <c r="A1312" t="s">
        <v>69</v>
      </c>
      <c r="B1312">
        <v>10350</v>
      </c>
      <c r="C1312">
        <v>30</v>
      </c>
      <c r="D1312" s="21">
        <v>100</v>
      </c>
      <c r="E1312" s="22">
        <v>38323</v>
      </c>
      <c r="F1312" t="s">
        <v>13</v>
      </c>
      <c r="G1312" t="s">
        <v>202</v>
      </c>
      <c r="H1312">
        <v>4</v>
      </c>
      <c r="I1312">
        <v>2004</v>
      </c>
      <c r="J1312" t="s">
        <v>22</v>
      </c>
      <c r="K1312" t="s">
        <v>71</v>
      </c>
    </row>
    <row r="1313" spans="1:11">
      <c r="A1313" t="s">
        <v>95</v>
      </c>
      <c r="B1313">
        <v>10372</v>
      </c>
      <c r="C1313">
        <v>41</v>
      </c>
      <c r="D1313" s="21">
        <v>86.89</v>
      </c>
      <c r="E1313" s="22">
        <v>38378</v>
      </c>
      <c r="F1313" t="s">
        <v>13</v>
      </c>
      <c r="G1313" t="s">
        <v>202</v>
      </c>
      <c r="H1313">
        <v>1</v>
      </c>
      <c r="I1313">
        <v>2005</v>
      </c>
      <c r="J1313" t="s">
        <v>22</v>
      </c>
      <c r="K1313" t="s">
        <v>96</v>
      </c>
    </row>
    <row r="1314" spans="1:11">
      <c r="A1314" t="s">
        <v>69</v>
      </c>
      <c r="B1314">
        <v>10383</v>
      </c>
      <c r="C1314">
        <v>28</v>
      </c>
      <c r="D1314" s="21">
        <v>58.58</v>
      </c>
      <c r="E1314" s="22">
        <v>38405</v>
      </c>
      <c r="F1314" t="s">
        <v>13</v>
      </c>
      <c r="G1314" t="s">
        <v>202</v>
      </c>
      <c r="H1314">
        <v>1</v>
      </c>
      <c r="I1314">
        <v>2005</v>
      </c>
      <c r="J1314" t="s">
        <v>15</v>
      </c>
      <c r="K1314" t="s">
        <v>71</v>
      </c>
    </row>
    <row r="1315" spans="1:11">
      <c r="A1315" t="s">
        <v>103</v>
      </c>
      <c r="B1315">
        <v>10396</v>
      </c>
      <c r="C1315">
        <v>45</v>
      </c>
      <c r="D1315" s="21">
        <v>100</v>
      </c>
      <c r="E1315" s="22">
        <v>38434</v>
      </c>
      <c r="F1315" t="s">
        <v>13</v>
      </c>
      <c r="G1315" t="s">
        <v>202</v>
      </c>
      <c r="H1315">
        <v>1</v>
      </c>
      <c r="I1315">
        <v>2005</v>
      </c>
      <c r="J1315" t="s">
        <v>22</v>
      </c>
      <c r="K1315" t="s">
        <v>104</v>
      </c>
    </row>
    <row r="1316" spans="1:11">
      <c r="A1316" t="s">
        <v>143</v>
      </c>
      <c r="B1316">
        <v>10414</v>
      </c>
      <c r="C1316">
        <v>16</v>
      </c>
      <c r="D1316" s="21">
        <v>75.48</v>
      </c>
      <c r="E1316" s="22">
        <v>38478</v>
      </c>
      <c r="F1316" t="s">
        <v>151</v>
      </c>
      <c r="G1316" t="s">
        <v>202</v>
      </c>
      <c r="H1316">
        <v>2</v>
      </c>
      <c r="I1316">
        <v>2005</v>
      </c>
      <c r="J1316" t="s">
        <v>15</v>
      </c>
      <c r="K1316" t="s">
        <v>144</v>
      </c>
    </row>
    <row r="1317" spans="1:11">
      <c r="A1317" t="s">
        <v>56</v>
      </c>
      <c r="B1317">
        <v>10103</v>
      </c>
      <c r="C1317">
        <v>36</v>
      </c>
      <c r="D1317" s="21">
        <v>100</v>
      </c>
      <c r="E1317" s="22">
        <v>37650</v>
      </c>
      <c r="F1317" t="s">
        <v>13</v>
      </c>
      <c r="G1317" t="s">
        <v>187</v>
      </c>
      <c r="H1317">
        <v>1</v>
      </c>
      <c r="I1317">
        <v>2003</v>
      </c>
      <c r="J1317" t="s">
        <v>22</v>
      </c>
      <c r="K1317" t="s">
        <v>57</v>
      </c>
    </row>
    <row r="1318" spans="1:11">
      <c r="A1318" t="s">
        <v>152</v>
      </c>
      <c r="B1318">
        <v>10114</v>
      </c>
      <c r="C1318">
        <v>41</v>
      </c>
      <c r="D1318" s="21">
        <v>100</v>
      </c>
      <c r="E1318" s="22">
        <v>37712</v>
      </c>
      <c r="F1318" t="s">
        <v>13</v>
      </c>
      <c r="G1318" t="s">
        <v>187</v>
      </c>
      <c r="H1318">
        <v>2</v>
      </c>
      <c r="I1318">
        <v>2003</v>
      </c>
      <c r="J1318" t="s">
        <v>22</v>
      </c>
      <c r="K1318" t="s">
        <v>153</v>
      </c>
    </row>
    <row r="1319" spans="1:11">
      <c r="A1319" t="s">
        <v>75</v>
      </c>
      <c r="B1319">
        <v>10126</v>
      </c>
      <c r="C1319">
        <v>50</v>
      </c>
      <c r="D1319" s="21">
        <v>100</v>
      </c>
      <c r="E1319" s="22">
        <v>37769</v>
      </c>
      <c r="F1319" t="s">
        <v>13</v>
      </c>
      <c r="G1319" t="s">
        <v>187</v>
      </c>
      <c r="H1319">
        <v>2</v>
      </c>
      <c r="I1319">
        <v>2003</v>
      </c>
      <c r="J1319" t="s">
        <v>61</v>
      </c>
      <c r="K1319" t="s">
        <v>76</v>
      </c>
    </row>
    <row r="1320" spans="1:11">
      <c r="A1320" t="s">
        <v>31</v>
      </c>
      <c r="B1320">
        <v>10140</v>
      </c>
      <c r="C1320">
        <v>40</v>
      </c>
      <c r="D1320" s="21">
        <v>100</v>
      </c>
      <c r="E1320" s="22">
        <v>37826</v>
      </c>
      <c r="F1320" t="s">
        <v>13</v>
      </c>
      <c r="G1320" t="s">
        <v>187</v>
      </c>
      <c r="H1320">
        <v>3</v>
      </c>
      <c r="I1320">
        <v>2003</v>
      </c>
      <c r="J1320" t="s">
        <v>22</v>
      </c>
      <c r="K1320" t="s">
        <v>32</v>
      </c>
    </row>
    <row r="1321" spans="1:11">
      <c r="A1321" t="s">
        <v>77</v>
      </c>
      <c r="B1321">
        <v>10150</v>
      </c>
      <c r="C1321">
        <v>49</v>
      </c>
      <c r="D1321" s="21">
        <v>100</v>
      </c>
      <c r="E1321" s="22">
        <v>37883</v>
      </c>
      <c r="F1321" t="s">
        <v>13</v>
      </c>
      <c r="G1321" t="s">
        <v>187</v>
      </c>
      <c r="H1321">
        <v>3</v>
      </c>
      <c r="I1321">
        <v>2003</v>
      </c>
      <c r="J1321" t="s">
        <v>22</v>
      </c>
      <c r="K1321" t="s">
        <v>78</v>
      </c>
    </row>
    <row r="1322" spans="1:11">
      <c r="A1322" t="s">
        <v>154</v>
      </c>
      <c r="B1322">
        <v>10164</v>
      </c>
      <c r="C1322">
        <v>45</v>
      </c>
      <c r="D1322" s="21">
        <v>100</v>
      </c>
      <c r="E1322" s="22">
        <v>37915</v>
      </c>
      <c r="F1322" t="s">
        <v>155</v>
      </c>
      <c r="G1322" t="s">
        <v>187</v>
      </c>
      <c r="H1322">
        <v>4</v>
      </c>
      <c r="I1322">
        <v>2003</v>
      </c>
      <c r="J1322" t="s">
        <v>22</v>
      </c>
      <c r="K1322" t="s">
        <v>156</v>
      </c>
    </row>
    <row r="1323" spans="1:11">
      <c r="A1323" t="s">
        <v>124</v>
      </c>
      <c r="B1323">
        <v>10175</v>
      </c>
      <c r="C1323">
        <v>47</v>
      </c>
      <c r="D1323" s="21">
        <v>100</v>
      </c>
      <c r="E1323" s="22">
        <v>37931</v>
      </c>
      <c r="F1323" t="s">
        <v>13</v>
      </c>
      <c r="G1323" t="s">
        <v>187</v>
      </c>
      <c r="H1323">
        <v>4</v>
      </c>
      <c r="I1323">
        <v>2003</v>
      </c>
      <c r="J1323" t="s">
        <v>22</v>
      </c>
      <c r="K1323" t="s">
        <v>125</v>
      </c>
    </row>
    <row r="1324" spans="1:11">
      <c r="A1324" t="s">
        <v>83</v>
      </c>
      <c r="B1324">
        <v>10183</v>
      </c>
      <c r="C1324">
        <v>21</v>
      </c>
      <c r="D1324" s="21">
        <v>100</v>
      </c>
      <c r="E1324" s="22">
        <v>37938</v>
      </c>
      <c r="F1324" t="s">
        <v>13</v>
      </c>
      <c r="G1324" t="s">
        <v>187</v>
      </c>
      <c r="H1324">
        <v>4</v>
      </c>
      <c r="I1324">
        <v>2003</v>
      </c>
      <c r="J1324" t="s">
        <v>15</v>
      </c>
      <c r="K1324" t="s">
        <v>84</v>
      </c>
    </row>
    <row r="1325" spans="1:11">
      <c r="A1325" t="s">
        <v>85</v>
      </c>
      <c r="B1325">
        <v>10194</v>
      </c>
      <c r="C1325">
        <v>32</v>
      </c>
      <c r="D1325" s="21">
        <v>100</v>
      </c>
      <c r="E1325" s="22">
        <v>37950</v>
      </c>
      <c r="F1325" t="s">
        <v>13</v>
      </c>
      <c r="G1325" t="s">
        <v>187</v>
      </c>
      <c r="H1325">
        <v>4</v>
      </c>
      <c r="I1325">
        <v>2003</v>
      </c>
      <c r="J1325" t="s">
        <v>22</v>
      </c>
      <c r="K1325" t="s">
        <v>86</v>
      </c>
    </row>
    <row r="1326" spans="1:11">
      <c r="A1326" t="s">
        <v>157</v>
      </c>
      <c r="B1326">
        <v>10207</v>
      </c>
      <c r="C1326">
        <v>47</v>
      </c>
      <c r="D1326" s="21">
        <v>100</v>
      </c>
      <c r="E1326" s="22">
        <v>37964</v>
      </c>
      <c r="F1326" t="s">
        <v>13</v>
      </c>
      <c r="G1326" t="s">
        <v>187</v>
      </c>
      <c r="H1326">
        <v>4</v>
      </c>
      <c r="I1326">
        <v>2003</v>
      </c>
      <c r="J1326" t="s">
        <v>22</v>
      </c>
      <c r="K1326" t="s">
        <v>158</v>
      </c>
    </row>
    <row r="1327" spans="1:11">
      <c r="A1327" t="s">
        <v>159</v>
      </c>
      <c r="B1327">
        <v>10217</v>
      </c>
      <c r="C1327">
        <v>38</v>
      </c>
      <c r="D1327" s="21">
        <v>100</v>
      </c>
      <c r="E1327" s="22">
        <v>38021</v>
      </c>
      <c r="F1327" t="s">
        <v>13</v>
      </c>
      <c r="G1327" t="s">
        <v>187</v>
      </c>
      <c r="H1327">
        <v>1</v>
      </c>
      <c r="I1327">
        <v>2004</v>
      </c>
      <c r="J1327" t="s">
        <v>22</v>
      </c>
      <c r="K1327" t="s">
        <v>160</v>
      </c>
    </row>
    <row r="1328" spans="1:11">
      <c r="A1328" t="s">
        <v>103</v>
      </c>
      <c r="B1328">
        <v>10229</v>
      </c>
      <c r="C1328">
        <v>41</v>
      </c>
      <c r="D1328" s="21">
        <v>100</v>
      </c>
      <c r="E1328" s="22">
        <v>38057</v>
      </c>
      <c r="F1328" t="s">
        <v>13</v>
      </c>
      <c r="G1328" t="s">
        <v>187</v>
      </c>
      <c r="H1328">
        <v>1</v>
      </c>
      <c r="I1328">
        <v>2004</v>
      </c>
      <c r="J1328" t="s">
        <v>22</v>
      </c>
      <c r="K1328" t="s">
        <v>104</v>
      </c>
    </row>
    <row r="1329" spans="1:11">
      <c r="A1329" t="s">
        <v>93</v>
      </c>
      <c r="B1329">
        <v>10245</v>
      </c>
      <c r="C1329">
        <v>21</v>
      </c>
      <c r="D1329" s="21">
        <v>100</v>
      </c>
      <c r="E1329" s="22">
        <v>38111</v>
      </c>
      <c r="F1329" t="s">
        <v>13</v>
      </c>
      <c r="G1329" t="s">
        <v>187</v>
      </c>
      <c r="H1329">
        <v>2</v>
      </c>
      <c r="I1329">
        <v>2004</v>
      </c>
      <c r="J1329" t="s">
        <v>15</v>
      </c>
      <c r="K1329" t="s">
        <v>94</v>
      </c>
    </row>
    <row r="1330" spans="1:11">
      <c r="A1330" t="s">
        <v>159</v>
      </c>
      <c r="B1330">
        <v>10259</v>
      </c>
      <c r="C1330">
        <v>41</v>
      </c>
      <c r="D1330" s="21">
        <v>100</v>
      </c>
      <c r="E1330" s="22">
        <v>38153</v>
      </c>
      <c r="F1330" t="s">
        <v>13</v>
      </c>
      <c r="G1330" t="s">
        <v>187</v>
      </c>
      <c r="H1330">
        <v>2</v>
      </c>
      <c r="I1330">
        <v>2004</v>
      </c>
      <c r="J1330" t="s">
        <v>22</v>
      </c>
      <c r="K1330" t="s">
        <v>160</v>
      </c>
    </row>
    <row r="1331" spans="1:11">
      <c r="A1331" t="s">
        <v>63</v>
      </c>
      <c r="B1331">
        <v>10270</v>
      </c>
      <c r="C1331">
        <v>38</v>
      </c>
      <c r="D1331" s="21">
        <v>100</v>
      </c>
      <c r="E1331" s="22">
        <v>38187</v>
      </c>
      <c r="F1331" t="s">
        <v>13</v>
      </c>
      <c r="G1331" t="s">
        <v>187</v>
      </c>
      <c r="H1331">
        <v>3</v>
      </c>
      <c r="I1331">
        <v>2004</v>
      </c>
      <c r="J1331" t="s">
        <v>22</v>
      </c>
      <c r="K1331" t="s">
        <v>64</v>
      </c>
    </row>
    <row r="1332" spans="1:11">
      <c r="A1332" t="s">
        <v>58</v>
      </c>
      <c r="B1332">
        <v>10281</v>
      </c>
      <c r="C1332">
        <v>25</v>
      </c>
      <c r="D1332" s="21">
        <v>99.29</v>
      </c>
      <c r="E1332" s="22">
        <v>38218</v>
      </c>
      <c r="F1332" t="s">
        <v>13</v>
      </c>
      <c r="G1332" t="s">
        <v>187</v>
      </c>
      <c r="H1332">
        <v>3</v>
      </c>
      <c r="I1332">
        <v>2004</v>
      </c>
      <c r="J1332" t="s">
        <v>15</v>
      </c>
      <c r="K1332" t="s">
        <v>59</v>
      </c>
    </row>
    <row r="1333" spans="1:11">
      <c r="A1333" t="s">
        <v>99</v>
      </c>
      <c r="B1333">
        <v>10291</v>
      </c>
      <c r="C1333">
        <v>48</v>
      </c>
      <c r="D1333" s="21">
        <v>100</v>
      </c>
      <c r="E1333" s="22">
        <v>38238</v>
      </c>
      <c r="F1333" t="s">
        <v>13</v>
      </c>
      <c r="G1333" t="s">
        <v>187</v>
      </c>
      <c r="H1333">
        <v>3</v>
      </c>
      <c r="I1333">
        <v>2004</v>
      </c>
      <c r="J1333" t="s">
        <v>22</v>
      </c>
      <c r="K1333" t="s">
        <v>100</v>
      </c>
    </row>
    <row r="1334" spans="1:11">
      <c r="A1334" t="s">
        <v>52</v>
      </c>
      <c r="B1334">
        <v>10305</v>
      </c>
      <c r="C1334">
        <v>22</v>
      </c>
      <c r="D1334" s="21">
        <v>99.29</v>
      </c>
      <c r="E1334" s="22">
        <v>38273</v>
      </c>
      <c r="F1334" t="s">
        <v>13</v>
      </c>
      <c r="G1334" t="s">
        <v>187</v>
      </c>
      <c r="H1334">
        <v>4</v>
      </c>
      <c r="I1334">
        <v>2004</v>
      </c>
      <c r="J1334" t="s">
        <v>15</v>
      </c>
      <c r="K1334" t="s">
        <v>53</v>
      </c>
    </row>
    <row r="1335" spans="1:11">
      <c r="A1335" t="s">
        <v>87</v>
      </c>
      <c r="B1335">
        <v>10313</v>
      </c>
      <c r="C1335">
        <v>28</v>
      </c>
      <c r="D1335" s="21">
        <v>100</v>
      </c>
      <c r="E1335" s="22">
        <v>38282</v>
      </c>
      <c r="F1335" t="s">
        <v>13</v>
      </c>
      <c r="G1335" t="s">
        <v>187</v>
      </c>
      <c r="H1335">
        <v>4</v>
      </c>
      <c r="I1335">
        <v>2004</v>
      </c>
      <c r="J1335" t="s">
        <v>15</v>
      </c>
      <c r="K1335" t="s">
        <v>88</v>
      </c>
    </row>
    <row r="1336" spans="1:11">
      <c r="A1336" t="s">
        <v>173</v>
      </c>
      <c r="B1336">
        <v>10323</v>
      </c>
      <c r="C1336">
        <v>47</v>
      </c>
      <c r="D1336" s="21">
        <v>100</v>
      </c>
      <c r="E1336" s="22">
        <v>38296</v>
      </c>
      <c r="F1336" t="s">
        <v>13</v>
      </c>
      <c r="G1336" t="s">
        <v>187</v>
      </c>
      <c r="H1336">
        <v>4</v>
      </c>
      <c r="I1336">
        <v>2004</v>
      </c>
      <c r="J1336" t="s">
        <v>22</v>
      </c>
      <c r="K1336" t="s">
        <v>174</v>
      </c>
    </row>
    <row r="1337" spans="1:11">
      <c r="A1337" t="s">
        <v>73</v>
      </c>
      <c r="B1337">
        <v>10334</v>
      </c>
      <c r="C1337">
        <v>49</v>
      </c>
      <c r="D1337" s="21">
        <v>100</v>
      </c>
      <c r="E1337" s="22">
        <v>38310</v>
      </c>
      <c r="F1337" t="s">
        <v>151</v>
      </c>
      <c r="G1337" t="s">
        <v>187</v>
      </c>
      <c r="H1337">
        <v>4</v>
      </c>
      <c r="I1337">
        <v>2004</v>
      </c>
      <c r="J1337" t="s">
        <v>22</v>
      </c>
      <c r="K1337" t="s">
        <v>74</v>
      </c>
    </row>
    <row r="1338" spans="1:11">
      <c r="A1338" t="s">
        <v>42</v>
      </c>
      <c r="B1338">
        <v>10347</v>
      </c>
      <c r="C1338">
        <v>45</v>
      </c>
      <c r="D1338" s="21">
        <v>100</v>
      </c>
      <c r="E1338" s="22">
        <v>38320</v>
      </c>
      <c r="F1338" t="s">
        <v>13</v>
      </c>
      <c r="G1338" t="s">
        <v>187</v>
      </c>
      <c r="H1338">
        <v>4</v>
      </c>
      <c r="I1338">
        <v>2004</v>
      </c>
      <c r="J1338" t="s">
        <v>22</v>
      </c>
      <c r="K1338" t="s">
        <v>43</v>
      </c>
    </row>
    <row r="1339" spans="1:11">
      <c r="A1339" t="s">
        <v>103</v>
      </c>
      <c r="B1339">
        <v>10357</v>
      </c>
      <c r="C1339">
        <v>28</v>
      </c>
      <c r="D1339" s="21">
        <v>100</v>
      </c>
      <c r="E1339" s="22">
        <v>38331</v>
      </c>
      <c r="F1339" t="s">
        <v>13</v>
      </c>
      <c r="G1339" t="s">
        <v>187</v>
      </c>
      <c r="H1339">
        <v>4</v>
      </c>
      <c r="I1339">
        <v>2004</v>
      </c>
      <c r="J1339" t="s">
        <v>22</v>
      </c>
      <c r="K1339" t="s">
        <v>104</v>
      </c>
    </row>
    <row r="1340" spans="1:11">
      <c r="A1340" t="s">
        <v>109</v>
      </c>
      <c r="B1340">
        <v>10370</v>
      </c>
      <c r="C1340">
        <v>29</v>
      </c>
      <c r="D1340" s="21">
        <v>57.53</v>
      </c>
      <c r="E1340" s="22">
        <v>38372</v>
      </c>
      <c r="F1340" t="s">
        <v>13</v>
      </c>
      <c r="G1340" t="s">
        <v>187</v>
      </c>
      <c r="H1340">
        <v>1</v>
      </c>
      <c r="I1340">
        <v>2005</v>
      </c>
      <c r="J1340" t="s">
        <v>15</v>
      </c>
      <c r="K1340" t="s">
        <v>110</v>
      </c>
    </row>
    <row r="1341" spans="1:11">
      <c r="A1341" t="s">
        <v>103</v>
      </c>
      <c r="B1341">
        <v>10382</v>
      </c>
      <c r="C1341">
        <v>39</v>
      </c>
      <c r="D1341" s="21">
        <v>100</v>
      </c>
      <c r="E1341" s="22">
        <v>38400</v>
      </c>
      <c r="F1341" t="s">
        <v>13</v>
      </c>
      <c r="G1341" t="s">
        <v>187</v>
      </c>
      <c r="H1341">
        <v>1</v>
      </c>
      <c r="I1341">
        <v>2005</v>
      </c>
      <c r="J1341" t="s">
        <v>22</v>
      </c>
      <c r="K1341" t="s">
        <v>104</v>
      </c>
    </row>
    <row r="1342" spans="1:11">
      <c r="A1342" t="s">
        <v>111</v>
      </c>
      <c r="B1342">
        <v>10411</v>
      </c>
      <c r="C1342">
        <v>46</v>
      </c>
      <c r="D1342" s="21">
        <v>100</v>
      </c>
      <c r="E1342" s="22">
        <v>38473</v>
      </c>
      <c r="F1342" t="s">
        <v>13</v>
      </c>
      <c r="G1342" t="s">
        <v>187</v>
      </c>
      <c r="H1342">
        <v>2</v>
      </c>
      <c r="I1342">
        <v>2005</v>
      </c>
      <c r="J1342" t="s">
        <v>22</v>
      </c>
      <c r="K1342" t="s">
        <v>112</v>
      </c>
    </row>
    <row r="1343" spans="1:11">
      <c r="A1343" t="s">
        <v>50</v>
      </c>
      <c r="B1343">
        <v>10425</v>
      </c>
      <c r="C1343">
        <v>38</v>
      </c>
      <c r="D1343" s="21">
        <v>100</v>
      </c>
      <c r="E1343" s="22">
        <v>38503</v>
      </c>
      <c r="F1343" t="s">
        <v>113</v>
      </c>
      <c r="G1343" t="s">
        <v>187</v>
      </c>
      <c r="H1343">
        <v>2</v>
      </c>
      <c r="I1343">
        <v>2005</v>
      </c>
      <c r="J1343" t="s">
        <v>22</v>
      </c>
      <c r="K1343" t="s">
        <v>51</v>
      </c>
    </row>
    <row r="1344" spans="1:11">
      <c r="A1344" t="s">
        <v>56</v>
      </c>
      <c r="B1344">
        <v>10103</v>
      </c>
      <c r="C1344">
        <v>41</v>
      </c>
      <c r="D1344" s="21">
        <v>47.29</v>
      </c>
      <c r="E1344" s="22">
        <v>37650</v>
      </c>
      <c r="F1344" t="s">
        <v>13</v>
      </c>
      <c r="G1344" t="s">
        <v>202</v>
      </c>
      <c r="H1344">
        <v>1</v>
      </c>
      <c r="I1344">
        <v>2003</v>
      </c>
      <c r="J1344" t="s">
        <v>15</v>
      </c>
      <c r="K1344" t="s">
        <v>57</v>
      </c>
    </row>
    <row r="1345" spans="1:11">
      <c r="A1345" t="s">
        <v>103</v>
      </c>
      <c r="B1345">
        <v>10113</v>
      </c>
      <c r="C1345">
        <v>50</v>
      </c>
      <c r="D1345" s="21">
        <v>49.81</v>
      </c>
      <c r="E1345" s="22">
        <v>37706</v>
      </c>
      <c r="F1345" t="s">
        <v>13</v>
      </c>
      <c r="G1345" t="s">
        <v>202</v>
      </c>
      <c r="H1345">
        <v>1</v>
      </c>
      <c r="I1345">
        <v>2003</v>
      </c>
      <c r="J1345" t="s">
        <v>15</v>
      </c>
      <c r="K1345" t="s">
        <v>104</v>
      </c>
    </row>
    <row r="1346" spans="1:11">
      <c r="A1346" t="s">
        <v>75</v>
      </c>
      <c r="B1346">
        <v>10126</v>
      </c>
      <c r="C1346">
        <v>43</v>
      </c>
      <c r="D1346" s="21">
        <v>53.83</v>
      </c>
      <c r="E1346" s="22">
        <v>37769</v>
      </c>
      <c r="F1346" t="s">
        <v>13</v>
      </c>
      <c r="G1346" t="s">
        <v>202</v>
      </c>
      <c r="H1346">
        <v>2</v>
      </c>
      <c r="I1346">
        <v>2003</v>
      </c>
      <c r="J1346" t="s">
        <v>15</v>
      </c>
      <c r="K1346" t="s">
        <v>76</v>
      </c>
    </row>
    <row r="1347" spans="1:11">
      <c r="A1347" t="s">
        <v>31</v>
      </c>
      <c r="B1347">
        <v>10140</v>
      </c>
      <c r="C1347">
        <v>29</v>
      </c>
      <c r="D1347" s="21">
        <v>43.27</v>
      </c>
      <c r="E1347" s="22">
        <v>37826</v>
      </c>
      <c r="F1347" t="s">
        <v>13</v>
      </c>
      <c r="G1347" t="s">
        <v>202</v>
      </c>
      <c r="H1347">
        <v>3</v>
      </c>
      <c r="I1347">
        <v>2003</v>
      </c>
      <c r="J1347" t="s">
        <v>15</v>
      </c>
      <c r="K1347" t="s">
        <v>32</v>
      </c>
    </row>
    <row r="1348" spans="1:11">
      <c r="A1348" t="s">
        <v>77</v>
      </c>
      <c r="B1348">
        <v>10150</v>
      </c>
      <c r="C1348">
        <v>30</v>
      </c>
      <c r="D1348" s="21">
        <v>42.76</v>
      </c>
      <c r="E1348" s="22">
        <v>37883</v>
      </c>
      <c r="F1348" t="s">
        <v>13</v>
      </c>
      <c r="G1348" t="s">
        <v>202</v>
      </c>
      <c r="H1348">
        <v>3</v>
      </c>
      <c r="I1348">
        <v>2003</v>
      </c>
      <c r="J1348" t="s">
        <v>15</v>
      </c>
      <c r="K1348" t="s">
        <v>78</v>
      </c>
    </row>
    <row r="1349" spans="1:11">
      <c r="A1349" t="s">
        <v>154</v>
      </c>
      <c r="B1349">
        <v>10164</v>
      </c>
      <c r="C1349">
        <v>25</v>
      </c>
      <c r="D1349" s="21">
        <v>53.83</v>
      </c>
      <c r="E1349" s="22">
        <v>37915</v>
      </c>
      <c r="F1349" t="s">
        <v>155</v>
      </c>
      <c r="G1349" t="s">
        <v>202</v>
      </c>
      <c r="H1349">
        <v>4</v>
      </c>
      <c r="I1349">
        <v>2003</v>
      </c>
      <c r="J1349" t="s">
        <v>15</v>
      </c>
      <c r="K1349" t="s">
        <v>156</v>
      </c>
    </row>
    <row r="1350" spans="1:11">
      <c r="A1350" t="s">
        <v>81</v>
      </c>
      <c r="B1350">
        <v>10174</v>
      </c>
      <c r="C1350">
        <v>49</v>
      </c>
      <c r="D1350" s="21">
        <v>44.78</v>
      </c>
      <c r="E1350" s="22">
        <v>37931</v>
      </c>
      <c r="F1350" t="s">
        <v>13</v>
      </c>
      <c r="G1350" t="s">
        <v>202</v>
      </c>
      <c r="H1350">
        <v>4</v>
      </c>
      <c r="I1350">
        <v>2003</v>
      </c>
      <c r="J1350" t="s">
        <v>15</v>
      </c>
      <c r="K1350" t="s">
        <v>82</v>
      </c>
    </row>
    <row r="1351" spans="1:11">
      <c r="A1351" t="s">
        <v>83</v>
      </c>
      <c r="B1351">
        <v>10183</v>
      </c>
      <c r="C1351">
        <v>40</v>
      </c>
      <c r="D1351" s="21">
        <v>49.3</v>
      </c>
      <c r="E1351" s="22">
        <v>37938</v>
      </c>
      <c r="F1351" t="s">
        <v>13</v>
      </c>
      <c r="G1351" t="s">
        <v>202</v>
      </c>
      <c r="H1351">
        <v>4</v>
      </c>
      <c r="I1351">
        <v>2003</v>
      </c>
      <c r="J1351" t="s">
        <v>15</v>
      </c>
      <c r="K1351" t="s">
        <v>84</v>
      </c>
    </row>
    <row r="1352" spans="1:11">
      <c r="A1352" t="s">
        <v>85</v>
      </c>
      <c r="B1352">
        <v>10194</v>
      </c>
      <c r="C1352">
        <v>41</v>
      </c>
      <c r="D1352" s="21">
        <v>44.78</v>
      </c>
      <c r="E1352" s="22">
        <v>37950</v>
      </c>
      <c r="F1352" t="s">
        <v>13</v>
      </c>
      <c r="G1352" t="s">
        <v>202</v>
      </c>
      <c r="H1352">
        <v>4</v>
      </c>
      <c r="I1352">
        <v>2003</v>
      </c>
      <c r="J1352" t="s">
        <v>15</v>
      </c>
      <c r="K1352" t="s">
        <v>86</v>
      </c>
    </row>
    <row r="1353" spans="1:11">
      <c r="A1353" t="s">
        <v>87</v>
      </c>
      <c r="B1353">
        <v>10206</v>
      </c>
      <c r="C1353">
        <v>21</v>
      </c>
      <c r="D1353" s="21">
        <v>53.33</v>
      </c>
      <c r="E1353" s="22">
        <v>37960</v>
      </c>
      <c r="F1353" t="s">
        <v>13</v>
      </c>
      <c r="G1353" t="s">
        <v>202</v>
      </c>
      <c r="H1353">
        <v>4</v>
      </c>
      <c r="I1353">
        <v>2003</v>
      </c>
      <c r="J1353" t="s">
        <v>15</v>
      </c>
      <c r="K1353" t="s">
        <v>88</v>
      </c>
    </row>
    <row r="1354" spans="1:11">
      <c r="A1354" t="s">
        <v>89</v>
      </c>
      <c r="B1354">
        <v>10215</v>
      </c>
      <c r="C1354">
        <v>46</v>
      </c>
      <c r="D1354" s="21">
        <v>45.28</v>
      </c>
      <c r="E1354" s="22">
        <v>38015</v>
      </c>
      <c r="F1354" t="s">
        <v>13</v>
      </c>
      <c r="G1354" t="s">
        <v>202</v>
      </c>
      <c r="H1354">
        <v>1</v>
      </c>
      <c r="I1354">
        <v>2004</v>
      </c>
      <c r="J1354" t="s">
        <v>15</v>
      </c>
      <c r="K1354" t="s">
        <v>90</v>
      </c>
    </row>
    <row r="1355" spans="1:11">
      <c r="A1355" t="s">
        <v>103</v>
      </c>
      <c r="B1355">
        <v>10229</v>
      </c>
      <c r="C1355">
        <v>39</v>
      </c>
      <c r="D1355" s="21">
        <v>40.25</v>
      </c>
      <c r="E1355" s="22">
        <v>38057</v>
      </c>
      <c r="F1355" t="s">
        <v>13</v>
      </c>
      <c r="G1355" t="s">
        <v>202</v>
      </c>
      <c r="H1355">
        <v>1</v>
      </c>
      <c r="I1355">
        <v>2004</v>
      </c>
      <c r="J1355" t="s">
        <v>15</v>
      </c>
      <c r="K1355" t="s">
        <v>104</v>
      </c>
    </row>
    <row r="1356" spans="1:11">
      <c r="A1356" t="s">
        <v>93</v>
      </c>
      <c r="B1356">
        <v>10245</v>
      </c>
      <c r="C1356">
        <v>45</v>
      </c>
      <c r="D1356" s="21">
        <v>59.87</v>
      </c>
      <c r="E1356" s="22">
        <v>38111</v>
      </c>
      <c r="F1356" t="s">
        <v>13</v>
      </c>
      <c r="G1356" t="s">
        <v>202</v>
      </c>
      <c r="H1356">
        <v>2</v>
      </c>
      <c r="I1356">
        <v>2004</v>
      </c>
      <c r="J1356" t="s">
        <v>15</v>
      </c>
      <c r="K1356" t="s">
        <v>94</v>
      </c>
    </row>
    <row r="1357" spans="1:11">
      <c r="A1357" t="s">
        <v>95</v>
      </c>
      <c r="B1357">
        <v>10258</v>
      </c>
      <c r="C1357">
        <v>21</v>
      </c>
      <c r="D1357" s="21">
        <v>59.87</v>
      </c>
      <c r="E1357" s="22">
        <v>38153</v>
      </c>
      <c r="F1357" t="s">
        <v>13</v>
      </c>
      <c r="G1357" t="s">
        <v>202</v>
      </c>
      <c r="H1357">
        <v>2</v>
      </c>
      <c r="I1357">
        <v>2004</v>
      </c>
      <c r="J1357" t="s">
        <v>15</v>
      </c>
      <c r="K1357" t="s">
        <v>96</v>
      </c>
    </row>
    <row r="1358" spans="1:11">
      <c r="A1358" t="s">
        <v>63</v>
      </c>
      <c r="B1358">
        <v>10270</v>
      </c>
      <c r="C1358">
        <v>44</v>
      </c>
      <c r="D1358" s="21">
        <v>58.36</v>
      </c>
      <c r="E1358" s="22">
        <v>38187</v>
      </c>
      <c r="F1358" t="s">
        <v>13</v>
      </c>
      <c r="G1358" t="s">
        <v>202</v>
      </c>
      <c r="H1358">
        <v>3</v>
      </c>
      <c r="I1358">
        <v>2004</v>
      </c>
      <c r="J1358" t="s">
        <v>15</v>
      </c>
      <c r="K1358" t="s">
        <v>64</v>
      </c>
    </row>
    <row r="1359" spans="1:11">
      <c r="A1359" t="s">
        <v>58</v>
      </c>
      <c r="B1359">
        <v>10281</v>
      </c>
      <c r="C1359">
        <v>44</v>
      </c>
      <c r="D1359" s="21">
        <v>59.87</v>
      </c>
      <c r="E1359" s="22">
        <v>38218</v>
      </c>
      <c r="F1359" t="s">
        <v>13</v>
      </c>
      <c r="G1359" t="s">
        <v>202</v>
      </c>
      <c r="H1359">
        <v>3</v>
      </c>
      <c r="I1359">
        <v>2004</v>
      </c>
      <c r="J1359" t="s">
        <v>15</v>
      </c>
      <c r="K1359" t="s">
        <v>59</v>
      </c>
    </row>
    <row r="1360" spans="1:11">
      <c r="A1360" t="s">
        <v>99</v>
      </c>
      <c r="B1360">
        <v>10291</v>
      </c>
      <c r="C1360">
        <v>29</v>
      </c>
      <c r="D1360" s="21">
        <v>51.82</v>
      </c>
      <c r="E1360" s="22">
        <v>38238</v>
      </c>
      <c r="F1360" t="s">
        <v>13</v>
      </c>
      <c r="G1360" t="s">
        <v>202</v>
      </c>
      <c r="H1360">
        <v>3</v>
      </c>
      <c r="I1360">
        <v>2004</v>
      </c>
      <c r="J1360" t="s">
        <v>15</v>
      </c>
      <c r="K1360" t="s">
        <v>100</v>
      </c>
    </row>
    <row r="1361" spans="1:11">
      <c r="A1361" t="s">
        <v>101</v>
      </c>
      <c r="B1361">
        <v>10304</v>
      </c>
      <c r="C1361">
        <v>34</v>
      </c>
      <c r="D1361" s="21">
        <v>49.3</v>
      </c>
      <c r="E1361" s="22">
        <v>38271</v>
      </c>
      <c r="F1361" t="s">
        <v>13</v>
      </c>
      <c r="G1361" t="s">
        <v>202</v>
      </c>
      <c r="H1361">
        <v>4</v>
      </c>
      <c r="I1361">
        <v>2004</v>
      </c>
      <c r="J1361" t="s">
        <v>15</v>
      </c>
      <c r="K1361" t="s">
        <v>102</v>
      </c>
    </row>
    <row r="1362" spans="1:11">
      <c r="A1362" t="s">
        <v>103</v>
      </c>
      <c r="B1362">
        <v>10312</v>
      </c>
      <c r="C1362">
        <v>39</v>
      </c>
      <c r="D1362" s="21">
        <v>56.85</v>
      </c>
      <c r="E1362" s="22">
        <v>38281</v>
      </c>
      <c r="F1362" t="s">
        <v>13</v>
      </c>
      <c r="G1362" t="s">
        <v>202</v>
      </c>
      <c r="H1362">
        <v>4</v>
      </c>
      <c r="I1362">
        <v>2004</v>
      </c>
      <c r="J1362" t="s">
        <v>15</v>
      </c>
      <c r="K1362" t="s">
        <v>104</v>
      </c>
    </row>
    <row r="1363" spans="1:11">
      <c r="A1363" t="s">
        <v>44</v>
      </c>
      <c r="B1363">
        <v>10324</v>
      </c>
      <c r="C1363">
        <v>38</v>
      </c>
      <c r="D1363" s="21">
        <v>100</v>
      </c>
      <c r="E1363" s="22">
        <v>38296</v>
      </c>
      <c r="F1363" t="s">
        <v>13</v>
      </c>
      <c r="G1363" t="s">
        <v>202</v>
      </c>
      <c r="H1363">
        <v>4</v>
      </c>
      <c r="I1363">
        <v>2004</v>
      </c>
      <c r="J1363" t="s">
        <v>22</v>
      </c>
      <c r="K1363" t="s">
        <v>45</v>
      </c>
    </row>
    <row r="1364" spans="1:11">
      <c r="A1364" t="s">
        <v>38</v>
      </c>
      <c r="B1364">
        <v>10333</v>
      </c>
      <c r="C1364">
        <v>24</v>
      </c>
      <c r="D1364" s="21">
        <v>79.86</v>
      </c>
      <c r="E1364" s="22">
        <v>38309</v>
      </c>
      <c r="F1364" t="s">
        <v>13</v>
      </c>
      <c r="G1364" t="s">
        <v>202</v>
      </c>
      <c r="H1364">
        <v>4</v>
      </c>
      <c r="I1364">
        <v>2004</v>
      </c>
      <c r="J1364" t="s">
        <v>15</v>
      </c>
      <c r="K1364" t="s">
        <v>39</v>
      </c>
    </row>
    <row r="1365" spans="1:11">
      <c r="A1365" t="s">
        <v>75</v>
      </c>
      <c r="B1365">
        <v>10348</v>
      </c>
      <c r="C1365">
        <v>29</v>
      </c>
      <c r="D1365" s="21">
        <v>100</v>
      </c>
      <c r="E1365" s="22">
        <v>38292</v>
      </c>
      <c r="F1365" t="s">
        <v>13</v>
      </c>
      <c r="G1365" t="s">
        <v>202</v>
      </c>
      <c r="H1365">
        <v>4</v>
      </c>
      <c r="I1365">
        <v>2004</v>
      </c>
      <c r="J1365" t="s">
        <v>61</v>
      </c>
      <c r="K1365" t="s">
        <v>76</v>
      </c>
    </row>
    <row r="1366" spans="1:11">
      <c r="A1366" t="s">
        <v>69</v>
      </c>
      <c r="B1366">
        <v>10358</v>
      </c>
      <c r="C1366">
        <v>30</v>
      </c>
      <c r="D1366" s="21">
        <v>100</v>
      </c>
      <c r="E1366" s="22">
        <v>38331</v>
      </c>
      <c r="F1366" t="s">
        <v>13</v>
      </c>
      <c r="G1366" t="s">
        <v>202</v>
      </c>
      <c r="H1366">
        <v>4</v>
      </c>
      <c r="I1366">
        <v>2004</v>
      </c>
      <c r="J1366" t="s">
        <v>22</v>
      </c>
      <c r="K1366" t="s">
        <v>71</v>
      </c>
    </row>
    <row r="1367" spans="1:11">
      <c r="A1367" t="s">
        <v>109</v>
      </c>
      <c r="B1367">
        <v>10370</v>
      </c>
      <c r="C1367">
        <v>20</v>
      </c>
      <c r="D1367" s="21">
        <v>100</v>
      </c>
      <c r="E1367" s="22">
        <v>38372</v>
      </c>
      <c r="F1367" t="s">
        <v>13</v>
      </c>
      <c r="G1367" t="s">
        <v>202</v>
      </c>
      <c r="H1367">
        <v>1</v>
      </c>
      <c r="I1367">
        <v>2005</v>
      </c>
      <c r="J1367" t="s">
        <v>15</v>
      </c>
      <c r="K1367" t="s">
        <v>110</v>
      </c>
    </row>
    <row r="1368" spans="1:11">
      <c r="A1368" t="s">
        <v>103</v>
      </c>
      <c r="B1368">
        <v>10382</v>
      </c>
      <c r="C1368">
        <v>39</v>
      </c>
      <c r="D1368" s="21">
        <v>100</v>
      </c>
      <c r="E1368" s="22">
        <v>38400</v>
      </c>
      <c r="F1368" t="s">
        <v>13</v>
      </c>
      <c r="G1368" t="s">
        <v>202</v>
      </c>
      <c r="H1368">
        <v>1</v>
      </c>
      <c r="I1368">
        <v>2005</v>
      </c>
      <c r="J1368" t="s">
        <v>61</v>
      </c>
      <c r="K1368" t="s">
        <v>104</v>
      </c>
    </row>
    <row r="1369" spans="1:11">
      <c r="A1369" t="s">
        <v>111</v>
      </c>
      <c r="B1369">
        <v>10411</v>
      </c>
      <c r="C1369">
        <v>35</v>
      </c>
      <c r="D1369" s="21">
        <v>59.87</v>
      </c>
      <c r="E1369" s="22">
        <v>38473</v>
      </c>
      <c r="F1369" t="s">
        <v>13</v>
      </c>
      <c r="G1369" t="s">
        <v>202</v>
      </c>
      <c r="H1369">
        <v>2</v>
      </c>
      <c r="I1369">
        <v>2005</v>
      </c>
      <c r="J1369" t="s">
        <v>15</v>
      </c>
      <c r="K1369" t="s">
        <v>112</v>
      </c>
    </row>
    <row r="1370" spans="1:11">
      <c r="A1370" t="s">
        <v>69</v>
      </c>
      <c r="B1370">
        <v>10424</v>
      </c>
      <c r="C1370">
        <v>26</v>
      </c>
      <c r="D1370" s="21">
        <v>59.87</v>
      </c>
      <c r="E1370" s="22">
        <v>38503</v>
      </c>
      <c r="F1370" t="s">
        <v>113</v>
      </c>
      <c r="G1370" t="s">
        <v>202</v>
      </c>
      <c r="H1370">
        <v>2</v>
      </c>
      <c r="I1370">
        <v>2005</v>
      </c>
      <c r="J1370" t="s">
        <v>15</v>
      </c>
      <c r="K1370" t="s">
        <v>71</v>
      </c>
    </row>
    <row r="1371" spans="1:11">
      <c r="A1371" t="s">
        <v>161</v>
      </c>
      <c r="B1371">
        <v>10108</v>
      </c>
      <c r="C1371">
        <v>44</v>
      </c>
      <c r="D1371" s="21">
        <v>100</v>
      </c>
      <c r="E1371" s="22">
        <v>37683</v>
      </c>
      <c r="F1371" t="s">
        <v>13</v>
      </c>
      <c r="G1371" t="s">
        <v>72</v>
      </c>
      <c r="H1371">
        <v>1</v>
      </c>
      <c r="I1371">
        <v>2003</v>
      </c>
      <c r="J1371" t="s">
        <v>22</v>
      </c>
      <c r="K1371" t="s">
        <v>162</v>
      </c>
    </row>
    <row r="1372" spans="1:11">
      <c r="A1372" t="s">
        <v>163</v>
      </c>
      <c r="B1372">
        <v>10122</v>
      </c>
      <c r="C1372">
        <v>28</v>
      </c>
      <c r="D1372" s="21">
        <v>100</v>
      </c>
      <c r="E1372" s="22">
        <v>37749</v>
      </c>
      <c r="F1372" t="s">
        <v>13</v>
      </c>
      <c r="G1372" t="s">
        <v>72</v>
      </c>
      <c r="H1372">
        <v>2</v>
      </c>
      <c r="I1372">
        <v>2003</v>
      </c>
      <c r="J1372" t="s">
        <v>22</v>
      </c>
      <c r="K1372" t="s">
        <v>164</v>
      </c>
    </row>
    <row r="1373" spans="1:11">
      <c r="A1373" t="s">
        <v>103</v>
      </c>
      <c r="B1373">
        <v>10135</v>
      </c>
      <c r="C1373">
        <v>31</v>
      </c>
      <c r="D1373" s="21">
        <v>100</v>
      </c>
      <c r="E1373" s="22">
        <v>37804</v>
      </c>
      <c r="F1373" t="s">
        <v>13</v>
      </c>
      <c r="G1373" t="s">
        <v>72</v>
      </c>
      <c r="H1373">
        <v>3</v>
      </c>
      <c r="I1373">
        <v>2003</v>
      </c>
      <c r="J1373" t="s">
        <v>22</v>
      </c>
      <c r="K1373" t="s">
        <v>104</v>
      </c>
    </row>
    <row r="1374" spans="1:11">
      <c r="A1374" t="s">
        <v>208</v>
      </c>
      <c r="B1374">
        <v>10146</v>
      </c>
      <c r="C1374">
        <v>29</v>
      </c>
      <c r="D1374" s="21">
        <v>100</v>
      </c>
      <c r="E1374" s="22">
        <v>37867</v>
      </c>
      <c r="F1374" t="s">
        <v>13</v>
      </c>
      <c r="G1374" t="s">
        <v>72</v>
      </c>
      <c r="H1374">
        <v>3</v>
      </c>
      <c r="I1374">
        <v>2003</v>
      </c>
      <c r="J1374" t="s">
        <v>22</v>
      </c>
      <c r="K1374" t="s">
        <v>209</v>
      </c>
    </row>
    <row r="1375" spans="1:11">
      <c r="A1375" t="s">
        <v>28</v>
      </c>
      <c r="B1375">
        <v>10159</v>
      </c>
      <c r="C1375">
        <v>32</v>
      </c>
      <c r="D1375" s="21">
        <v>100</v>
      </c>
      <c r="E1375" s="22">
        <v>37904</v>
      </c>
      <c r="F1375" t="s">
        <v>13</v>
      </c>
      <c r="G1375" t="s">
        <v>72</v>
      </c>
      <c r="H1375">
        <v>4</v>
      </c>
      <c r="I1375">
        <v>2003</v>
      </c>
      <c r="J1375" t="s">
        <v>22</v>
      </c>
      <c r="K1375" t="s">
        <v>29</v>
      </c>
    </row>
    <row r="1376" spans="1:11">
      <c r="A1376" t="s">
        <v>109</v>
      </c>
      <c r="B1376">
        <v>10169</v>
      </c>
      <c r="C1376">
        <v>33</v>
      </c>
      <c r="D1376" s="21">
        <v>100</v>
      </c>
      <c r="E1376" s="22">
        <v>37929</v>
      </c>
      <c r="F1376" t="s">
        <v>13</v>
      </c>
      <c r="G1376" t="s">
        <v>72</v>
      </c>
      <c r="H1376">
        <v>4</v>
      </c>
      <c r="I1376">
        <v>2003</v>
      </c>
      <c r="J1376" t="s">
        <v>22</v>
      </c>
      <c r="K1376" t="s">
        <v>110</v>
      </c>
    </row>
    <row r="1377" spans="1:11">
      <c r="A1377" t="s">
        <v>34</v>
      </c>
      <c r="B1377">
        <v>10180</v>
      </c>
      <c r="C1377">
        <v>44</v>
      </c>
      <c r="D1377" s="21">
        <v>100</v>
      </c>
      <c r="E1377" s="22">
        <v>37936</v>
      </c>
      <c r="F1377" t="s">
        <v>13</v>
      </c>
      <c r="G1377" t="s">
        <v>72</v>
      </c>
      <c r="H1377">
        <v>4</v>
      </c>
      <c r="I1377">
        <v>2003</v>
      </c>
      <c r="J1377" t="s">
        <v>22</v>
      </c>
      <c r="K1377" t="s">
        <v>35</v>
      </c>
    </row>
    <row r="1378" spans="1:11">
      <c r="A1378" t="s">
        <v>165</v>
      </c>
      <c r="B1378">
        <v>10191</v>
      </c>
      <c r="C1378">
        <v>32</v>
      </c>
      <c r="D1378" s="21">
        <v>100</v>
      </c>
      <c r="E1378" s="22">
        <v>37945</v>
      </c>
      <c r="F1378" t="s">
        <v>13</v>
      </c>
      <c r="G1378" t="s">
        <v>72</v>
      </c>
      <c r="H1378">
        <v>4</v>
      </c>
      <c r="I1378">
        <v>2003</v>
      </c>
      <c r="J1378" t="s">
        <v>22</v>
      </c>
      <c r="K1378" t="s">
        <v>166</v>
      </c>
    </row>
    <row r="1379" spans="1:11">
      <c r="A1379" t="s">
        <v>40</v>
      </c>
      <c r="B1379">
        <v>10211</v>
      </c>
      <c r="C1379">
        <v>41</v>
      </c>
      <c r="D1379" s="21">
        <v>100</v>
      </c>
      <c r="E1379" s="22">
        <v>38001</v>
      </c>
      <c r="F1379" t="s">
        <v>13</v>
      </c>
      <c r="G1379" t="s">
        <v>72</v>
      </c>
      <c r="H1379">
        <v>1</v>
      </c>
      <c r="I1379">
        <v>2004</v>
      </c>
      <c r="J1379" t="s">
        <v>22</v>
      </c>
      <c r="K1379" t="s">
        <v>41</v>
      </c>
    </row>
    <row r="1380" spans="1:11">
      <c r="A1380" t="s">
        <v>167</v>
      </c>
      <c r="B1380">
        <v>10225</v>
      </c>
      <c r="C1380">
        <v>35</v>
      </c>
      <c r="D1380" s="21">
        <v>100</v>
      </c>
      <c r="E1380" s="22">
        <v>38039</v>
      </c>
      <c r="F1380" t="s">
        <v>13</v>
      </c>
      <c r="G1380" t="s">
        <v>72</v>
      </c>
      <c r="H1380">
        <v>1</v>
      </c>
      <c r="I1380">
        <v>2004</v>
      </c>
      <c r="J1380" t="s">
        <v>22</v>
      </c>
      <c r="K1380" t="s">
        <v>168</v>
      </c>
    </row>
    <row r="1381" spans="1:11">
      <c r="A1381" t="s">
        <v>122</v>
      </c>
      <c r="B1381">
        <v>10238</v>
      </c>
      <c r="C1381">
        <v>44</v>
      </c>
      <c r="D1381" s="21">
        <v>100</v>
      </c>
      <c r="E1381" s="22">
        <v>38086</v>
      </c>
      <c r="F1381" t="s">
        <v>13</v>
      </c>
      <c r="G1381" t="s">
        <v>72</v>
      </c>
      <c r="H1381">
        <v>2</v>
      </c>
      <c r="I1381">
        <v>2004</v>
      </c>
      <c r="J1381" t="s">
        <v>22</v>
      </c>
      <c r="K1381" t="s">
        <v>123</v>
      </c>
    </row>
    <row r="1382" spans="1:11">
      <c r="A1382" t="s">
        <v>40</v>
      </c>
      <c r="B1382">
        <v>10252</v>
      </c>
      <c r="C1382">
        <v>26</v>
      </c>
      <c r="D1382" s="21">
        <v>100</v>
      </c>
      <c r="E1382" s="22">
        <v>38133</v>
      </c>
      <c r="F1382" t="s">
        <v>13</v>
      </c>
      <c r="G1382" t="s">
        <v>72</v>
      </c>
      <c r="H1382">
        <v>2</v>
      </c>
      <c r="I1382">
        <v>2004</v>
      </c>
      <c r="J1382" t="s">
        <v>22</v>
      </c>
      <c r="K1382" t="s">
        <v>41</v>
      </c>
    </row>
    <row r="1383" spans="1:11">
      <c r="A1383" t="s">
        <v>143</v>
      </c>
      <c r="B1383">
        <v>10264</v>
      </c>
      <c r="C1383">
        <v>20</v>
      </c>
      <c r="D1383" s="21">
        <v>100</v>
      </c>
      <c r="E1383" s="22">
        <v>38168</v>
      </c>
      <c r="F1383" t="s">
        <v>13</v>
      </c>
      <c r="G1383" t="s">
        <v>72</v>
      </c>
      <c r="H1383">
        <v>2</v>
      </c>
      <c r="I1383">
        <v>2004</v>
      </c>
      <c r="J1383" t="s">
        <v>15</v>
      </c>
      <c r="K1383" t="s">
        <v>144</v>
      </c>
    </row>
    <row r="1384" spans="1:11">
      <c r="A1384" t="s">
        <v>171</v>
      </c>
      <c r="B1384">
        <v>10276</v>
      </c>
      <c r="C1384">
        <v>48</v>
      </c>
      <c r="D1384" s="21">
        <v>100</v>
      </c>
      <c r="E1384" s="22">
        <v>38201</v>
      </c>
      <c r="F1384" t="s">
        <v>13</v>
      </c>
      <c r="G1384" t="s">
        <v>72</v>
      </c>
      <c r="H1384">
        <v>3</v>
      </c>
      <c r="I1384">
        <v>2004</v>
      </c>
      <c r="J1384" t="s">
        <v>22</v>
      </c>
      <c r="K1384" t="s">
        <v>172</v>
      </c>
    </row>
    <row r="1385" spans="1:11">
      <c r="A1385" t="s">
        <v>167</v>
      </c>
      <c r="B1385">
        <v>10287</v>
      </c>
      <c r="C1385">
        <v>34</v>
      </c>
      <c r="D1385" s="21">
        <v>100</v>
      </c>
      <c r="E1385" s="22">
        <v>38229</v>
      </c>
      <c r="F1385" t="s">
        <v>13</v>
      </c>
      <c r="G1385" t="s">
        <v>72</v>
      </c>
      <c r="H1385">
        <v>3</v>
      </c>
      <c r="I1385">
        <v>2004</v>
      </c>
      <c r="J1385" t="s">
        <v>22</v>
      </c>
      <c r="K1385" t="s">
        <v>168</v>
      </c>
    </row>
    <row r="1386" spans="1:11">
      <c r="A1386" t="s">
        <v>54</v>
      </c>
      <c r="B1386">
        <v>10299</v>
      </c>
      <c r="C1386">
        <v>49</v>
      </c>
      <c r="D1386" s="21">
        <v>100</v>
      </c>
      <c r="E1386" s="22">
        <v>38260</v>
      </c>
      <c r="F1386" t="s">
        <v>13</v>
      </c>
      <c r="G1386" t="s">
        <v>72</v>
      </c>
      <c r="H1386">
        <v>3</v>
      </c>
      <c r="I1386">
        <v>2004</v>
      </c>
      <c r="J1386" t="s">
        <v>61</v>
      </c>
      <c r="K1386" t="s">
        <v>55</v>
      </c>
    </row>
    <row r="1387" spans="1:11">
      <c r="A1387" t="s">
        <v>165</v>
      </c>
      <c r="B1387">
        <v>10310</v>
      </c>
      <c r="C1387">
        <v>40</v>
      </c>
      <c r="D1387" s="21">
        <v>100</v>
      </c>
      <c r="E1387" s="22">
        <v>38276</v>
      </c>
      <c r="F1387" t="s">
        <v>13</v>
      </c>
      <c r="G1387" t="s">
        <v>72</v>
      </c>
      <c r="H1387">
        <v>4</v>
      </c>
      <c r="I1387">
        <v>2004</v>
      </c>
      <c r="J1387" t="s">
        <v>22</v>
      </c>
      <c r="K1387" t="s">
        <v>166</v>
      </c>
    </row>
    <row r="1388" spans="1:11">
      <c r="A1388" t="s">
        <v>188</v>
      </c>
      <c r="B1388">
        <v>10319</v>
      </c>
      <c r="C1388">
        <v>45</v>
      </c>
      <c r="D1388" s="21">
        <v>100</v>
      </c>
      <c r="E1388" s="22">
        <v>38294</v>
      </c>
      <c r="F1388" t="s">
        <v>13</v>
      </c>
      <c r="G1388" t="s">
        <v>72</v>
      </c>
      <c r="H1388">
        <v>4</v>
      </c>
      <c r="I1388">
        <v>2004</v>
      </c>
      <c r="J1388" t="s">
        <v>61</v>
      </c>
      <c r="K1388" t="s">
        <v>189</v>
      </c>
    </row>
    <row r="1389" spans="1:11">
      <c r="A1389" t="s">
        <v>161</v>
      </c>
      <c r="B1389">
        <v>10330</v>
      </c>
      <c r="C1389">
        <v>50</v>
      </c>
      <c r="D1389" s="21">
        <v>100</v>
      </c>
      <c r="E1389" s="22">
        <v>38307</v>
      </c>
      <c r="F1389" t="s">
        <v>13</v>
      </c>
      <c r="G1389" t="s">
        <v>72</v>
      </c>
      <c r="H1389">
        <v>4</v>
      </c>
      <c r="I1389">
        <v>2004</v>
      </c>
      <c r="J1389" t="s">
        <v>22</v>
      </c>
      <c r="K1389" t="s">
        <v>162</v>
      </c>
    </row>
    <row r="1390" spans="1:11">
      <c r="A1390" t="s">
        <v>42</v>
      </c>
      <c r="B1390">
        <v>10342</v>
      </c>
      <c r="C1390">
        <v>38</v>
      </c>
      <c r="D1390" s="21">
        <v>100</v>
      </c>
      <c r="E1390" s="22">
        <v>38315</v>
      </c>
      <c r="F1390" t="s">
        <v>13</v>
      </c>
      <c r="G1390" t="s">
        <v>72</v>
      </c>
      <c r="H1390">
        <v>4</v>
      </c>
      <c r="I1390">
        <v>2004</v>
      </c>
      <c r="J1390" t="s">
        <v>22</v>
      </c>
      <c r="K1390" t="s">
        <v>43</v>
      </c>
    </row>
    <row r="1391" spans="1:11">
      <c r="A1391" t="s">
        <v>69</v>
      </c>
      <c r="B1391">
        <v>10355</v>
      </c>
      <c r="C1391">
        <v>25</v>
      </c>
      <c r="D1391" s="21">
        <v>100</v>
      </c>
      <c r="E1391" s="22">
        <v>38328</v>
      </c>
      <c r="F1391" t="s">
        <v>13</v>
      </c>
      <c r="G1391" t="s">
        <v>72</v>
      </c>
      <c r="H1391">
        <v>4</v>
      </c>
      <c r="I1391">
        <v>2004</v>
      </c>
      <c r="J1391" t="s">
        <v>22</v>
      </c>
      <c r="K1391" t="s">
        <v>71</v>
      </c>
    </row>
    <row r="1392" spans="1:11">
      <c r="A1392" t="s">
        <v>175</v>
      </c>
      <c r="B1392">
        <v>10363</v>
      </c>
      <c r="C1392">
        <v>28</v>
      </c>
      <c r="D1392" s="21">
        <v>58.18</v>
      </c>
      <c r="E1392" s="22">
        <v>38358</v>
      </c>
      <c r="F1392" t="s">
        <v>13</v>
      </c>
      <c r="G1392" t="s">
        <v>72</v>
      </c>
      <c r="H1392">
        <v>1</v>
      </c>
      <c r="I1392">
        <v>2005</v>
      </c>
      <c r="J1392" t="s">
        <v>15</v>
      </c>
      <c r="K1392" t="s">
        <v>176</v>
      </c>
    </row>
    <row r="1393" spans="1:11">
      <c r="A1393" t="s">
        <v>69</v>
      </c>
      <c r="B1393">
        <v>10378</v>
      </c>
      <c r="C1393">
        <v>49</v>
      </c>
      <c r="D1393" s="21">
        <v>67.14</v>
      </c>
      <c r="E1393" s="22">
        <v>38393</v>
      </c>
      <c r="F1393" t="s">
        <v>13</v>
      </c>
      <c r="G1393" t="s">
        <v>72</v>
      </c>
      <c r="H1393">
        <v>1</v>
      </c>
      <c r="I1393">
        <v>2005</v>
      </c>
      <c r="J1393" t="s">
        <v>22</v>
      </c>
      <c r="K1393" t="s">
        <v>71</v>
      </c>
    </row>
    <row r="1394" spans="1:11">
      <c r="A1394" t="s">
        <v>103</v>
      </c>
      <c r="B1394">
        <v>10390</v>
      </c>
      <c r="C1394">
        <v>49</v>
      </c>
      <c r="D1394" s="21">
        <v>100</v>
      </c>
      <c r="E1394" s="22">
        <v>38415</v>
      </c>
      <c r="F1394" t="s">
        <v>13</v>
      </c>
      <c r="G1394" t="s">
        <v>72</v>
      </c>
      <c r="H1394">
        <v>1</v>
      </c>
      <c r="I1394">
        <v>2005</v>
      </c>
      <c r="J1394" t="s">
        <v>22</v>
      </c>
      <c r="K1394" t="s">
        <v>104</v>
      </c>
    </row>
    <row r="1395" spans="1:11">
      <c r="A1395" t="s">
        <v>183</v>
      </c>
      <c r="B1395">
        <v>10110</v>
      </c>
      <c r="C1395">
        <v>42</v>
      </c>
      <c r="D1395" s="21">
        <v>61.29</v>
      </c>
      <c r="E1395" s="22">
        <v>37698</v>
      </c>
      <c r="F1395" t="s">
        <v>13</v>
      </c>
      <c r="G1395" t="s">
        <v>72</v>
      </c>
      <c r="H1395">
        <v>1</v>
      </c>
      <c r="I1395">
        <v>2003</v>
      </c>
      <c r="J1395" t="s">
        <v>15</v>
      </c>
      <c r="K1395" t="s">
        <v>184</v>
      </c>
    </row>
    <row r="1396" spans="1:11">
      <c r="A1396" t="s">
        <v>198</v>
      </c>
      <c r="B1396">
        <v>10124</v>
      </c>
      <c r="C1396">
        <v>23</v>
      </c>
      <c r="D1396" s="21">
        <v>57.73</v>
      </c>
      <c r="E1396" s="22">
        <v>37762</v>
      </c>
      <c r="F1396" t="s">
        <v>13</v>
      </c>
      <c r="G1396" t="s">
        <v>72</v>
      </c>
      <c r="H1396">
        <v>2</v>
      </c>
      <c r="I1396">
        <v>2003</v>
      </c>
      <c r="J1396" t="s">
        <v>15</v>
      </c>
      <c r="K1396" t="s">
        <v>199</v>
      </c>
    </row>
    <row r="1397" spans="1:11">
      <c r="A1397" t="s">
        <v>109</v>
      </c>
      <c r="B1397">
        <v>10148</v>
      </c>
      <c r="C1397">
        <v>29</v>
      </c>
      <c r="D1397" s="21">
        <v>81.25</v>
      </c>
      <c r="E1397" s="22">
        <v>37875</v>
      </c>
      <c r="F1397" t="s">
        <v>13</v>
      </c>
      <c r="G1397" t="s">
        <v>72</v>
      </c>
      <c r="H1397">
        <v>3</v>
      </c>
      <c r="I1397">
        <v>2003</v>
      </c>
      <c r="J1397" t="s">
        <v>15</v>
      </c>
      <c r="K1397" t="s">
        <v>110</v>
      </c>
    </row>
    <row r="1398" spans="1:11">
      <c r="A1398" t="s">
        <v>185</v>
      </c>
      <c r="B1398">
        <v>10161</v>
      </c>
      <c r="C1398">
        <v>25</v>
      </c>
      <c r="D1398" s="21">
        <v>80.54</v>
      </c>
      <c r="E1398" s="22">
        <v>37911</v>
      </c>
      <c r="F1398" t="s">
        <v>13</v>
      </c>
      <c r="G1398" t="s">
        <v>72</v>
      </c>
      <c r="H1398">
        <v>4</v>
      </c>
      <c r="I1398">
        <v>2003</v>
      </c>
      <c r="J1398" t="s">
        <v>15</v>
      </c>
      <c r="K1398" t="s">
        <v>186</v>
      </c>
    </row>
    <row r="1399" spans="1:11">
      <c r="A1399" t="s">
        <v>203</v>
      </c>
      <c r="B1399">
        <v>10173</v>
      </c>
      <c r="C1399">
        <v>39</v>
      </c>
      <c r="D1399" s="21">
        <v>71.98</v>
      </c>
      <c r="E1399" s="22">
        <v>37930</v>
      </c>
      <c r="F1399" t="s">
        <v>13</v>
      </c>
      <c r="G1399" t="s">
        <v>72</v>
      </c>
      <c r="H1399">
        <v>4</v>
      </c>
      <c r="I1399">
        <v>2003</v>
      </c>
      <c r="J1399" t="s">
        <v>15</v>
      </c>
      <c r="K1399" t="s">
        <v>204</v>
      </c>
    </row>
    <row r="1400" spans="1:11">
      <c r="A1400" t="s">
        <v>103</v>
      </c>
      <c r="B1400">
        <v>10182</v>
      </c>
      <c r="C1400">
        <v>44</v>
      </c>
      <c r="D1400" s="21">
        <v>69.84</v>
      </c>
      <c r="E1400" s="22">
        <v>37937</v>
      </c>
      <c r="F1400" t="s">
        <v>13</v>
      </c>
      <c r="G1400" t="s">
        <v>72</v>
      </c>
      <c r="H1400">
        <v>4</v>
      </c>
      <c r="I1400">
        <v>2003</v>
      </c>
      <c r="J1400" t="s">
        <v>22</v>
      </c>
      <c r="K1400" t="s">
        <v>104</v>
      </c>
    </row>
    <row r="1401" spans="1:11">
      <c r="A1401" t="s">
        <v>205</v>
      </c>
      <c r="B1401">
        <v>10193</v>
      </c>
      <c r="C1401">
        <v>25</v>
      </c>
      <c r="D1401" s="21">
        <v>76.26</v>
      </c>
      <c r="E1401" s="22">
        <v>37946</v>
      </c>
      <c r="F1401" t="s">
        <v>13</v>
      </c>
      <c r="G1401" t="s">
        <v>72</v>
      </c>
      <c r="H1401">
        <v>4</v>
      </c>
      <c r="I1401">
        <v>2003</v>
      </c>
      <c r="J1401" t="s">
        <v>15</v>
      </c>
      <c r="K1401" t="s">
        <v>206</v>
      </c>
    </row>
    <row r="1402" spans="1:11">
      <c r="A1402" t="s">
        <v>177</v>
      </c>
      <c r="B1402">
        <v>10204</v>
      </c>
      <c r="C1402">
        <v>45</v>
      </c>
      <c r="D1402" s="21">
        <v>76.26</v>
      </c>
      <c r="E1402" s="22">
        <v>37957</v>
      </c>
      <c r="F1402" t="s">
        <v>13</v>
      </c>
      <c r="G1402" t="s">
        <v>72</v>
      </c>
      <c r="H1402">
        <v>4</v>
      </c>
      <c r="I1402">
        <v>2003</v>
      </c>
      <c r="J1402" t="s">
        <v>22</v>
      </c>
      <c r="K1402" t="s">
        <v>178</v>
      </c>
    </row>
    <row r="1403" spans="1:11">
      <c r="A1403" t="s">
        <v>131</v>
      </c>
      <c r="B1403">
        <v>10213</v>
      </c>
      <c r="C1403">
        <v>25</v>
      </c>
      <c r="D1403" s="21">
        <v>83.39</v>
      </c>
      <c r="E1403" s="22">
        <v>38008</v>
      </c>
      <c r="F1403" t="s">
        <v>13</v>
      </c>
      <c r="G1403" t="s">
        <v>72</v>
      </c>
      <c r="H1403">
        <v>1</v>
      </c>
      <c r="I1403">
        <v>2004</v>
      </c>
      <c r="J1403" t="s">
        <v>15</v>
      </c>
      <c r="K1403" t="s">
        <v>132</v>
      </c>
    </row>
    <row r="1404" spans="1:11">
      <c r="A1404" t="s">
        <v>85</v>
      </c>
      <c r="B1404">
        <v>10227</v>
      </c>
      <c r="C1404">
        <v>37</v>
      </c>
      <c r="D1404" s="21">
        <v>57.73</v>
      </c>
      <c r="E1404" s="22">
        <v>38048</v>
      </c>
      <c r="F1404" t="s">
        <v>13</v>
      </c>
      <c r="G1404" t="s">
        <v>72</v>
      </c>
      <c r="H1404">
        <v>1</v>
      </c>
      <c r="I1404">
        <v>2004</v>
      </c>
      <c r="J1404" t="s">
        <v>15</v>
      </c>
      <c r="K1404" t="s">
        <v>86</v>
      </c>
    </row>
    <row r="1405" spans="1:11">
      <c r="A1405" t="s">
        <v>196</v>
      </c>
      <c r="B1405">
        <v>10241</v>
      </c>
      <c r="C1405">
        <v>30</v>
      </c>
      <c r="D1405" s="21">
        <v>66.99</v>
      </c>
      <c r="E1405" s="22">
        <v>38090</v>
      </c>
      <c r="F1405" t="s">
        <v>13</v>
      </c>
      <c r="G1405" t="s">
        <v>72</v>
      </c>
      <c r="H1405">
        <v>2</v>
      </c>
      <c r="I1405">
        <v>2004</v>
      </c>
      <c r="J1405" t="s">
        <v>15</v>
      </c>
      <c r="K1405" t="s">
        <v>197</v>
      </c>
    </row>
    <row r="1406" spans="1:11">
      <c r="A1406" t="s">
        <v>177</v>
      </c>
      <c r="B1406">
        <v>10267</v>
      </c>
      <c r="C1406">
        <v>36</v>
      </c>
      <c r="D1406" s="21">
        <v>75.55</v>
      </c>
      <c r="E1406" s="22">
        <v>38175</v>
      </c>
      <c r="F1406" t="s">
        <v>13</v>
      </c>
      <c r="G1406" t="s">
        <v>72</v>
      </c>
      <c r="H1406">
        <v>3</v>
      </c>
      <c r="I1406">
        <v>2004</v>
      </c>
      <c r="J1406" t="s">
        <v>15</v>
      </c>
      <c r="K1406" t="s">
        <v>178</v>
      </c>
    </row>
    <row r="1407" spans="1:11">
      <c r="A1407" t="s">
        <v>69</v>
      </c>
      <c r="B1407">
        <v>10279</v>
      </c>
      <c r="C1407">
        <v>26</v>
      </c>
      <c r="D1407" s="21">
        <v>60.58</v>
      </c>
      <c r="E1407" s="22">
        <v>38208</v>
      </c>
      <c r="F1407" t="s">
        <v>13</v>
      </c>
      <c r="G1407" t="s">
        <v>72</v>
      </c>
      <c r="H1407">
        <v>3</v>
      </c>
      <c r="I1407">
        <v>2004</v>
      </c>
      <c r="J1407" t="s">
        <v>15</v>
      </c>
      <c r="K1407" t="s">
        <v>71</v>
      </c>
    </row>
    <row r="1408" spans="1:11">
      <c r="A1408" t="s">
        <v>159</v>
      </c>
      <c r="B1408">
        <v>10288</v>
      </c>
      <c r="C1408">
        <v>23</v>
      </c>
      <c r="D1408" s="21">
        <v>73.41</v>
      </c>
      <c r="E1408" s="22">
        <v>38231</v>
      </c>
      <c r="F1408" t="s">
        <v>13</v>
      </c>
      <c r="G1408" t="s">
        <v>72</v>
      </c>
      <c r="H1408">
        <v>3</v>
      </c>
      <c r="I1408">
        <v>2004</v>
      </c>
      <c r="J1408" t="s">
        <v>15</v>
      </c>
      <c r="K1408" t="s">
        <v>160</v>
      </c>
    </row>
    <row r="1409" spans="1:11">
      <c r="A1409" t="s">
        <v>67</v>
      </c>
      <c r="B1409">
        <v>10302</v>
      </c>
      <c r="C1409">
        <v>23</v>
      </c>
      <c r="D1409" s="21">
        <v>72.7</v>
      </c>
      <c r="E1409" s="22">
        <v>37900</v>
      </c>
      <c r="F1409" t="s">
        <v>13</v>
      </c>
      <c r="G1409" t="s">
        <v>72</v>
      </c>
      <c r="H1409">
        <v>4</v>
      </c>
      <c r="I1409">
        <v>2003</v>
      </c>
      <c r="J1409" t="s">
        <v>15</v>
      </c>
      <c r="K1409" t="s">
        <v>68</v>
      </c>
    </row>
    <row r="1410" spans="1:11">
      <c r="A1410" t="s">
        <v>69</v>
      </c>
      <c r="B1410">
        <v>10311</v>
      </c>
      <c r="C1410">
        <v>25</v>
      </c>
      <c r="D1410" s="21">
        <v>66.99</v>
      </c>
      <c r="E1410" s="22">
        <v>38276</v>
      </c>
      <c r="F1410" t="s">
        <v>13</v>
      </c>
      <c r="G1410" t="s">
        <v>72</v>
      </c>
      <c r="H1410">
        <v>4</v>
      </c>
      <c r="I1410">
        <v>2004</v>
      </c>
      <c r="J1410" t="s">
        <v>15</v>
      </c>
      <c r="K1410" t="s">
        <v>71</v>
      </c>
    </row>
    <row r="1411" spans="1:11">
      <c r="A1411" t="s">
        <v>183</v>
      </c>
      <c r="B1411">
        <v>10332</v>
      </c>
      <c r="C1411">
        <v>21</v>
      </c>
      <c r="D1411" s="21">
        <v>100</v>
      </c>
      <c r="E1411" s="22">
        <v>38308</v>
      </c>
      <c r="F1411" t="s">
        <v>13</v>
      </c>
      <c r="G1411" t="s">
        <v>72</v>
      </c>
      <c r="H1411">
        <v>4</v>
      </c>
      <c r="I1411">
        <v>2004</v>
      </c>
      <c r="J1411" t="s">
        <v>22</v>
      </c>
      <c r="K1411" t="s">
        <v>184</v>
      </c>
    </row>
    <row r="1412" spans="1:11">
      <c r="A1412" t="s">
        <v>163</v>
      </c>
      <c r="B1412">
        <v>10344</v>
      </c>
      <c r="C1412">
        <v>26</v>
      </c>
      <c r="D1412" s="21">
        <v>63.43</v>
      </c>
      <c r="E1412" s="22">
        <v>38316</v>
      </c>
      <c r="F1412" t="s">
        <v>13</v>
      </c>
      <c r="G1412" t="s">
        <v>72</v>
      </c>
      <c r="H1412">
        <v>4</v>
      </c>
      <c r="I1412">
        <v>2004</v>
      </c>
      <c r="J1412" t="s">
        <v>15</v>
      </c>
      <c r="K1412" t="s">
        <v>164</v>
      </c>
    </row>
    <row r="1413" spans="1:11">
      <c r="A1413" t="s">
        <v>25</v>
      </c>
      <c r="B1413">
        <v>10367</v>
      </c>
      <c r="C1413">
        <v>44</v>
      </c>
      <c r="D1413" s="21">
        <v>85.25</v>
      </c>
      <c r="E1413" s="22">
        <v>38364</v>
      </c>
      <c r="F1413" t="s">
        <v>155</v>
      </c>
      <c r="G1413" t="s">
        <v>72</v>
      </c>
      <c r="H1413">
        <v>1</v>
      </c>
      <c r="I1413">
        <v>2005</v>
      </c>
      <c r="J1413" t="s">
        <v>22</v>
      </c>
      <c r="K1413" t="s">
        <v>26</v>
      </c>
    </row>
    <row r="1414" spans="1:11">
      <c r="A1414" t="s">
        <v>69</v>
      </c>
      <c r="B1414">
        <v>10380</v>
      </c>
      <c r="C1414">
        <v>24</v>
      </c>
      <c r="D1414" s="21">
        <v>100</v>
      </c>
      <c r="E1414" s="22">
        <v>38399</v>
      </c>
      <c r="F1414" t="s">
        <v>13</v>
      </c>
      <c r="G1414" t="s">
        <v>72</v>
      </c>
      <c r="H1414">
        <v>1</v>
      </c>
      <c r="I1414">
        <v>2005</v>
      </c>
      <c r="J1414" t="s">
        <v>22</v>
      </c>
      <c r="K1414" t="s">
        <v>71</v>
      </c>
    </row>
    <row r="1415" spans="1:11">
      <c r="A1415" t="s">
        <v>149</v>
      </c>
      <c r="B1415">
        <v>10407</v>
      </c>
      <c r="C1415">
        <v>66</v>
      </c>
      <c r="D1415" s="21">
        <v>66.99</v>
      </c>
      <c r="E1415" s="22">
        <v>38464</v>
      </c>
      <c r="F1415" t="s">
        <v>151</v>
      </c>
      <c r="G1415" t="s">
        <v>72</v>
      </c>
      <c r="H1415">
        <v>2</v>
      </c>
      <c r="I1415">
        <v>2005</v>
      </c>
      <c r="J1415" t="s">
        <v>22</v>
      </c>
      <c r="K1415" t="s">
        <v>150</v>
      </c>
    </row>
    <row r="1416" spans="1:11">
      <c r="A1416" t="s">
        <v>63</v>
      </c>
      <c r="B1416">
        <v>10420</v>
      </c>
      <c r="C1416">
        <v>36</v>
      </c>
      <c r="D1416" s="21">
        <v>57.73</v>
      </c>
      <c r="E1416" s="22">
        <v>38501</v>
      </c>
      <c r="F1416" t="s">
        <v>113</v>
      </c>
      <c r="G1416" t="s">
        <v>72</v>
      </c>
      <c r="H1416">
        <v>2</v>
      </c>
      <c r="I1416">
        <v>2005</v>
      </c>
      <c r="J1416" t="s">
        <v>15</v>
      </c>
      <c r="K1416" t="s">
        <v>64</v>
      </c>
    </row>
    <row r="1417" spans="1:11">
      <c r="A1417" t="s">
        <v>183</v>
      </c>
      <c r="B1417">
        <v>10110</v>
      </c>
      <c r="C1417">
        <v>36</v>
      </c>
      <c r="D1417" s="21">
        <v>85.25</v>
      </c>
      <c r="E1417" s="22">
        <v>37698</v>
      </c>
      <c r="F1417" t="s">
        <v>13</v>
      </c>
      <c r="G1417" t="s">
        <v>72</v>
      </c>
      <c r="H1417">
        <v>1</v>
      </c>
      <c r="I1417">
        <v>2003</v>
      </c>
      <c r="J1417" t="s">
        <v>22</v>
      </c>
      <c r="K1417" t="s">
        <v>184</v>
      </c>
    </row>
    <row r="1418" spans="1:11">
      <c r="A1418" t="s">
        <v>198</v>
      </c>
      <c r="B1418">
        <v>10124</v>
      </c>
      <c r="C1418">
        <v>22</v>
      </c>
      <c r="D1418" s="21">
        <v>77.9</v>
      </c>
      <c r="E1418" s="22">
        <v>37762</v>
      </c>
      <c r="F1418" t="s">
        <v>13</v>
      </c>
      <c r="G1418" t="s">
        <v>72</v>
      </c>
      <c r="H1418">
        <v>2</v>
      </c>
      <c r="I1418">
        <v>2003</v>
      </c>
      <c r="J1418" t="s">
        <v>15</v>
      </c>
      <c r="K1418" t="s">
        <v>199</v>
      </c>
    </row>
    <row r="1419" spans="1:11">
      <c r="A1419" t="s">
        <v>109</v>
      </c>
      <c r="B1419">
        <v>10148</v>
      </c>
      <c r="C1419">
        <v>25</v>
      </c>
      <c r="D1419" s="21">
        <v>60.26</v>
      </c>
      <c r="E1419" s="22">
        <v>37875</v>
      </c>
      <c r="F1419" t="s">
        <v>13</v>
      </c>
      <c r="G1419" t="s">
        <v>72</v>
      </c>
      <c r="H1419">
        <v>3</v>
      </c>
      <c r="I1419">
        <v>2003</v>
      </c>
      <c r="J1419" t="s">
        <v>15</v>
      </c>
      <c r="K1419" t="s">
        <v>110</v>
      </c>
    </row>
    <row r="1420" spans="1:11">
      <c r="A1420" t="s">
        <v>185</v>
      </c>
      <c r="B1420">
        <v>10161</v>
      </c>
      <c r="C1420">
        <v>37</v>
      </c>
      <c r="D1420" s="21">
        <v>72.76</v>
      </c>
      <c r="E1420" s="22">
        <v>37911</v>
      </c>
      <c r="F1420" t="s">
        <v>13</v>
      </c>
      <c r="G1420" t="s">
        <v>72</v>
      </c>
      <c r="H1420">
        <v>4</v>
      </c>
      <c r="I1420">
        <v>2003</v>
      </c>
      <c r="J1420" t="s">
        <v>15</v>
      </c>
      <c r="K1420" t="s">
        <v>186</v>
      </c>
    </row>
    <row r="1421" spans="1:11">
      <c r="A1421" t="s">
        <v>48</v>
      </c>
      <c r="B1421">
        <v>10172</v>
      </c>
      <c r="C1421">
        <v>32</v>
      </c>
      <c r="D1421" s="21">
        <v>75.69</v>
      </c>
      <c r="E1421" s="22">
        <v>37930</v>
      </c>
      <c r="F1421" t="s">
        <v>13</v>
      </c>
      <c r="G1421" t="s">
        <v>72</v>
      </c>
      <c r="H1421">
        <v>4</v>
      </c>
      <c r="I1421">
        <v>2003</v>
      </c>
      <c r="J1421" t="s">
        <v>15</v>
      </c>
      <c r="K1421" t="s">
        <v>49</v>
      </c>
    </row>
    <row r="1422" spans="1:11">
      <c r="A1422" t="s">
        <v>103</v>
      </c>
      <c r="B1422">
        <v>10182</v>
      </c>
      <c r="C1422">
        <v>47</v>
      </c>
      <c r="D1422" s="21">
        <v>74.22</v>
      </c>
      <c r="E1422" s="22">
        <v>37937</v>
      </c>
      <c r="F1422" t="s">
        <v>13</v>
      </c>
      <c r="G1422" t="s">
        <v>72</v>
      </c>
      <c r="H1422">
        <v>4</v>
      </c>
      <c r="I1422">
        <v>2003</v>
      </c>
      <c r="J1422" t="s">
        <v>22</v>
      </c>
      <c r="K1422" t="s">
        <v>104</v>
      </c>
    </row>
    <row r="1423" spans="1:11">
      <c r="A1423" t="s">
        <v>105</v>
      </c>
      <c r="B1423">
        <v>10192</v>
      </c>
      <c r="C1423">
        <v>37</v>
      </c>
      <c r="D1423" s="21">
        <v>69.82</v>
      </c>
      <c r="E1423" s="22">
        <v>37945</v>
      </c>
      <c r="F1423" t="s">
        <v>13</v>
      </c>
      <c r="G1423" t="s">
        <v>72</v>
      </c>
      <c r="H1423">
        <v>4</v>
      </c>
      <c r="I1423">
        <v>2003</v>
      </c>
      <c r="J1423" t="s">
        <v>15</v>
      </c>
      <c r="K1423" t="s">
        <v>106</v>
      </c>
    </row>
    <row r="1424" spans="1:11">
      <c r="A1424" t="s">
        <v>177</v>
      </c>
      <c r="B1424">
        <v>10204</v>
      </c>
      <c r="C1424">
        <v>20</v>
      </c>
      <c r="D1424" s="21">
        <v>62.47</v>
      </c>
      <c r="E1424" s="22">
        <v>37957</v>
      </c>
      <c r="F1424" t="s">
        <v>13</v>
      </c>
      <c r="G1424" t="s">
        <v>72</v>
      </c>
      <c r="H1424">
        <v>4</v>
      </c>
      <c r="I1424">
        <v>2003</v>
      </c>
      <c r="J1424" t="s">
        <v>15</v>
      </c>
      <c r="K1424" t="s">
        <v>178</v>
      </c>
    </row>
    <row r="1425" spans="1:11">
      <c r="A1425" t="s">
        <v>69</v>
      </c>
      <c r="B1425">
        <v>10212</v>
      </c>
      <c r="C1425">
        <v>41</v>
      </c>
      <c r="D1425" s="21">
        <v>82.31</v>
      </c>
      <c r="E1425" s="22">
        <v>38002</v>
      </c>
      <c r="F1425" t="s">
        <v>13</v>
      </c>
      <c r="G1425" t="s">
        <v>72</v>
      </c>
      <c r="H1425">
        <v>1</v>
      </c>
      <c r="I1425">
        <v>2004</v>
      </c>
      <c r="J1425" t="s">
        <v>22</v>
      </c>
      <c r="K1425" t="s">
        <v>71</v>
      </c>
    </row>
    <row r="1426" spans="1:11">
      <c r="A1426" t="s">
        <v>137</v>
      </c>
      <c r="B1426">
        <v>10226</v>
      </c>
      <c r="C1426">
        <v>21</v>
      </c>
      <c r="D1426" s="21">
        <v>60.26</v>
      </c>
      <c r="E1426" s="22">
        <v>38043</v>
      </c>
      <c r="F1426" t="s">
        <v>13</v>
      </c>
      <c r="G1426" t="s">
        <v>72</v>
      </c>
      <c r="H1426">
        <v>1</v>
      </c>
      <c r="I1426">
        <v>2004</v>
      </c>
      <c r="J1426" t="s">
        <v>15</v>
      </c>
      <c r="K1426" t="s">
        <v>138</v>
      </c>
    </row>
    <row r="1427" spans="1:11">
      <c r="A1427" t="s">
        <v>196</v>
      </c>
      <c r="B1427">
        <v>10241</v>
      </c>
      <c r="C1427">
        <v>22</v>
      </c>
      <c r="D1427" s="21">
        <v>76.43</v>
      </c>
      <c r="E1427" s="22">
        <v>38090</v>
      </c>
      <c r="F1427" t="s">
        <v>13</v>
      </c>
      <c r="G1427" t="s">
        <v>72</v>
      </c>
      <c r="H1427">
        <v>2</v>
      </c>
      <c r="I1427">
        <v>2004</v>
      </c>
      <c r="J1427" t="s">
        <v>15</v>
      </c>
      <c r="K1427" t="s">
        <v>197</v>
      </c>
    </row>
    <row r="1428" spans="1:11">
      <c r="A1428" t="s">
        <v>177</v>
      </c>
      <c r="B1428">
        <v>10267</v>
      </c>
      <c r="C1428">
        <v>40</v>
      </c>
      <c r="D1428" s="21">
        <v>80.1</v>
      </c>
      <c r="E1428" s="22">
        <v>38175</v>
      </c>
      <c r="F1428" t="s">
        <v>13</v>
      </c>
      <c r="G1428" t="s">
        <v>72</v>
      </c>
      <c r="H1428">
        <v>3</v>
      </c>
      <c r="I1428">
        <v>2004</v>
      </c>
      <c r="J1428" t="s">
        <v>22</v>
      </c>
      <c r="K1428" t="s">
        <v>178</v>
      </c>
    </row>
    <row r="1429" spans="1:11">
      <c r="A1429" t="s">
        <v>69</v>
      </c>
      <c r="B1429">
        <v>10279</v>
      </c>
      <c r="C1429">
        <v>32</v>
      </c>
      <c r="D1429" s="21">
        <v>74.96</v>
      </c>
      <c r="E1429" s="22">
        <v>38208</v>
      </c>
      <c r="F1429" t="s">
        <v>13</v>
      </c>
      <c r="G1429" t="s">
        <v>72</v>
      </c>
      <c r="H1429">
        <v>3</v>
      </c>
      <c r="I1429">
        <v>2004</v>
      </c>
      <c r="J1429" t="s">
        <v>15</v>
      </c>
      <c r="K1429" t="s">
        <v>71</v>
      </c>
    </row>
    <row r="1430" spans="1:11">
      <c r="A1430" t="s">
        <v>159</v>
      </c>
      <c r="B1430">
        <v>10288</v>
      </c>
      <c r="C1430">
        <v>36</v>
      </c>
      <c r="D1430" s="21">
        <v>66.14</v>
      </c>
      <c r="E1430" s="22">
        <v>38231</v>
      </c>
      <c r="F1430" t="s">
        <v>13</v>
      </c>
      <c r="G1430" t="s">
        <v>72</v>
      </c>
      <c r="H1430">
        <v>3</v>
      </c>
      <c r="I1430">
        <v>2004</v>
      </c>
      <c r="J1430" t="s">
        <v>15</v>
      </c>
      <c r="K1430" t="s">
        <v>160</v>
      </c>
    </row>
    <row r="1431" spans="1:11">
      <c r="A1431" t="s">
        <v>200</v>
      </c>
      <c r="B1431">
        <v>10301</v>
      </c>
      <c r="C1431">
        <v>27</v>
      </c>
      <c r="D1431" s="21">
        <v>72.02</v>
      </c>
      <c r="E1431" s="22">
        <v>37899</v>
      </c>
      <c r="F1431" t="s">
        <v>13</v>
      </c>
      <c r="G1431" t="s">
        <v>72</v>
      </c>
      <c r="H1431">
        <v>4</v>
      </c>
      <c r="I1431">
        <v>2003</v>
      </c>
      <c r="J1431" t="s">
        <v>15</v>
      </c>
      <c r="K1431" t="s">
        <v>201</v>
      </c>
    </row>
    <row r="1432" spans="1:11">
      <c r="A1432" t="s">
        <v>69</v>
      </c>
      <c r="B1432">
        <v>10311</v>
      </c>
      <c r="C1432">
        <v>26</v>
      </c>
      <c r="D1432" s="21">
        <v>87.45</v>
      </c>
      <c r="E1432" s="22">
        <v>38276</v>
      </c>
      <c r="F1432" t="s">
        <v>13</v>
      </c>
      <c r="G1432" t="s">
        <v>72</v>
      </c>
      <c r="H1432">
        <v>4</v>
      </c>
      <c r="I1432">
        <v>2004</v>
      </c>
      <c r="J1432" t="s">
        <v>15</v>
      </c>
      <c r="K1432" t="s">
        <v>71</v>
      </c>
    </row>
    <row r="1433" spans="1:11">
      <c r="A1433" t="s">
        <v>65</v>
      </c>
      <c r="B1433">
        <v>10321</v>
      </c>
      <c r="C1433">
        <v>30</v>
      </c>
      <c r="D1433" s="21">
        <v>70.55</v>
      </c>
      <c r="E1433" s="22">
        <v>38295</v>
      </c>
      <c r="F1433" t="s">
        <v>13</v>
      </c>
      <c r="G1433" t="s">
        <v>72</v>
      </c>
      <c r="H1433">
        <v>4</v>
      </c>
      <c r="I1433">
        <v>2004</v>
      </c>
      <c r="J1433" t="s">
        <v>15</v>
      </c>
      <c r="K1433" t="s">
        <v>66</v>
      </c>
    </row>
    <row r="1434" spans="1:11">
      <c r="A1434" t="s">
        <v>183</v>
      </c>
      <c r="B1434">
        <v>10332</v>
      </c>
      <c r="C1434">
        <v>23</v>
      </c>
      <c r="D1434" s="21">
        <v>56.84</v>
      </c>
      <c r="E1434" s="22">
        <v>38308</v>
      </c>
      <c r="F1434" t="s">
        <v>13</v>
      </c>
      <c r="G1434" t="s">
        <v>72</v>
      </c>
      <c r="H1434">
        <v>4</v>
      </c>
      <c r="I1434">
        <v>2004</v>
      </c>
      <c r="J1434" t="s">
        <v>15</v>
      </c>
      <c r="K1434" t="s">
        <v>184</v>
      </c>
    </row>
    <row r="1435" spans="1:11">
      <c r="A1435" t="s">
        <v>163</v>
      </c>
      <c r="B1435">
        <v>10344</v>
      </c>
      <c r="C1435">
        <v>29</v>
      </c>
      <c r="D1435" s="21">
        <v>59.53</v>
      </c>
      <c r="E1435" s="22">
        <v>38316</v>
      </c>
      <c r="F1435" t="s">
        <v>13</v>
      </c>
      <c r="G1435" t="s">
        <v>72</v>
      </c>
      <c r="H1435">
        <v>4</v>
      </c>
      <c r="I1435">
        <v>2004</v>
      </c>
      <c r="J1435" t="s">
        <v>15</v>
      </c>
      <c r="K1435" t="s">
        <v>164</v>
      </c>
    </row>
    <row r="1436" spans="1:11">
      <c r="A1436" t="s">
        <v>25</v>
      </c>
      <c r="B1436">
        <v>10367</v>
      </c>
      <c r="C1436">
        <v>21</v>
      </c>
      <c r="D1436" s="21">
        <v>60.37</v>
      </c>
      <c r="E1436" s="22">
        <v>38364</v>
      </c>
      <c r="F1436" t="s">
        <v>155</v>
      </c>
      <c r="G1436" t="s">
        <v>72</v>
      </c>
      <c r="H1436">
        <v>1</v>
      </c>
      <c r="I1436">
        <v>2005</v>
      </c>
      <c r="J1436" t="s">
        <v>15</v>
      </c>
      <c r="K1436" t="s">
        <v>26</v>
      </c>
    </row>
    <row r="1437" spans="1:11">
      <c r="A1437" t="s">
        <v>69</v>
      </c>
      <c r="B1437">
        <v>10380</v>
      </c>
      <c r="C1437">
        <v>34</v>
      </c>
      <c r="D1437" s="21">
        <v>100</v>
      </c>
      <c r="E1437" s="22">
        <v>38399</v>
      </c>
      <c r="F1437" t="s">
        <v>13</v>
      </c>
      <c r="G1437" t="s">
        <v>72</v>
      </c>
      <c r="H1437">
        <v>1</v>
      </c>
      <c r="I1437">
        <v>2005</v>
      </c>
      <c r="J1437" t="s">
        <v>22</v>
      </c>
      <c r="K1437" t="s">
        <v>71</v>
      </c>
    </row>
    <row r="1438" spans="1:11">
      <c r="A1438" t="s">
        <v>149</v>
      </c>
      <c r="B1438">
        <v>10407</v>
      </c>
      <c r="C1438">
        <v>26</v>
      </c>
      <c r="D1438" s="21">
        <v>76.43</v>
      </c>
      <c r="E1438" s="22">
        <v>38464</v>
      </c>
      <c r="F1438" t="s">
        <v>151</v>
      </c>
      <c r="G1438" t="s">
        <v>72</v>
      </c>
      <c r="H1438">
        <v>2</v>
      </c>
      <c r="I1438">
        <v>2005</v>
      </c>
      <c r="J1438" t="s">
        <v>15</v>
      </c>
      <c r="K1438" t="s">
        <v>150</v>
      </c>
    </row>
    <row r="1439" spans="1:11">
      <c r="A1439" t="s">
        <v>63</v>
      </c>
      <c r="B1439">
        <v>10420</v>
      </c>
      <c r="C1439">
        <v>60</v>
      </c>
      <c r="D1439" s="21">
        <v>64.67</v>
      </c>
      <c r="E1439" s="22">
        <v>38501</v>
      </c>
      <c r="F1439" t="s">
        <v>113</v>
      </c>
      <c r="G1439" t="s">
        <v>72</v>
      </c>
      <c r="H1439">
        <v>2</v>
      </c>
      <c r="I1439">
        <v>2005</v>
      </c>
      <c r="J1439" t="s">
        <v>22</v>
      </c>
      <c r="K1439" t="s">
        <v>64</v>
      </c>
    </row>
    <row r="1440" spans="1:11">
      <c r="A1440" t="s">
        <v>69</v>
      </c>
      <c r="B1440">
        <v>10104</v>
      </c>
      <c r="C1440">
        <v>35</v>
      </c>
      <c r="D1440" s="21">
        <v>55.49</v>
      </c>
      <c r="E1440" s="22">
        <v>37652</v>
      </c>
      <c r="F1440" t="s">
        <v>13</v>
      </c>
      <c r="G1440" t="s">
        <v>72</v>
      </c>
      <c r="H1440">
        <v>1</v>
      </c>
      <c r="I1440">
        <v>2003</v>
      </c>
      <c r="J1440" t="s">
        <v>15</v>
      </c>
      <c r="K1440" t="s">
        <v>71</v>
      </c>
    </row>
    <row r="1441" spans="1:11">
      <c r="A1441" t="s">
        <v>79</v>
      </c>
      <c r="B1441">
        <v>10115</v>
      </c>
      <c r="C1441">
        <v>47</v>
      </c>
      <c r="D1441" s="21">
        <v>69.36</v>
      </c>
      <c r="E1441" s="22">
        <v>37715</v>
      </c>
      <c r="F1441" t="s">
        <v>13</v>
      </c>
      <c r="G1441" t="s">
        <v>72</v>
      </c>
      <c r="H1441">
        <v>2</v>
      </c>
      <c r="I1441">
        <v>2003</v>
      </c>
      <c r="J1441" t="s">
        <v>22</v>
      </c>
      <c r="K1441" t="s">
        <v>80</v>
      </c>
    </row>
    <row r="1442" spans="1:11">
      <c r="A1442" t="s">
        <v>177</v>
      </c>
      <c r="B1442">
        <v>10127</v>
      </c>
      <c r="C1442">
        <v>20</v>
      </c>
      <c r="D1442" s="21">
        <v>60.69</v>
      </c>
      <c r="E1442" s="22">
        <v>37775</v>
      </c>
      <c r="F1442" t="s">
        <v>13</v>
      </c>
      <c r="G1442" t="s">
        <v>72</v>
      </c>
      <c r="H1442">
        <v>2</v>
      </c>
      <c r="I1442">
        <v>2003</v>
      </c>
      <c r="J1442" t="s">
        <v>15</v>
      </c>
      <c r="K1442" t="s">
        <v>178</v>
      </c>
    </row>
    <row r="1443" spans="1:11">
      <c r="A1443" t="s">
        <v>175</v>
      </c>
      <c r="B1443">
        <v>10141</v>
      </c>
      <c r="C1443">
        <v>20</v>
      </c>
      <c r="D1443" s="21">
        <v>54.33</v>
      </c>
      <c r="E1443" s="22">
        <v>37834</v>
      </c>
      <c r="F1443" t="s">
        <v>13</v>
      </c>
      <c r="G1443" t="s">
        <v>72</v>
      </c>
      <c r="H1443">
        <v>3</v>
      </c>
      <c r="I1443">
        <v>2003</v>
      </c>
      <c r="J1443" t="s">
        <v>15</v>
      </c>
      <c r="K1443" t="s">
        <v>176</v>
      </c>
    </row>
    <row r="1444" spans="1:11">
      <c r="A1444" t="s">
        <v>81</v>
      </c>
      <c r="B1444">
        <v>10152</v>
      </c>
      <c r="C1444">
        <v>25</v>
      </c>
      <c r="D1444" s="21">
        <v>65.31</v>
      </c>
      <c r="E1444" s="22">
        <v>37889</v>
      </c>
      <c r="F1444" t="s">
        <v>13</v>
      </c>
      <c r="G1444" t="s">
        <v>72</v>
      </c>
      <c r="H1444">
        <v>3</v>
      </c>
      <c r="I1444">
        <v>2003</v>
      </c>
      <c r="J1444" t="s">
        <v>15</v>
      </c>
      <c r="K1444" t="s">
        <v>82</v>
      </c>
    </row>
    <row r="1445" spans="1:11">
      <c r="A1445" t="s">
        <v>77</v>
      </c>
      <c r="B1445">
        <v>10165</v>
      </c>
      <c r="C1445">
        <v>25</v>
      </c>
      <c r="D1445" s="21">
        <v>69.36</v>
      </c>
      <c r="E1445" s="22">
        <v>37916</v>
      </c>
      <c r="F1445" t="s">
        <v>13</v>
      </c>
      <c r="G1445" t="s">
        <v>72</v>
      </c>
      <c r="H1445">
        <v>4</v>
      </c>
      <c r="I1445">
        <v>2003</v>
      </c>
      <c r="J1445" t="s">
        <v>15</v>
      </c>
      <c r="K1445" t="s">
        <v>78</v>
      </c>
    </row>
    <row r="1446" spans="1:11">
      <c r="A1446" t="s">
        <v>169</v>
      </c>
      <c r="B1446">
        <v>10176</v>
      </c>
      <c r="C1446">
        <v>27</v>
      </c>
      <c r="D1446" s="21">
        <v>68.78</v>
      </c>
      <c r="E1446" s="22">
        <v>37931</v>
      </c>
      <c r="F1446" t="s">
        <v>13</v>
      </c>
      <c r="G1446" t="s">
        <v>72</v>
      </c>
      <c r="H1446">
        <v>4</v>
      </c>
      <c r="I1446">
        <v>2003</v>
      </c>
      <c r="J1446" t="s">
        <v>15</v>
      </c>
      <c r="K1446" t="s">
        <v>170</v>
      </c>
    </row>
    <row r="1447" spans="1:11">
      <c r="A1447" t="s">
        <v>192</v>
      </c>
      <c r="B1447">
        <v>10184</v>
      </c>
      <c r="C1447">
        <v>31</v>
      </c>
      <c r="D1447" s="21">
        <v>60.11</v>
      </c>
      <c r="E1447" s="22">
        <v>37939</v>
      </c>
      <c r="F1447" t="s">
        <v>13</v>
      </c>
      <c r="G1447" t="s">
        <v>72</v>
      </c>
      <c r="H1447">
        <v>4</v>
      </c>
      <c r="I1447">
        <v>2003</v>
      </c>
      <c r="J1447" t="s">
        <v>15</v>
      </c>
      <c r="K1447" t="s">
        <v>193</v>
      </c>
    </row>
    <row r="1448" spans="1:11">
      <c r="A1448" t="s">
        <v>120</v>
      </c>
      <c r="B1448">
        <v>10195</v>
      </c>
      <c r="C1448">
        <v>44</v>
      </c>
      <c r="D1448" s="21">
        <v>66.47</v>
      </c>
      <c r="E1448" s="22">
        <v>37950</v>
      </c>
      <c r="F1448" t="s">
        <v>13</v>
      </c>
      <c r="G1448" t="s">
        <v>72</v>
      </c>
      <c r="H1448">
        <v>4</v>
      </c>
      <c r="I1448">
        <v>2003</v>
      </c>
      <c r="J1448" t="s">
        <v>15</v>
      </c>
      <c r="K1448" t="s">
        <v>121</v>
      </c>
    </row>
    <row r="1449" spans="1:11">
      <c r="A1449" t="s">
        <v>157</v>
      </c>
      <c r="B1449">
        <v>10207</v>
      </c>
      <c r="C1449">
        <v>49</v>
      </c>
      <c r="D1449" s="21">
        <v>46.82</v>
      </c>
      <c r="E1449" s="22">
        <v>37964</v>
      </c>
      <c r="F1449" t="s">
        <v>13</v>
      </c>
      <c r="G1449" t="s">
        <v>72</v>
      </c>
      <c r="H1449">
        <v>4</v>
      </c>
      <c r="I1449">
        <v>2003</v>
      </c>
      <c r="J1449" t="s">
        <v>15</v>
      </c>
      <c r="K1449" t="s">
        <v>158</v>
      </c>
    </row>
    <row r="1450" spans="1:11">
      <c r="A1450" t="s">
        <v>179</v>
      </c>
      <c r="B1450">
        <v>10220</v>
      </c>
      <c r="C1450">
        <v>26</v>
      </c>
      <c r="D1450" s="21">
        <v>56.07</v>
      </c>
      <c r="E1450" s="22">
        <v>38029</v>
      </c>
      <c r="F1450" t="s">
        <v>13</v>
      </c>
      <c r="G1450" t="s">
        <v>72</v>
      </c>
      <c r="H1450">
        <v>1</v>
      </c>
      <c r="I1450">
        <v>2004</v>
      </c>
      <c r="J1450" t="s">
        <v>15</v>
      </c>
      <c r="K1450" t="s">
        <v>180</v>
      </c>
    </row>
    <row r="1451" spans="1:11">
      <c r="A1451" t="s">
        <v>173</v>
      </c>
      <c r="B1451">
        <v>10230</v>
      </c>
      <c r="C1451">
        <v>36</v>
      </c>
      <c r="D1451" s="21">
        <v>54.33</v>
      </c>
      <c r="E1451" s="22">
        <v>38061</v>
      </c>
      <c r="F1451" t="s">
        <v>13</v>
      </c>
      <c r="G1451" t="s">
        <v>72</v>
      </c>
      <c r="H1451">
        <v>1</v>
      </c>
      <c r="I1451">
        <v>2004</v>
      </c>
      <c r="J1451" t="s">
        <v>15</v>
      </c>
      <c r="K1451" t="s">
        <v>174</v>
      </c>
    </row>
    <row r="1452" spans="1:11">
      <c r="A1452" t="s">
        <v>69</v>
      </c>
      <c r="B1452">
        <v>10246</v>
      </c>
      <c r="C1452">
        <v>44</v>
      </c>
      <c r="D1452" s="21">
        <v>52.6</v>
      </c>
      <c r="E1452" s="22">
        <v>38112</v>
      </c>
      <c r="F1452" t="s">
        <v>13</v>
      </c>
      <c r="G1452" t="s">
        <v>72</v>
      </c>
      <c r="H1452">
        <v>2</v>
      </c>
      <c r="I1452">
        <v>2004</v>
      </c>
      <c r="J1452" t="s">
        <v>15</v>
      </c>
      <c r="K1452" t="s">
        <v>71</v>
      </c>
    </row>
    <row r="1453" spans="1:11">
      <c r="A1453" t="s">
        <v>159</v>
      </c>
      <c r="B1453">
        <v>10259</v>
      </c>
      <c r="C1453">
        <v>28</v>
      </c>
      <c r="D1453" s="21">
        <v>46.82</v>
      </c>
      <c r="E1453" s="22">
        <v>38153</v>
      </c>
      <c r="F1453" t="s">
        <v>13</v>
      </c>
      <c r="G1453" t="s">
        <v>72</v>
      </c>
      <c r="H1453">
        <v>2</v>
      </c>
      <c r="I1453">
        <v>2004</v>
      </c>
      <c r="J1453" t="s">
        <v>15</v>
      </c>
      <c r="K1453" t="s">
        <v>160</v>
      </c>
    </row>
    <row r="1454" spans="1:11">
      <c r="A1454" t="s">
        <v>103</v>
      </c>
      <c r="B1454">
        <v>10271</v>
      </c>
      <c r="C1454">
        <v>45</v>
      </c>
      <c r="D1454" s="21">
        <v>64.74</v>
      </c>
      <c r="E1454" s="22">
        <v>38188</v>
      </c>
      <c r="F1454" t="s">
        <v>13</v>
      </c>
      <c r="G1454" t="s">
        <v>72</v>
      </c>
      <c r="H1454">
        <v>3</v>
      </c>
      <c r="I1454">
        <v>2004</v>
      </c>
      <c r="J1454" t="s">
        <v>15</v>
      </c>
      <c r="K1454" t="s">
        <v>104</v>
      </c>
    </row>
    <row r="1455" spans="1:11">
      <c r="A1455" t="s">
        <v>103</v>
      </c>
      <c r="B1455">
        <v>10282</v>
      </c>
      <c r="C1455">
        <v>29</v>
      </c>
      <c r="D1455" s="21">
        <v>46.82</v>
      </c>
      <c r="E1455" s="22">
        <v>38219</v>
      </c>
      <c r="F1455" t="s">
        <v>13</v>
      </c>
      <c r="G1455" t="s">
        <v>72</v>
      </c>
      <c r="H1455">
        <v>3</v>
      </c>
      <c r="I1455">
        <v>2004</v>
      </c>
      <c r="J1455" t="s">
        <v>15</v>
      </c>
      <c r="K1455" t="s">
        <v>104</v>
      </c>
    </row>
    <row r="1456" spans="1:11">
      <c r="A1456" t="s">
        <v>12</v>
      </c>
      <c r="B1456">
        <v>10292</v>
      </c>
      <c r="C1456">
        <v>40</v>
      </c>
      <c r="D1456" s="21">
        <v>53.75</v>
      </c>
      <c r="E1456" s="22">
        <v>38238</v>
      </c>
      <c r="F1456" t="s">
        <v>13</v>
      </c>
      <c r="G1456" t="s">
        <v>72</v>
      </c>
      <c r="H1456">
        <v>3</v>
      </c>
      <c r="I1456">
        <v>2004</v>
      </c>
      <c r="J1456" t="s">
        <v>15</v>
      </c>
      <c r="K1456" t="s">
        <v>16</v>
      </c>
    </row>
    <row r="1457" spans="1:11">
      <c r="A1457" t="s">
        <v>52</v>
      </c>
      <c r="B1457">
        <v>10305</v>
      </c>
      <c r="C1457">
        <v>45</v>
      </c>
      <c r="D1457" s="21">
        <v>61.85</v>
      </c>
      <c r="E1457" s="22">
        <v>38273</v>
      </c>
      <c r="F1457" t="s">
        <v>13</v>
      </c>
      <c r="G1457" t="s">
        <v>72</v>
      </c>
      <c r="H1457">
        <v>4</v>
      </c>
      <c r="I1457">
        <v>2004</v>
      </c>
      <c r="J1457" t="s">
        <v>15</v>
      </c>
      <c r="K1457" t="s">
        <v>53</v>
      </c>
    </row>
    <row r="1458" spans="1:11">
      <c r="A1458" t="s">
        <v>185</v>
      </c>
      <c r="B1458">
        <v>10314</v>
      </c>
      <c r="C1458">
        <v>44</v>
      </c>
      <c r="D1458" s="21">
        <v>53.18</v>
      </c>
      <c r="E1458" s="22">
        <v>38282</v>
      </c>
      <c r="F1458" t="s">
        <v>13</v>
      </c>
      <c r="G1458" t="s">
        <v>72</v>
      </c>
      <c r="H1458">
        <v>4</v>
      </c>
      <c r="I1458">
        <v>2004</v>
      </c>
      <c r="J1458" t="s">
        <v>15</v>
      </c>
      <c r="K1458" t="s">
        <v>186</v>
      </c>
    </row>
    <row r="1459" spans="1:11">
      <c r="A1459" t="s">
        <v>44</v>
      </c>
      <c r="B1459">
        <v>10324</v>
      </c>
      <c r="C1459">
        <v>25</v>
      </c>
      <c r="D1459" s="21">
        <v>69.16</v>
      </c>
      <c r="E1459" s="22">
        <v>38296</v>
      </c>
      <c r="F1459" t="s">
        <v>13</v>
      </c>
      <c r="G1459" t="s">
        <v>72</v>
      </c>
      <c r="H1459">
        <v>4</v>
      </c>
      <c r="I1459">
        <v>2004</v>
      </c>
      <c r="J1459" t="s">
        <v>15</v>
      </c>
      <c r="K1459" t="s">
        <v>45</v>
      </c>
    </row>
    <row r="1460" spans="1:11">
      <c r="A1460" t="s">
        <v>152</v>
      </c>
      <c r="B1460">
        <v>10336</v>
      </c>
      <c r="C1460">
        <v>45</v>
      </c>
      <c r="D1460" s="21">
        <v>100</v>
      </c>
      <c r="E1460" s="22">
        <v>38311</v>
      </c>
      <c r="F1460" t="s">
        <v>13</v>
      </c>
      <c r="G1460" t="s">
        <v>72</v>
      </c>
      <c r="H1460">
        <v>4</v>
      </c>
      <c r="I1460">
        <v>2004</v>
      </c>
      <c r="J1460" t="s">
        <v>22</v>
      </c>
      <c r="K1460" t="s">
        <v>153</v>
      </c>
    </row>
    <row r="1461" spans="1:11">
      <c r="A1461" t="s">
        <v>177</v>
      </c>
      <c r="B1461">
        <v>10349</v>
      </c>
      <c r="C1461">
        <v>48</v>
      </c>
      <c r="D1461" s="21">
        <v>47.4</v>
      </c>
      <c r="E1461" s="22">
        <v>38322</v>
      </c>
      <c r="F1461" t="s">
        <v>13</v>
      </c>
      <c r="G1461" t="s">
        <v>72</v>
      </c>
      <c r="H1461">
        <v>4</v>
      </c>
      <c r="I1461">
        <v>2004</v>
      </c>
      <c r="J1461" t="s">
        <v>15</v>
      </c>
      <c r="K1461" t="s">
        <v>178</v>
      </c>
    </row>
    <row r="1462" spans="1:11">
      <c r="A1462" t="s">
        <v>69</v>
      </c>
      <c r="B1462">
        <v>10358</v>
      </c>
      <c r="C1462">
        <v>44</v>
      </c>
      <c r="D1462" s="21">
        <v>60.76</v>
      </c>
      <c r="E1462" s="22">
        <v>38331</v>
      </c>
      <c r="F1462" t="s">
        <v>13</v>
      </c>
      <c r="G1462" t="s">
        <v>72</v>
      </c>
      <c r="H1462">
        <v>4</v>
      </c>
      <c r="I1462">
        <v>2004</v>
      </c>
      <c r="J1462" t="s">
        <v>15</v>
      </c>
      <c r="K1462" t="s">
        <v>71</v>
      </c>
    </row>
    <row r="1463" spans="1:11">
      <c r="A1463" t="s">
        <v>103</v>
      </c>
      <c r="B1463">
        <v>10371</v>
      </c>
      <c r="C1463">
        <v>25</v>
      </c>
      <c r="D1463" s="21">
        <v>97.27</v>
      </c>
      <c r="E1463" s="22">
        <v>38375</v>
      </c>
      <c r="F1463" t="s">
        <v>13</v>
      </c>
      <c r="G1463" t="s">
        <v>72</v>
      </c>
      <c r="H1463">
        <v>1</v>
      </c>
      <c r="I1463">
        <v>2005</v>
      </c>
      <c r="J1463" t="s">
        <v>15</v>
      </c>
      <c r="K1463" t="s">
        <v>104</v>
      </c>
    </row>
    <row r="1464" spans="1:11">
      <c r="A1464" t="s">
        <v>69</v>
      </c>
      <c r="B1464">
        <v>10383</v>
      </c>
      <c r="C1464">
        <v>22</v>
      </c>
      <c r="D1464" s="21">
        <v>91.76</v>
      </c>
      <c r="E1464" s="22">
        <v>38405</v>
      </c>
      <c r="F1464" t="s">
        <v>13</v>
      </c>
      <c r="G1464" t="s">
        <v>72</v>
      </c>
      <c r="H1464">
        <v>1</v>
      </c>
      <c r="I1464">
        <v>2005</v>
      </c>
      <c r="J1464" t="s">
        <v>15</v>
      </c>
      <c r="K1464" t="s">
        <v>71</v>
      </c>
    </row>
    <row r="1465" spans="1:11">
      <c r="A1465" t="s">
        <v>69</v>
      </c>
      <c r="B1465">
        <v>10394</v>
      </c>
      <c r="C1465">
        <v>31</v>
      </c>
      <c r="D1465" s="21">
        <v>50.29</v>
      </c>
      <c r="E1465" s="22">
        <v>38426</v>
      </c>
      <c r="F1465" t="s">
        <v>13</v>
      </c>
      <c r="G1465" t="s">
        <v>72</v>
      </c>
      <c r="H1465">
        <v>1</v>
      </c>
      <c r="I1465">
        <v>2005</v>
      </c>
      <c r="J1465" t="s">
        <v>15</v>
      </c>
      <c r="K1465" t="s">
        <v>71</v>
      </c>
    </row>
    <row r="1466" spans="1:11">
      <c r="A1466" t="s">
        <v>69</v>
      </c>
      <c r="B1466">
        <v>10412</v>
      </c>
      <c r="C1466">
        <v>21</v>
      </c>
      <c r="D1466" s="21">
        <v>52.6</v>
      </c>
      <c r="E1466" s="22">
        <v>38475</v>
      </c>
      <c r="F1466" t="s">
        <v>13</v>
      </c>
      <c r="G1466" t="s">
        <v>72</v>
      </c>
      <c r="H1466">
        <v>2</v>
      </c>
      <c r="I1466">
        <v>2005</v>
      </c>
      <c r="J1466" t="s">
        <v>15</v>
      </c>
      <c r="K1466" t="s">
        <v>71</v>
      </c>
    </row>
    <row r="1467" spans="1:11">
      <c r="A1467" t="s">
        <v>50</v>
      </c>
      <c r="B1467">
        <v>10425</v>
      </c>
      <c r="C1467">
        <v>55</v>
      </c>
      <c r="D1467" s="21">
        <v>46.82</v>
      </c>
      <c r="E1467" s="22">
        <v>38503</v>
      </c>
      <c r="F1467" t="s">
        <v>113</v>
      </c>
      <c r="G1467" t="s">
        <v>72</v>
      </c>
      <c r="H1467">
        <v>2</v>
      </c>
      <c r="I1467">
        <v>2005</v>
      </c>
      <c r="J1467" t="s">
        <v>15</v>
      </c>
      <c r="K1467" t="s">
        <v>51</v>
      </c>
    </row>
    <row r="1468" spans="1:11">
      <c r="A1468" t="s">
        <v>12</v>
      </c>
      <c r="B1468">
        <v>10107</v>
      </c>
      <c r="C1468">
        <v>25</v>
      </c>
      <c r="D1468" s="21">
        <v>100</v>
      </c>
      <c r="E1468" s="22">
        <v>37676</v>
      </c>
      <c r="F1468" t="s">
        <v>13</v>
      </c>
      <c r="G1468" t="s">
        <v>14</v>
      </c>
      <c r="H1468">
        <v>1</v>
      </c>
      <c r="I1468">
        <v>2003</v>
      </c>
      <c r="J1468" t="s">
        <v>15</v>
      </c>
      <c r="K1468" t="s">
        <v>16</v>
      </c>
    </row>
    <row r="1469" spans="1:11">
      <c r="A1469" t="s">
        <v>42</v>
      </c>
      <c r="B1469">
        <v>10120</v>
      </c>
      <c r="C1469">
        <v>35</v>
      </c>
      <c r="D1469" s="21">
        <v>98.05</v>
      </c>
      <c r="E1469" s="22">
        <v>37740</v>
      </c>
      <c r="F1469" t="s">
        <v>13</v>
      </c>
      <c r="G1469" t="s">
        <v>14</v>
      </c>
      <c r="H1469">
        <v>2</v>
      </c>
      <c r="I1469">
        <v>2003</v>
      </c>
      <c r="J1469" t="s">
        <v>22</v>
      </c>
      <c r="K1469" t="s">
        <v>43</v>
      </c>
    </row>
    <row r="1470" spans="1:11">
      <c r="A1470" t="s">
        <v>21</v>
      </c>
      <c r="B1470">
        <v>10134</v>
      </c>
      <c r="C1470">
        <v>35</v>
      </c>
      <c r="D1470" s="21">
        <v>93.54</v>
      </c>
      <c r="E1470" s="22">
        <v>37803</v>
      </c>
      <c r="F1470" t="s">
        <v>13</v>
      </c>
      <c r="G1470" t="s">
        <v>14</v>
      </c>
      <c r="H1470">
        <v>3</v>
      </c>
      <c r="I1470">
        <v>2003</v>
      </c>
      <c r="J1470" t="s">
        <v>22</v>
      </c>
      <c r="K1470" t="s">
        <v>23</v>
      </c>
    </row>
    <row r="1471" spans="1:11">
      <c r="A1471" t="s">
        <v>25</v>
      </c>
      <c r="B1471">
        <v>10145</v>
      </c>
      <c r="C1471">
        <v>43</v>
      </c>
      <c r="D1471" s="21">
        <v>95.8</v>
      </c>
      <c r="E1471" s="22">
        <v>37858</v>
      </c>
      <c r="F1471" t="s">
        <v>13</v>
      </c>
      <c r="G1471" t="s">
        <v>14</v>
      </c>
      <c r="H1471">
        <v>3</v>
      </c>
      <c r="I1471">
        <v>2003</v>
      </c>
      <c r="J1471" t="s">
        <v>22</v>
      </c>
      <c r="K1471" t="s">
        <v>26</v>
      </c>
    </row>
    <row r="1472" spans="1:11">
      <c r="A1472" t="s">
        <v>28</v>
      </c>
      <c r="B1472">
        <v>10159</v>
      </c>
      <c r="C1472">
        <v>44</v>
      </c>
      <c r="D1472" s="21">
        <v>100</v>
      </c>
      <c r="E1472" s="22">
        <v>37904</v>
      </c>
      <c r="F1472" t="s">
        <v>13</v>
      </c>
      <c r="G1472" t="s">
        <v>14</v>
      </c>
      <c r="H1472">
        <v>4</v>
      </c>
      <c r="I1472">
        <v>2003</v>
      </c>
      <c r="J1472" t="s">
        <v>22</v>
      </c>
      <c r="K1472" t="s">
        <v>29</v>
      </c>
    </row>
    <row r="1473" spans="1:11">
      <c r="A1473" t="s">
        <v>31</v>
      </c>
      <c r="B1473">
        <v>10168</v>
      </c>
      <c r="C1473">
        <v>50</v>
      </c>
      <c r="D1473" s="21">
        <v>100</v>
      </c>
      <c r="E1473" s="22">
        <v>37922</v>
      </c>
      <c r="F1473" t="s">
        <v>13</v>
      </c>
      <c r="G1473" t="s">
        <v>14</v>
      </c>
      <c r="H1473">
        <v>4</v>
      </c>
      <c r="I1473">
        <v>2003</v>
      </c>
      <c r="J1473" t="s">
        <v>22</v>
      </c>
      <c r="K1473" t="s">
        <v>32</v>
      </c>
    </row>
    <row r="1474" spans="1:11">
      <c r="A1474" t="s">
        <v>34</v>
      </c>
      <c r="B1474">
        <v>10180</v>
      </c>
      <c r="C1474">
        <v>48</v>
      </c>
      <c r="D1474" s="21">
        <v>100</v>
      </c>
      <c r="E1474" s="22">
        <v>37936</v>
      </c>
      <c r="F1474" t="s">
        <v>13</v>
      </c>
      <c r="G1474" t="s">
        <v>14</v>
      </c>
      <c r="H1474">
        <v>4</v>
      </c>
      <c r="I1474">
        <v>2003</v>
      </c>
      <c r="J1474" t="s">
        <v>22</v>
      </c>
      <c r="K1474" t="s">
        <v>35</v>
      </c>
    </row>
    <row r="1475" spans="1:11">
      <c r="A1475" t="s">
        <v>36</v>
      </c>
      <c r="B1475">
        <v>10188</v>
      </c>
      <c r="C1475">
        <v>25</v>
      </c>
      <c r="D1475" s="21">
        <v>100</v>
      </c>
      <c r="E1475" s="22">
        <v>37943</v>
      </c>
      <c r="F1475" t="s">
        <v>13</v>
      </c>
      <c r="G1475" t="s">
        <v>14</v>
      </c>
      <c r="H1475">
        <v>4</v>
      </c>
      <c r="I1475">
        <v>2003</v>
      </c>
      <c r="J1475" t="s">
        <v>15</v>
      </c>
      <c r="K1475" t="s">
        <v>37</v>
      </c>
    </row>
    <row r="1476" spans="1:11">
      <c r="A1476" t="s">
        <v>38</v>
      </c>
      <c r="B1476">
        <v>10201</v>
      </c>
      <c r="C1476">
        <v>39</v>
      </c>
      <c r="D1476" s="21">
        <v>100</v>
      </c>
      <c r="E1476" s="22">
        <v>37956</v>
      </c>
      <c r="F1476" t="s">
        <v>13</v>
      </c>
      <c r="G1476" t="s">
        <v>14</v>
      </c>
      <c r="H1476">
        <v>4</v>
      </c>
      <c r="I1476">
        <v>2003</v>
      </c>
      <c r="J1476" t="s">
        <v>22</v>
      </c>
      <c r="K1476" t="s">
        <v>39</v>
      </c>
    </row>
    <row r="1477" spans="1:11">
      <c r="A1477" t="s">
        <v>40</v>
      </c>
      <c r="B1477">
        <v>10211</v>
      </c>
      <c r="C1477">
        <v>25</v>
      </c>
      <c r="D1477" s="21">
        <v>90.16</v>
      </c>
      <c r="E1477" s="22">
        <v>38001</v>
      </c>
      <c r="F1477" t="s">
        <v>13</v>
      </c>
      <c r="G1477" t="s">
        <v>14</v>
      </c>
      <c r="H1477">
        <v>1</v>
      </c>
      <c r="I1477">
        <v>2004</v>
      </c>
      <c r="J1477" t="s">
        <v>15</v>
      </c>
      <c r="K1477" t="s">
        <v>41</v>
      </c>
    </row>
    <row r="1478" spans="1:11">
      <c r="A1478" t="s">
        <v>42</v>
      </c>
      <c r="B1478">
        <v>10223</v>
      </c>
      <c r="C1478">
        <v>32</v>
      </c>
      <c r="D1478" s="21">
        <v>91.29</v>
      </c>
      <c r="E1478" s="22">
        <v>38037</v>
      </c>
      <c r="F1478" t="s">
        <v>13</v>
      </c>
      <c r="G1478" t="s">
        <v>14</v>
      </c>
      <c r="H1478">
        <v>1</v>
      </c>
      <c r="I1478">
        <v>2004</v>
      </c>
      <c r="J1478" t="s">
        <v>15</v>
      </c>
      <c r="K1478" t="s">
        <v>43</v>
      </c>
    </row>
    <row r="1479" spans="1:11">
      <c r="A1479" t="s">
        <v>44</v>
      </c>
      <c r="B1479">
        <v>10237</v>
      </c>
      <c r="C1479">
        <v>20</v>
      </c>
      <c r="D1479" s="21">
        <v>100</v>
      </c>
      <c r="E1479" s="22">
        <v>38082</v>
      </c>
      <c r="F1479" t="s">
        <v>13</v>
      </c>
      <c r="G1479" t="s">
        <v>14</v>
      </c>
      <c r="H1479">
        <v>2</v>
      </c>
      <c r="I1479">
        <v>2004</v>
      </c>
      <c r="J1479" t="s">
        <v>15</v>
      </c>
      <c r="K1479" t="s">
        <v>45</v>
      </c>
    </row>
    <row r="1480" spans="1:11">
      <c r="A1480" t="s">
        <v>46</v>
      </c>
      <c r="B1480">
        <v>10251</v>
      </c>
      <c r="C1480">
        <v>26</v>
      </c>
      <c r="D1480" s="21">
        <v>100</v>
      </c>
      <c r="E1480" s="22">
        <v>38125</v>
      </c>
      <c r="F1480" t="s">
        <v>13</v>
      </c>
      <c r="G1480" t="s">
        <v>14</v>
      </c>
      <c r="H1480">
        <v>2</v>
      </c>
      <c r="I1480">
        <v>2004</v>
      </c>
      <c r="J1480" t="s">
        <v>15</v>
      </c>
      <c r="K1480" t="s">
        <v>47</v>
      </c>
    </row>
    <row r="1481" spans="1:11">
      <c r="A1481" t="s">
        <v>48</v>
      </c>
      <c r="B1481">
        <v>10263</v>
      </c>
      <c r="C1481">
        <v>42</v>
      </c>
      <c r="D1481" s="21">
        <v>100</v>
      </c>
      <c r="E1481" s="22">
        <v>38166</v>
      </c>
      <c r="F1481" t="s">
        <v>13</v>
      </c>
      <c r="G1481" t="s">
        <v>14</v>
      </c>
      <c r="H1481">
        <v>2</v>
      </c>
      <c r="I1481">
        <v>2004</v>
      </c>
      <c r="J1481" t="s">
        <v>22</v>
      </c>
      <c r="K1481" t="s">
        <v>49</v>
      </c>
    </row>
    <row r="1482" spans="1:11">
      <c r="A1482" t="s">
        <v>50</v>
      </c>
      <c r="B1482">
        <v>10275</v>
      </c>
      <c r="C1482">
        <v>21</v>
      </c>
      <c r="D1482" s="21">
        <v>100</v>
      </c>
      <c r="E1482" s="22">
        <v>38191</v>
      </c>
      <c r="F1482" t="s">
        <v>13</v>
      </c>
      <c r="G1482" t="s">
        <v>14</v>
      </c>
      <c r="H1482">
        <v>3</v>
      </c>
      <c r="I1482">
        <v>2004</v>
      </c>
      <c r="J1482" t="s">
        <v>15</v>
      </c>
      <c r="K1482" t="s">
        <v>51</v>
      </c>
    </row>
    <row r="1483" spans="1:11">
      <c r="A1483" t="s">
        <v>52</v>
      </c>
      <c r="B1483">
        <v>10285</v>
      </c>
      <c r="C1483">
        <v>34</v>
      </c>
      <c r="D1483" s="21">
        <v>100</v>
      </c>
      <c r="E1483" s="22">
        <v>38226</v>
      </c>
      <c r="F1483" t="s">
        <v>13</v>
      </c>
      <c r="G1483" t="s">
        <v>14</v>
      </c>
      <c r="H1483">
        <v>3</v>
      </c>
      <c r="I1483">
        <v>2004</v>
      </c>
      <c r="J1483" t="s">
        <v>22</v>
      </c>
      <c r="K1483" t="s">
        <v>53</v>
      </c>
    </row>
    <row r="1484" spans="1:11">
      <c r="A1484" t="s">
        <v>54</v>
      </c>
      <c r="B1484">
        <v>10299</v>
      </c>
      <c r="C1484">
        <v>47</v>
      </c>
      <c r="D1484" s="21">
        <v>100</v>
      </c>
      <c r="E1484" s="22">
        <v>38260</v>
      </c>
      <c r="F1484" t="s">
        <v>13</v>
      </c>
      <c r="G1484" t="s">
        <v>14</v>
      </c>
      <c r="H1484">
        <v>3</v>
      </c>
      <c r="I1484">
        <v>2004</v>
      </c>
      <c r="J1484" t="s">
        <v>22</v>
      </c>
      <c r="K1484" t="s">
        <v>55</v>
      </c>
    </row>
    <row r="1485" spans="1:11">
      <c r="A1485" t="s">
        <v>56</v>
      </c>
      <c r="B1485">
        <v>10309</v>
      </c>
      <c r="C1485">
        <v>21</v>
      </c>
      <c r="D1485" s="21">
        <v>100</v>
      </c>
      <c r="E1485" s="22">
        <v>38275</v>
      </c>
      <c r="F1485" t="s">
        <v>13</v>
      </c>
      <c r="G1485" t="s">
        <v>14</v>
      </c>
      <c r="H1485">
        <v>4</v>
      </c>
      <c r="I1485">
        <v>2004</v>
      </c>
      <c r="J1485" t="s">
        <v>15</v>
      </c>
      <c r="K1485" t="s">
        <v>57</v>
      </c>
    </row>
    <row r="1486" spans="1:11">
      <c r="A1486" t="s">
        <v>58</v>
      </c>
      <c r="B1486">
        <v>10318</v>
      </c>
      <c r="C1486">
        <v>48</v>
      </c>
      <c r="D1486" s="21">
        <v>100</v>
      </c>
      <c r="E1486" s="22">
        <v>38293</v>
      </c>
      <c r="F1486" t="s">
        <v>13</v>
      </c>
      <c r="G1486" t="s">
        <v>14</v>
      </c>
      <c r="H1486">
        <v>4</v>
      </c>
      <c r="I1486">
        <v>2004</v>
      </c>
      <c r="J1486" t="s">
        <v>22</v>
      </c>
      <c r="K1486" t="s">
        <v>59</v>
      </c>
    </row>
    <row r="1487" spans="1:11">
      <c r="A1487" t="s">
        <v>12</v>
      </c>
      <c r="B1487">
        <v>10329</v>
      </c>
      <c r="C1487">
        <v>30</v>
      </c>
      <c r="D1487" s="21">
        <v>87.78</v>
      </c>
      <c r="E1487" s="22">
        <v>38306</v>
      </c>
      <c r="F1487" t="s">
        <v>13</v>
      </c>
      <c r="G1487" t="s">
        <v>14</v>
      </c>
      <c r="H1487">
        <v>4</v>
      </c>
      <c r="I1487">
        <v>2004</v>
      </c>
      <c r="J1487" t="s">
        <v>15</v>
      </c>
      <c r="K1487" t="s">
        <v>16</v>
      </c>
    </row>
    <row r="1488" spans="1:11">
      <c r="A1488" t="s">
        <v>95</v>
      </c>
      <c r="B1488">
        <v>10339</v>
      </c>
      <c r="C1488">
        <v>27</v>
      </c>
      <c r="D1488" s="21">
        <v>84.39</v>
      </c>
      <c r="E1488" s="22">
        <v>38314</v>
      </c>
      <c r="F1488" t="s">
        <v>13</v>
      </c>
      <c r="G1488" t="s">
        <v>14</v>
      </c>
      <c r="H1488">
        <v>4</v>
      </c>
      <c r="I1488">
        <v>2004</v>
      </c>
      <c r="J1488" t="s">
        <v>15</v>
      </c>
      <c r="K1488" t="s">
        <v>96</v>
      </c>
    </row>
    <row r="1489" spans="1:11">
      <c r="A1489" t="s">
        <v>31</v>
      </c>
      <c r="B1489">
        <v>10362</v>
      </c>
      <c r="C1489">
        <v>50</v>
      </c>
      <c r="D1489" s="21">
        <v>96.92</v>
      </c>
      <c r="E1489" s="22">
        <v>38357</v>
      </c>
      <c r="F1489" t="s">
        <v>13</v>
      </c>
      <c r="G1489" t="s">
        <v>14</v>
      </c>
      <c r="H1489">
        <v>1</v>
      </c>
      <c r="I1489">
        <v>2005</v>
      </c>
      <c r="J1489" t="s">
        <v>22</v>
      </c>
      <c r="K1489" t="s">
        <v>32</v>
      </c>
    </row>
    <row r="1490" spans="1:11">
      <c r="A1490" t="s">
        <v>81</v>
      </c>
      <c r="B1490">
        <v>10374</v>
      </c>
      <c r="C1490">
        <v>38</v>
      </c>
      <c r="D1490" s="21">
        <v>100</v>
      </c>
      <c r="E1490" s="22">
        <v>38385</v>
      </c>
      <c r="F1490" t="s">
        <v>13</v>
      </c>
      <c r="G1490" t="s">
        <v>14</v>
      </c>
      <c r="H1490">
        <v>1</v>
      </c>
      <c r="I1490">
        <v>2005</v>
      </c>
      <c r="J1490" t="s">
        <v>22</v>
      </c>
      <c r="K1490" t="s">
        <v>82</v>
      </c>
    </row>
    <row r="1491" spans="1:11">
      <c r="A1491" t="s">
        <v>99</v>
      </c>
      <c r="B1491">
        <v>10389</v>
      </c>
      <c r="C1491">
        <v>45</v>
      </c>
      <c r="D1491" s="21">
        <v>100</v>
      </c>
      <c r="E1491" s="22">
        <v>38414</v>
      </c>
      <c r="F1491" t="s">
        <v>13</v>
      </c>
      <c r="G1491" t="s">
        <v>14</v>
      </c>
      <c r="H1491">
        <v>1</v>
      </c>
      <c r="I1491">
        <v>2005</v>
      </c>
      <c r="J1491" t="s">
        <v>22</v>
      </c>
      <c r="K1491" t="s">
        <v>100</v>
      </c>
    </row>
    <row r="1492" spans="1:11">
      <c r="A1492" t="s">
        <v>67</v>
      </c>
      <c r="B1492">
        <v>10403</v>
      </c>
      <c r="C1492">
        <v>46</v>
      </c>
      <c r="D1492" s="21">
        <v>100</v>
      </c>
      <c r="E1492" s="22">
        <v>38450</v>
      </c>
      <c r="F1492" t="s">
        <v>13</v>
      </c>
      <c r="G1492" t="s">
        <v>14</v>
      </c>
      <c r="H1492">
        <v>2</v>
      </c>
      <c r="I1492">
        <v>2005</v>
      </c>
      <c r="J1492" t="s">
        <v>22</v>
      </c>
      <c r="K1492" t="s">
        <v>68</v>
      </c>
    </row>
    <row r="1493" spans="1:11">
      <c r="A1493" t="s">
        <v>69</v>
      </c>
      <c r="B1493">
        <v>10417</v>
      </c>
      <c r="C1493">
        <v>35</v>
      </c>
      <c r="D1493" s="21">
        <v>100</v>
      </c>
      <c r="E1493" s="22">
        <v>38485</v>
      </c>
      <c r="F1493" t="s">
        <v>70</v>
      </c>
      <c r="G1493" t="s">
        <v>14</v>
      </c>
      <c r="H1493">
        <v>2</v>
      </c>
      <c r="I1493">
        <v>2005</v>
      </c>
      <c r="J1493" t="s">
        <v>22</v>
      </c>
      <c r="K1493" t="s">
        <v>71</v>
      </c>
    </row>
    <row r="1494" spans="1:11">
      <c r="A1494" t="s">
        <v>183</v>
      </c>
      <c r="B1494">
        <v>10110</v>
      </c>
      <c r="C1494">
        <v>29</v>
      </c>
      <c r="D1494" s="21">
        <v>59.37</v>
      </c>
      <c r="E1494" s="22">
        <v>37698</v>
      </c>
      <c r="F1494" t="s">
        <v>13</v>
      </c>
      <c r="G1494" t="s">
        <v>72</v>
      </c>
      <c r="H1494">
        <v>1</v>
      </c>
      <c r="I1494">
        <v>2003</v>
      </c>
      <c r="J1494" t="s">
        <v>15</v>
      </c>
      <c r="K1494" t="s">
        <v>184</v>
      </c>
    </row>
    <row r="1495" spans="1:11">
      <c r="A1495" t="s">
        <v>118</v>
      </c>
      <c r="B1495">
        <v>10123</v>
      </c>
      <c r="C1495">
        <v>50</v>
      </c>
      <c r="D1495" s="21">
        <v>59.87</v>
      </c>
      <c r="E1495" s="22">
        <v>37761</v>
      </c>
      <c r="F1495" t="s">
        <v>13</v>
      </c>
      <c r="G1495" t="s">
        <v>72</v>
      </c>
      <c r="H1495">
        <v>2</v>
      </c>
      <c r="I1495">
        <v>2003</v>
      </c>
      <c r="J1495" t="s">
        <v>15</v>
      </c>
      <c r="K1495" t="s">
        <v>119</v>
      </c>
    </row>
    <row r="1496" spans="1:11">
      <c r="A1496" t="s">
        <v>18</v>
      </c>
      <c r="B1496">
        <v>10137</v>
      </c>
      <c r="C1496">
        <v>26</v>
      </c>
      <c r="D1496" s="21">
        <v>49.81</v>
      </c>
      <c r="E1496" s="22">
        <v>37812</v>
      </c>
      <c r="F1496" t="s">
        <v>13</v>
      </c>
      <c r="G1496" t="s">
        <v>72</v>
      </c>
      <c r="H1496">
        <v>3</v>
      </c>
      <c r="I1496">
        <v>2003</v>
      </c>
      <c r="J1496" t="s">
        <v>15</v>
      </c>
      <c r="K1496" t="s">
        <v>19</v>
      </c>
    </row>
    <row r="1497" spans="1:11">
      <c r="A1497" t="s">
        <v>109</v>
      </c>
      <c r="B1497">
        <v>10148</v>
      </c>
      <c r="C1497">
        <v>47</v>
      </c>
      <c r="D1497" s="21">
        <v>56.85</v>
      </c>
      <c r="E1497" s="22">
        <v>37875</v>
      </c>
      <c r="F1497" t="s">
        <v>13</v>
      </c>
      <c r="G1497" t="s">
        <v>72</v>
      </c>
      <c r="H1497">
        <v>3</v>
      </c>
      <c r="I1497">
        <v>2003</v>
      </c>
      <c r="J1497" t="s">
        <v>15</v>
      </c>
      <c r="K1497" t="s">
        <v>110</v>
      </c>
    </row>
    <row r="1498" spans="1:11">
      <c r="A1498" t="s">
        <v>185</v>
      </c>
      <c r="B1498">
        <v>10161</v>
      </c>
      <c r="C1498">
        <v>23</v>
      </c>
      <c r="D1498" s="21">
        <v>53.33</v>
      </c>
      <c r="E1498" s="22">
        <v>37911</v>
      </c>
      <c r="F1498" t="s">
        <v>13</v>
      </c>
      <c r="G1498" t="s">
        <v>72</v>
      </c>
      <c r="H1498">
        <v>4</v>
      </c>
      <c r="I1498">
        <v>2003</v>
      </c>
      <c r="J1498" t="s">
        <v>15</v>
      </c>
      <c r="K1498" t="s">
        <v>186</v>
      </c>
    </row>
    <row r="1499" spans="1:11">
      <c r="A1499" t="s">
        <v>48</v>
      </c>
      <c r="B1499">
        <v>10172</v>
      </c>
      <c r="C1499">
        <v>34</v>
      </c>
      <c r="D1499" s="21">
        <v>42.76</v>
      </c>
      <c r="E1499" s="22">
        <v>37930</v>
      </c>
      <c r="F1499" t="s">
        <v>13</v>
      </c>
      <c r="G1499" t="s">
        <v>72</v>
      </c>
      <c r="H1499">
        <v>4</v>
      </c>
      <c r="I1499">
        <v>2003</v>
      </c>
      <c r="J1499" t="s">
        <v>15</v>
      </c>
      <c r="K1499" t="s">
        <v>49</v>
      </c>
    </row>
    <row r="1500" spans="1:11">
      <c r="A1500" t="s">
        <v>36</v>
      </c>
      <c r="B1500">
        <v>10181</v>
      </c>
      <c r="C1500">
        <v>34</v>
      </c>
      <c r="D1500" s="21">
        <v>53.83</v>
      </c>
      <c r="E1500" s="22">
        <v>37937</v>
      </c>
      <c r="F1500" t="s">
        <v>13</v>
      </c>
      <c r="G1500" t="s">
        <v>72</v>
      </c>
      <c r="H1500">
        <v>4</v>
      </c>
      <c r="I1500">
        <v>2003</v>
      </c>
      <c r="J1500" t="s">
        <v>15</v>
      </c>
      <c r="K1500" t="s">
        <v>37</v>
      </c>
    </row>
    <row r="1501" spans="1:11">
      <c r="A1501" t="s">
        <v>105</v>
      </c>
      <c r="B1501">
        <v>10192</v>
      </c>
      <c r="C1501">
        <v>47</v>
      </c>
      <c r="D1501" s="21">
        <v>53.83</v>
      </c>
      <c r="E1501" s="22">
        <v>37945</v>
      </c>
      <c r="F1501" t="s">
        <v>13</v>
      </c>
      <c r="G1501" t="s">
        <v>72</v>
      </c>
      <c r="H1501">
        <v>4</v>
      </c>
      <c r="I1501">
        <v>2003</v>
      </c>
      <c r="J1501" t="s">
        <v>15</v>
      </c>
      <c r="K1501" t="s">
        <v>106</v>
      </c>
    </row>
    <row r="1502" spans="1:11">
      <c r="A1502" t="s">
        <v>177</v>
      </c>
      <c r="B1502">
        <v>10204</v>
      </c>
      <c r="C1502">
        <v>45</v>
      </c>
      <c r="D1502" s="21">
        <v>49.81</v>
      </c>
      <c r="E1502" s="22">
        <v>37957</v>
      </c>
      <c r="F1502" t="s">
        <v>13</v>
      </c>
      <c r="G1502" t="s">
        <v>72</v>
      </c>
      <c r="H1502">
        <v>4</v>
      </c>
      <c r="I1502">
        <v>2003</v>
      </c>
      <c r="J1502" t="s">
        <v>15</v>
      </c>
      <c r="K1502" t="s">
        <v>178</v>
      </c>
    </row>
    <row r="1503" spans="1:11">
      <c r="A1503" t="s">
        <v>69</v>
      </c>
      <c r="B1503">
        <v>10212</v>
      </c>
      <c r="C1503">
        <v>45</v>
      </c>
      <c r="D1503" s="21">
        <v>53.33</v>
      </c>
      <c r="E1503" s="22">
        <v>38002</v>
      </c>
      <c r="F1503" t="s">
        <v>13</v>
      </c>
      <c r="G1503" t="s">
        <v>72</v>
      </c>
      <c r="H1503">
        <v>1</v>
      </c>
      <c r="I1503">
        <v>2004</v>
      </c>
      <c r="J1503" t="s">
        <v>15</v>
      </c>
      <c r="K1503" t="s">
        <v>71</v>
      </c>
    </row>
    <row r="1504" spans="1:11">
      <c r="A1504" t="s">
        <v>137</v>
      </c>
      <c r="B1504">
        <v>10226</v>
      </c>
      <c r="C1504">
        <v>36</v>
      </c>
      <c r="D1504" s="21">
        <v>43.27</v>
      </c>
      <c r="E1504" s="22">
        <v>38043</v>
      </c>
      <c r="F1504" t="s">
        <v>13</v>
      </c>
      <c r="G1504" t="s">
        <v>72</v>
      </c>
      <c r="H1504">
        <v>1</v>
      </c>
      <c r="I1504">
        <v>2004</v>
      </c>
      <c r="J1504" t="s">
        <v>15</v>
      </c>
      <c r="K1504" t="s">
        <v>138</v>
      </c>
    </row>
    <row r="1505" spans="1:11">
      <c r="A1505" t="s">
        <v>196</v>
      </c>
      <c r="B1505">
        <v>10241</v>
      </c>
      <c r="C1505">
        <v>21</v>
      </c>
      <c r="D1505" s="21">
        <v>40.25</v>
      </c>
      <c r="E1505" s="22">
        <v>38090</v>
      </c>
      <c r="F1505" t="s">
        <v>13</v>
      </c>
      <c r="G1505" t="s">
        <v>72</v>
      </c>
      <c r="H1505">
        <v>2</v>
      </c>
      <c r="I1505">
        <v>2004</v>
      </c>
      <c r="J1505" t="s">
        <v>15</v>
      </c>
      <c r="K1505" t="s">
        <v>197</v>
      </c>
    </row>
    <row r="1506" spans="1:11">
      <c r="A1506" t="s">
        <v>169</v>
      </c>
      <c r="B1506">
        <v>10266</v>
      </c>
      <c r="C1506">
        <v>28</v>
      </c>
      <c r="D1506" s="21">
        <v>48.3</v>
      </c>
      <c r="E1506" s="22">
        <v>38174</v>
      </c>
      <c r="F1506" t="s">
        <v>13</v>
      </c>
      <c r="G1506" t="s">
        <v>72</v>
      </c>
      <c r="H1506">
        <v>3</v>
      </c>
      <c r="I1506">
        <v>2004</v>
      </c>
      <c r="J1506" t="s">
        <v>15</v>
      </c>
      <c r="K1506" t="s">
        <v>170</v>
      </c>
    </row>
    <row r="1507" spans="1:11">
      <c r="A1507" t="s">
        <v>198</v>
      </c>
      <c r="B1507">
        <v>10278</v>
      </c>
      <c r="C1507">
        <v>35</v>
      </c>
      <c r="D1507" s="21">
        <v>45.28</v>
      </c>
      <c r="E1507" s="22">
        <v>38205</v>
      </c>
      <c r="F1507" t="s">
        <v>13</v>
      </c>
      <c r="G1507" t="s">
        <v>72</v>
      </c>
      <c r="H1507">
        <v>3</v>
      </c>
      <c r="I1507">
        <v>2004</v>
      </c>
      <c r="J1507" t="s">
        <v>15</v>
      </c>
      <c r="K1507" t="s">
        <v>199</v>
      </c>
    </row>
    <row r="1508" spans="1:11">
      <c r="A1508" t="s">
        <v>159</v>
      </c>
      <c r="B1508">
        <v>10288</v>
      </c>
      <c r="C1508">
        <v>50</v>
      </c>
      <c r="D1508" s="21">
        <v>52.32</v>
      </c>
      <c r="E1508" s="22">
        <v>38231</v>
      </c>
      <c r="F1508" t="s">
        <v>13</v>
      </c>
      <c r="G1508" t="s">
        <v>72</v>
      </c>
      <c r="H1508">
        <v>3</v>
      </c>
      <c r="I1508">
        <v>2004</v>
      </c>
      <c r="J1508" t="s">
        <v>15</v>
      </c>
      <c r="K1508" t="s">
        <v>160</v>
      </c>
    </row>
    <row r="1509" spans="1:11">
      <c r="A1509" t="s">
        <v>200</v>
      </c>
      <c r="B1509">
        <v>10301</v>
      </c>
      <c r="C1509">
        <v>22</v>
      </c>
      <c r="D1509" s="21">
        <v>51.32</v>
      </c>
      <c r="E1509" s="22">
        <v>37899</v>
      </c>
      <c r="F1509" t="s">
        <v>13</v>
      </c>
      <c r="G1509" t="s">
        <v>72</v>
      </c>
      <c r="H1509">
        <v>4</v>
      </c>
      <c r="I1509">
        <v>2003</v>
      </c>
      <c r="J1509" t="s">
        <v>15</v>
      </c>
      <c r="K1509" t="s">
        <v>201</v>
      </c>
    </row>
    <row r="1510" spans="1:11">
      <c r="A1510" t="s">
        <v>69</v>
      </c>
      <c r="B1510">
        <v>10311</v>
      </c>
      <c r="C1510">
        <v>45</v>
      </c>
      <c r="D1510" s="21">
        <v>49.3</v>
      </c>
      <c r="E1510" s="22">
        <v>38276</v>
      </c>
      <c r="F1510" t="s">
        <v>13</v>
      </c>
      <c r="G1510" t="s">
        <v>72</v>
      </c>
      <c r="H1510">
        <v>4</v>
      </c>
      <c r="I1510">
        <v>2004</v>
      </c>
      <c r="J1510" t="s">
        <v>15</v>
      </c>
      <c r="K1510" t="s">
        <v>71</v>
      </c>
    </row>
    <row r="1511" spans="1:11">
      <c r="A1511" t="s">
        <v>65</v>
      </c>
      <c r="B1511">
        <v>10321</v>
      </c>
      <c r="C1511">
        <v>48</v>
      </c>
      <c r="D1511" s="21">
        <v>42.26</v>
      </c>
      <c r="E1511" s="22">
        <v>38295</v>
      </c>
      <c r="F1511" t="s">
        <v>13</v>
      </c>
      <c r="G1511" t="s">
        <v>72</v>
      </c>
      <c r="H1511">
        <v>4</v>
      </c>
      <c r="I1511">
        <v>2004</v>
      </c>
      <c r="J1511" t="s">
        <v>15</v>
      </c>
      <c r="K1511" t="s">
        <v>66</v>
      </c>
    </row>
    <row r="1512" spans="1:11">
      <c r="A1512" t="s">
        <v>183</v>
      </c>
      <c r="B1512">
        <v>10332</v>
      </c>
      <c r="C1512">
        <v>20</v>
      </c>
      <c r="D1512" s="21">
        <v>87.96</v>
      </c>
      <c r="E1512" s="22">
        <v>38308</v>
      </c>
      <c r="F1512" t="s">
        <v>13</v>
      </c>
      <c r="G1512" t="s">
        <v>72</v>
      </c>
      <c r="H1512">
        <v>4</v>
      </c>
      <c r="I1512">
        <v>2004</v>
      </c>
      <c r="J1512" t="s">
        <v>15</v>
      </c>
      <c r="K1512" t="s">
        <v>184</v>
      </c>
    </row>
    <row r="1513" spans="1:11">
      <c r="A1513" t="s">
        <v>18</v>
      </c>
      <c r="B1513">
        <v>10343</v>
      </c>
      <c r="C1513">
        <v>27</v>
      </c>
      <c r="D1513" s="21">
        <v>36.21</v>
      </c>
      <c r="E1513" s="22">
        <v>38315</v>
      </c>
      <c r="F1513" t="s">
        <v>13</v>
      </c>
      <c r="G1513" t="s">
        <v>72</v>
      </c>
      <c r="H1513">
        <v>4</v>
      </c>
      <c r="I1513">
        <v>2004</v>
      </c>
      <c r="J1513" t="s">
        <v>15</v>
      </c>
      <c r="K1513" t="s">
        <v>19</v>
      </c>
    </row>
    <row r="1514" spans="1:11">
      <c r="A1514" t="s">
        <v>25</v>
      </c>
      <c r="B1514">
        <v>10367</v>
      </c>
      <c r="C1514">
        <v>38</v>
      </c>
      <c r="D1514" s="21">
        <v>38.5</v>
      </c>
      <c r="E1514" s="22">
        <v>38364</v>
      </c>
      <c r="F1514" t="s">
        <v>155</v>
      </c>
      <c r="G1514" t="s">
        <v>72</v>
      </c>
      <c r="H1514">
        <v>1</v>
      </c>
      <c r="I1514">
        <v>2005</v>
      </c>
      <c r="J1514" t="s">
        <v>15</v>
      </c>
      <c r="K1514" t="s">
        <v>26</v>
      </c>
    </row>
    <row r="1515" spans="1:11">
      <c r="A1515" t="s">
        <v>69</v>
      </c>
      <c r="B1515">
        <v>10379</v>
      </c>
      <c r="C1515">
        <v>32</v>
      </c>
      <c r="D1515" s="21">
        <v>100</v>
      </c>
      <c r="E1515" s="22">
        <v>38393</v>
      </c>
      <c r="F1515" t="s">
        <v>13</v>
      </c>
      <c r="G1515" t="s">
        <v>72</v>
      </c>
      <c r="H1515">
        <v>1</v>
      </c>
      <c r="I1515">
        <v>2005</v>
      </c>
      <c r="J1515" t="s">
        <v>22</v>
      </c>
      <c r="K1515" t="s">
        <v>71</v>
      </c>
    </row>
    <row r="1516" spans="1:11">
      <c r="A1516" t="s">
        <v>149</v>
      </c>
      <c r="B1516">
        <v>10407</v>
      </c>
      <c r="C1516">
        <v>64</v>
      </c>
      <c r="D1516" s="21">
        <v>40.25</v>
      </c>
      <c r="E1516" s="22">
        <v>38464</v>
      </c>
      <c r="F1516" t="s">
        <v>151</v>
      </c>
      <c r="G1516" t="s">
        <v>72</v>
      </c>
      <c r="H1516">
        <v>2</v>
      </c>
      <c r="I1516">
        <v>2005</v>
      </c>
      <c r="J1516" t="s">
        <v>15</v>
      </c>
      <c r="K1516" t="s">
        <v>150</v>
      </c>
    </row>
    <row r="1517" spans="1:11">
      <c r="A1517" t="s">
        <v>63</v>
      </c>
      <c r="B1517">
        <v>10420</v>
      </c>
      <c r="C1517">
        <v>37</v>
      </c>
      <c r="D1517" s="21">
        <v>60.37</v>
      </c>
      <c r="E1517" s="22">
        <v>38501</v>
      </c>
      <c r="F1517" t="s">
        <v>113</v>
      </c>
      <c r="G1517" t="s">
        <v>72</v>
      </c>
      <c r="H1517">
        <v>2</v>
      </c>
      <c r="I1517">
        <v>2005</v>
      </c>
      <c r="J1517" t="s">
        <v>15</v>
      </c>
      <c r="K1517" t="s">
        <v>64</v>
      </c>
    </row>
    <row r="1518" spans="1:11">
      <c r="A1518" t="s">
        <v>203</v>
      </c>
      <c r="B1518">
        <v>10106</v>
      </c>
      <c r="C1518">
        <v>28</v>
      </c>
      <c r="D1518" s="21">
        <v>88.63</v>
      </c>
      <c r="E1518" s="22">
        <v>37669</v>
      </c>
      <c r="F1518" t="s">
        <v>13</v>
      </c>
      <c r="G1518" t="s">
        <v>207</v>
      </c>
      <c r="H1518">
        <v>1</v>
      </c>
      <c r="I1518">
        <v>2003</v>
      </c>
      <c r="J1518" t="s">
        <v>15</v>
      </c>
      <c r="K1518" t="s">
        <v>204</v>
      </c>
    </row>
    <row r="1519" spans="1:11">
      <c r="A1519" t="s">
        <v>42</v>
      </c>
      <c r="B1519">
        <v>10120</v>
      </c>
      <c r="C1519">
        <v>39</v>
      </c>
      <c r="D1519" s="21">
        <v>100</v>
      </c>
      <c r="E1519" s="22">
        <v>37740</v>
      </c>
      <c r="F1519" t="s">
        <v>13</v>
      </c>
      <c r="G1519" t="s">
        <v>207</v>
      </c>
      <c r="H1519">
        <v>2</v>
      </c>
      <c r="I1519">
        <v>2003</v>
      </c>
      <c r="J1519" t="s">
        <v>22</v>
      </c>
      <c r="K1519" t="s">
        <v>43</v>
      </c>
    </row>
    <row r="1520" spans="1:11">
      <c r="A1520" t="s">
        <v>69</v>
      </c>
      <c r="B1520">
        <v>10133</v>
      </c>
      <c r="C1520">
        <v>41</v>
      </c>
      <c r="D1520" s="21">
        <v>94.1</v>
      </c>
      <c r="E1520" s="22">
        <v>37799</v>
      </c>
      <c r="F1520" t="s">
        <v>13</v>
      </c>
      <c r="G1520" t="s">
        <v>207</v>
      </c>
      <c r="H1520">
        <v>2</v>
      </c>
      <c r="I1520">
        <v>2003</v>
      </c>
      <c r="J1520" t="s">
        <v>22</v>
      </c>
      <c r="K1520" t="s">
        <v>71</v>
      </c>
    </row>
    <row r="1521" spans="1:11">
      <c r="A1521" t="s">
        <v>25</v>
      </c>
      <c r="B1521">
        <v>10145</v>
      </c>
      <c r="C1521">
        <v>40</v>
      </c>
      <c r="D1521" s="21">
        <v>87.54</v>
      </c>
      <c r="E1521" s="22">
        <v>37858</v>
      </c>
      <c r="F1521" t="s">
        <v>13</v>
      </c>
      <c r="G1521" t="s">
        <v>207</v>
      </c>
      <c r="H1521">
        <v>3</v>
      </c>
      <c r="I1521">
        <v>2003</v>
      </c>
      <c r="J1521" t="s">
        <v>22</v>
      </c>
      <c r="K1521" t="s">
        <v>26</v>
      </c>
    </row>
    <row r="1522" spans="1:11">
      <c r="A1522" t="s">
        <v>31</v>
      </c>
      <c r="B1522">
        <v>10168</v>
      </c>
      <c r="C1522">
        <v>49</v>
      </c>
      <c r="D1522" s="21">
        <v>100</v>
      </c>
      <c r="E1522" s="22">
        <v>37922</v>
      </c>
      <c r="F1522" t="s">
        <v>13</v>
      </c>
      <c r="G1522" t="s">
        <v>207</v>
      </c>
      <c r="H1522">
        <v>4</v>
      </c>
      <c r="I1522">
        <v>2003</v>
      </c>
      <c r="J1522" t="s">
        <v>22</v>
      </c>
      <c r="K1522" t="s">
        <v>32</v>
      </c>
    </row>
    <row r="1523" spans="1:11">
      <c r="A1523" t="s">
        <v>114</v>
      </c>
      <c r="B1523">
        <v>10210</v>
      </c>
      <c r="C1523">
        <v>27</v>
      </c>
      <c r="D1523" s="21">
        <v>98.48</v>
      </c>
      <c r="E1523" s="22">
        <v>37998</v>
      </c>
      <c r="F1523" t="s">
        <v>13</v>
      </c>
      <c r="G1523" t="s">
        <v>207</v>
      </c>
      <c r="H1523">
        <v>1</v>
      </c>
      <c r="I1523">
        <v>2004</v>
      </c>
      <c r="J1523" t="s">
        <v>15</v>
      </c>
      <c r="K1523" t="s">
        <v>115</v>
      </c>
    </row>
    <row r="1524" spans="1:11">
      <c r="A1524" t="s">
        <v>42</v>
      </c>
      <c r="B1524">
        <v>10223</v>
      </c>
      <c r="C1524">
        <v>34</v>
      </c>
      <c r="D1524" s="21">
        <v>100</v>
      </c>
      <c r="E1524" s="22">
        <v>38037</v>
      </c>
      <c r="F1524" t="s">
        <v>13</v>
      </c>
      <c r="G1524" t="s">
        <v>207</v>
      </c>
      <c r="H1524">
        <v>1</v>
      </c>
      <c r="I1524">
        <v>2004</v>
      </c>
      <c r="J1524" t="s">
        <v>22</v>
      </c>
      <c r="K1524" t="s">
        <v>43</v>
      </c>
    </row>
    <row r="1525" spans="1:11">
      <c r="A1525" t="s">
        <v>141</v>
      </c>
      <c r="B1525">
        <v>10235</v>
      </c>
      <c r="C1525">
        <v>23</v>
      </c>
      <c r="D1525" s="21">
        <v>96.29</v>
      </c>
      <c r="E1525" s="22">
        <v>38079</v>
      </c>
      <c r="F1525" t="s">
        <v>13</v>
      </c>
      <c r="G1525" t="s">
        <v>207</v>
      </c>
      <c r="H1525">
        <v>2</v>
      </c>
      <c r="I1525">
        <v>2004</v>
      </c>
      <c r="J1525" t="s">
        <v>15</v>
      </c>
      <c r="K1525" t="s">
        <v>142</v>
      </c>
    </row>
    <row r="1526" spans="1:11">
      <c r="A1526" t="s">
        <v>149</v>
      </c>
      <c r="B1526">
        <v>10250</v>
      </c>
      <c r="C1526">
        <v>31</v>
      </c>
      <c r="D1526" s="21">
        <v>88.63</v>
      </c>
      <c r="E1526" s="22">
        <v>38118</v>
      </c>
      <c r="F1526" t="s">
        <v>13</v>
      </c>
      <c r="G1526" t="s">
        <v>207</v>
      </c>
      <c r="H1526">
        <v>2</v>
      </c>
      <c r="I1526">
        <v>2004</v>
      </c>
      <c r="J1526" t="s">
        <v>15</v>
      </c>
      <c r="K1526" t="s">
        <v>150</v>
      </c>
    </row>
    <row r="1527" spans="1:11">
      <c r="A1527" t="s">
        <v>69</v>
      </c>
      <c r="B1527">
        <v>10262</v>
      </c>
      <c r="C1527">
        <v>34</v>
      </c>
      <c r="D1527" s="21">
        <v>97.38</v>
      </c>
      <c r="E1527" s="22">
        <v>38162</v>
      </c>
      <c r="F1527" t="s">
        <v>128</v>
      </c>
      <c r="G1527" t="s">
        <v>207</v>
      </c>
      <c r="H1527">
        <v>2</v>
      </c>
      <c r="I1527">
        <v>2004</v>
      </c>
      <c r="J1527" t="s">
        <v>22</v>
      </c>
      <c r="K1527" t="s">
        <v>71</v>
      </c>
    </row>
    <row r="1528" spans="1:11">
      <c r="A1528" t="s">
        <v>50</v>
      </c>
      <c r="B1528">
        <v>10275</v>
      </c>
      <c r="C1528">
        <v>25</v>
      </c>
      <c r="D1528" s="21">
        <v>95.2</v>
      </c>
      <c r="E1528" s="22">
        <v>38191</v>
      </c>
      <c r="F1528" t="s">
        <v>13</v>
      </c>
      <c r="G1528" t="s">
        <v>207</v>
      </c>
      <c r="H1528">
        <v>3</v>
      </c>
      <c r="I1528">
        <v>2004</v>
      </c>
      <c r="J1528" t="s">
        <v>15</v>
      </c>
      <c r="K1528" t="s">
        <v>51</v>
      </c>
    </row>
    <row r="1529" spans="1:11">
      <c r="A1529" t="s">
        <v>200</v>
      </c>
      <c r="B1529">
        <v>10284</v>
      </c>
      <c r="C1529">
        <v>22</v>
      </c>
      <c r="D1529" s="21">
        <v>100</v>
      </c>
      <c r="E1529" s="22">
        <v>38220</v>
      </c>
      <c r="F1529" t="s">
        <v>13</v>
      </c>
      <c r="G1529" t="s">
        <v>207</v>
      </c>
      <c r="H1529">
        <v>3</v>
      </c>
      <c r="I1529">
        <v>2004</v>
      </c>
      <c r="J1529" t="s">
        <v>15</v>
      </c>
      <c r="K1529" t="s">
        <v>201</v>
      </c>
    </row>
    <row r="1530" spans="1:11">
      <c r="A1530" t="s">
        <v>179</v>
      </c>
      <c r="B1530">
        <v>10297</v>
      </c>
      <c r="C1530">
        <v>32</v>
      </c>
      <c r="D1530" s="21">
        <v>100</v>
      </c>
      <c r="E1530" s="22">
        <v>38246</v>
      </c>
      <c r="F1530" t="s">
        <v>13</v>
      </c>
      <c r="G1530" t="s">
        <v>207</v>
      </c>
      <c r="H1530">
        <v>3</v>
      </c>
      <c r="I1530">
        <v>2004</v>
      </c>
      <c r="J1530" t="s">
        <v>22</v>
      </c>
      <c r="K1530" t="s">
        <v>180</v>
      </c>
    </row>
    <row r="1531" spans="1:11">
      <c r="A1531" t="s">
        <v>120</v>
      </c>
      <c r="B1531">
        <v>10308</v>
      </c>
      <c r="C1531">
        <v>31</v>
      </c>
      <c r="D1531" s="21">
        <v>100</v>
      </c>
      <c r="E1531" s="22">
        <v>38275</v>
      </c>
      <c r="F1531" t="s">
        <v>13</v>
      </c>
      <c r="G1531" t="s">
        <v>207</v>
      </c>
      <c r="H1531">
        <v>4</v>
      </c>
      <c r="I1531">
        <v>2004</v>
      </c>
      <c r="J1531" t="s">
        <v>22</v>
      </c>
      <c r="K1531" t="s">
        <v>121</v>
      </c>
    </row>
    <row r="1532" spans="1:11">
      <c r="A1532" t="s">
        <v>145</v>
      </c>
      <c r="B1532">
        <v>10316</v>
      </c>
      <c r="C1532">
        <v>25</v>
      </c>
      <c r="D1532" s="21">
        <v>100</v>
      </c>
      <c r="E1532" s="22">
        <v>38292</v>
      </c>
      <c r="F1532" t="s">
        <v>13</v>
      </c>
      <c r="G1532" t="s">
        <v>207</v>
      </c>
      <c r="H1532">
        <v>4</v>
      </c>
      <c r="I1532">
        <v>2004</v>
      </c>
      <c r="J1532" t="s">
        <v>15</v>
      </c>
      <c r="K1532" t="s">
        <v>146</v>
      </c>
    </row>
    <row r="1533" spans="1:11">
      <c r="A1533" t="s">
        <v>203</v>
      </c>
      <c r="B1533">
        <v>10328</v>
      </c>
      <c r="C1533">
        <v>47</v>
      </c>
      <c r="D1533" s="21">
        <v>87.54</v>
      </c>
      <c r="E1533" s="22">
        <v>38303</v>
      </c>
      <c r="F1533" t="s">
        <v>13</v>
      </c>
      <c r="G1533" t="s">
        <v>207</v>
      </c>
      <c r="H1533">
        <v>4</v>
      </c>
      <c r="I1533">
        <v>2004</v>
      </c>
      <c r="J1533" t="s">
        <v>22</v>
      </c>
      <c r="K1533" t="s">
        <v>204</v>
      </c>
    </row>
    <row r="1534" spans="1:11">
      <c r="A1534" t="s">
        <v>95</v>
      </c>
      <c r="B1534">
        <v>10339</v>
      </c>
      <c r="C1534">
        <v>21</v>
      </c>
      <c r="D1534" s="21">
        <v>50.65</v>
      </c>
      <c r="E1534" s="22">
        <v>38314</v>
      </c>
      <c r="F1534" t="s">
        <v>13</v>
      </c>
      <c r="G1534" t="s">
        <v>207</v>
      </c>
      <c r="H1534">
        <v>4</v>
      </c>
      <c r="I1534">
        <v>2004</v>
      </c>
      <c r="J1534" t="s">
        <v>15</v>
      </c>
      <c r="K1534" t="s">
        <v>96</v>
      </c>
    </row>
    <row r="1535" spans="1:11">
      <c r="A1535" t="s">
        <v>208</v>
      </c>
      <c r="B1535">
        <v>10353</v>
      </c>
      <c r="C1535">
        <v>28</v>
      </c>
      <c r="D1535" s="21">
        <v>71.73</v>
      </c>
      <c r="E1535" s="22">
        <v>38325</v>
      </c>
      <c r="F1535" t="s">
        <v>13</v>
      </c>
      <c r="G1535" t="s">
        <v>207</v>
      </c>
      <c r="H1535">
        <v>4</v>
      </c>
      <c r="I1535">
        <v>2004</v>
      </c>
      <c r="J1535" t="s">
        <v>15</v>
      </c>
      <c r="K1535" t="s">
        <v>209</v>
      </c>
    </row>
    <row r="1536" spans="1:11">
      <c r="A1536" t="s">
        <v>81</v>
      </c>
      <c r="B1536">
        <v>10374</v>
      </c>
      <c r="C1536">
        <v>46</v>
      </c>
      <c r="D1536" s="21">
        <v>94.1</v>
      </c>
      <c r="E1536" s="22">
        <v>38385</v>
      </c>
      <c r="F1536" t="s">
        <v>13</v>
      </c>
      <c r="G1536" t="s">
        <v>207</v>
      </c>
      <c r="H1536">
        <v>1</v>
      </c>
      <c r="I1536">
        <v>2005</v>
      </c>
      <c r="J1536" t="s">
        <v>22</v>
      </c>
      <c r="K1536" t="s">
        <v>82</v>
      </c>
    </row>
    <row r="1537" spans="1:11">
      <c r="A1537" t="s">
        <v>69</v>
      </c>
      <c r="B1537">
        <v>10386</v>
      </c>
      <c r="C1537">
        <v>33</v>
      </c>
      <c r="D1537" s="21">
        <v>41.71</v>
      </c>
      <c r="E1537" s="22">
        <v>38412</v>
      </c>
      <c r="F1537" t="s">
        <v>155</v>
      </c>
      <c r="G1537" t="s">
        <v>207</v>
      </c>
      <c r="H1537">
        <v>1</v>
      </c>
      <c r="I1537">
        <v>2005</v>
      </c>
      <c r="J1537" t="s">
        <v>15</v>
      </c>
      <c r="K1537" t="s">
        <v>71</v>
      </c>
    </row>
    <row r="1538" spans="1:11">
      <c r="A1538" t="s">
        <v>18</v>
      </c>
      <c r="B1538">
        <v>10398</v>
      </c>
      <c r="C1538">
        <v>43</v>
      </c>
      <c r="D1538" s="21">
        <v>100</v>
      </c>
      <c r="E1538" s="22">
        <v>38441</v>
      </c>
      <c r="F1538" t="s">
        <v>13</v>
      </c>
      <c r="G1538" t="s">
        <v>207</v>
      </c>
      <c r="H1538">
        <v>1</v>
      </c>
      <c r="I1538">
        <v>2005</v>
      </c>
      <c r="J1538" t="s">
        <v>22</v>
      </c>
      <c r="K1538" t="s">
        <v>19</v>
      </c>
    </row>
    <row r="1539" spans="1:11">
      <c r="A1539" t="s">
        <v>46</v>
      </c>
      <c r="B1539">
        <v>10401</v>
      </c>
      <c r="C1539">
        <v>38</v>
      </c>
      <c r="D1539" s="21">
        <v>96.29</v>
      </c>
      <c r="E1539" s="22">
        <v>38445</v>
      </c>
      <c r="F1539" t="s">
        <v>151</v>
      </c>
      <c r="G1539" t="s">
        <v>207</v>
      </c>
      <c r="H1539">
        <v>2</v>
      </c>
      <c r="I1539">
        <v>2005</v>
      </c>
      <c r="J1539" t="s">
        <v>22</v>
      </c>
      <c r="K1539" t="s">
        <v>47</v>
      </c>
    </row>
    <row r="1540" spans="1:11">
      <c r="A1540" t="s">
        <v>169</v>
      </c>
      <c r="B1540">
        <v>10416</v>
      </c>
      <c r="C1540">
        <v>47</v>
      </c>
      <c r="D1540" s="21">
        <v>88.63</v>
      </c>
      <c r="E1540" s="22">
        <v>38482</v>
      </c>
      <c r="F1540" t="s">
        <v>13</v>
      </c>
      <c r="G1540" t="s">
        <v>207</v>
      </c>
      <c r="H1540">
        <v>2</v>
      </c>
      <c r="I1540">
        <v>2005</v>
      </c>
      <c r="J1540" t="s">
        <v>22</v>
      </c>
      <c r="K1540" t="s">
        <v>170</v>
      </c>
    </row>
    <row r="1541" spans="1:11">
      <c r="A1541" t="s">
        <v>173</v>
      </c>
      <c r="B1541">
        <v>10101</v>
      </c>
      <c r="C1541">
        <v>45</v>
      </c>
      <c r="D1541" s="21">
        <v>31.2</v>
      </c>
      <c r="E1541" s="22">
        <v>37630</v>
      </c>
      <c r="F1541" t="s">
        <v>13</v>
      </c>
      <c r="G1541" t="s">
        <v>202</v>
      </c>
      <c r="H1541">
        <v>1</v>
      </c>
      <c r="I1541">
        <v>2003</v>
      </c>
      <c r="J1541" t="s">
        <v>15</v>
      </c>
      <c r="K1541" t="s">
        <v>174</v>
      </c>
    </row>
    <row r="1542" spans="1:11">
      <c r="A1542" t="s">
        <v>183</v>
      </c>
      <c r="B1542">
        <v>10110</v>
      </c>
      <c r="C1542">
        <v>20</v>
      </c>
      <c r="D1542" s="21">
        <v>35.51</v>
      </c>
      <c r="E1542" s="22">
        <v>37698</v>
      </c>
      <c r="F1542" t="s">
        <v>13</v>
      </c>
      <c r="G1542" t="s">
        <v>202</v>
      </c>
      <c r="H1542">
        <v>1</v>
      </c>
      <c r="I1542">
        <v>2003</v>
      </c>
      <c r="J1542" t="s">
        <v>15</v>
      </c>
      <c r="K1542" t="s">
        <v>184</v>
      </c>
    </row>
    <row r="1543" spans="1:11">
      <c r="A1543" t="s">
        <v>198</v>
      </c>
      <c r="B1543">
        <v>10124</v>
      </c>
      <c r="C1543">
        <v>45</v>
      </c>
      <c r="D1543" s="21">
        <v>37.84</v>
      </c>
      <c r="E1543" s="22">
        <v>37762</v>
      </c>
      <c r="F1543" t="s">
        <v>13</v>
      </c>
      <c r="G1543" t="s">
        <v>202</v>
      </c>
      <c r="H1543">
        <v>2</v>
      </c>
      <c r="I1543">
        <v>2003</v>
      </c>
      <c r="J1543" t="s">
        <v>15</v>
      </c>
      <c r="K1543" t="s">
        <v>199</v>
      </c>
    </row>
    <row r="1544" spans="1:11">
      <c r="A1544" t="s">
        <v>194</v>
      </c>
      <c r="B1544">
        <v>10149</v>
      </c>
      <c r="C1544">
        <v>36</v>
      </c>
      <c r="D1544" s="21">
        <v>33.19</v>
      </c>
      <c r="E1544" s="22">
        <v>37876</v>
      </c>
      <c r="F1544" t="s">
        <v>13</v>
      </c>
      <c r="G1544" t="s">
        <v>202</v>
      </c>
      <c r="H1544">
        <v>3</v>
      </c>
      <c r="I1544">
        <v>2003</v>
      </c>
      <c r="J1544" t="s">
        <v>15</v>
      </c>
      <c r="K1544" t="s">
        <v>195</v>
      </c>
    </row>
    <row r="1545" spans="1:11">
      <c r="A1545" t="s">
        <v>28</v>
      </c>
      <c r="B1545">
        <v>10162</v>
      </c>
      <c r="C1545">
        <v>37</v>
      </c>
      <c r="D1545" s="21">
        <v>27.22</v>
      </c>
      <c r="E1545" s="22">
        <v>37912</v>
      </c>
      <c r="F1545" t="s">
        <v>13</v>
      </c>
      <c r="G1545" t="s">
        <v>202</v>
      </c>
      <c r="H1545">
        <v>4</v>
      </c>
      <c r="I1545">
        <v>2003</v>
      </c>
      <c r="J1545" t="s">
        <v>15</v>
      </c>
      <c r="K1545" t="s">
        <v>29</v>
      </c>
    </row>
    <row r="1546" spans="1:11">
      <c r="A1546" t="s">
        <v>203</v>
      </c>
      <c r="B1546">
        <v>10173</v>
      </c>
      <c r="C1546">
        <v>31</v>
      </c>
      <c r="D1546" s="21">
        <v>31.53</v>
      </c>
      <c r="E1546" s="22">
        <v>37930</v>
      </c>
      <c r="F1546" t="s">
        <v>13</v>
      </c>
      <c r="G1546" t="s">
        <v>202</v>
      </c>
      <c r="H1546">
        <v>4</v>
      </c>
      <c r="I1546">
        <v>2003</v>
      </c>
      <c r="J1546" t="s">
        <v>15</v>
      </c>
      <c r="K1546" t="s">
        <v>204</v>
      </c>
    </row>
    <row r="1547" spans="1:11">
      <c r="A1547" t="s">
        <v>103</v>
      </c>
      <c r="B1547">
        <v>10182</v>
      </c>
      <c r="C1547">
        <v>39</v>
      </c>
      <c r="D1547" s="21">
        <v>36.84</v>
      </c>
      <c r="E1547" s="22">
        <v>37937</v>
      </c>
      <c r="F1547" t="s">
        <v>13</v>
      </c>
      <c r="G1547" t="s">
        <v>202</v>
      </c>
      <c r="H1547">
        <v>4</v>
      </c>
      <c r="I1547">
        <v>2003</v>
      </c>
      <c r="J1547" t="s">
        <v>15</v>
      </c>
      <c r="K1547" t="s">
        <v>104</v>
      </c>
    </row>
    <row r="1548" spans="1:11">
      <c r="A1548" t="s">
        <v>205</v>
      </c>
      <c r="B1548">
        <v>10193</v>
      </c>
      <c r="C1548">
        <v>26</v>
      </c>
      <c r="D1548" s="21">
        <v>29.21</v>
      </c>
      <c r="E1548" s="22">
        <v>37946</v>
      </c>
      <c r="F1548" t="s">
        <v>13</v>
      </c>
      <c r="G1548" t="s">
        <v>202</v>
      </c>
      <c r="H1548">
        <v>4</v>
      </c>
      <c r="I1548">
        <v>2003</v>
      </c>
      <c r="J1548" t="s">
        <v>15</v>
      </c>
      <c r="K1548" t="s">
        <v>206</v>
      </c>
    </row>
    <row r="1549" spans="1:11">
      <c r="A1549" t="s">
        <v>69</v>
      </c>
      <c r="B1549">
        <v>10205</v>
      </c>
      <c r="C1549">
        <v>32</v>
      </c>
      <c r="D1549" s="21">
        <v>37.17</v>
      </c>
      <c r="E1549" s="22">
        <v>37958</v>
      </c>
      <c r="F1549" t="s">
        <v>13</v>
      </c>
      <c r="G1549" t="s">
        <v>202</v>
      </c>
      <c r="H1549">
        <v>4</v>
      </c>
      <c r="I1549">
        <v>2003</v>
      </c>
      <c r="J1549" t="s">
        <v>15</v>
      </c>
      <c r="K1549" t="s">
        <v>71</v>
      </c>
    </row>
    <row r="1550" spans="1:11">
      <c r="A1550" t="s">
        <v>75</v>
      </c>
      <c r="B1550">
        <v>10214</v>
      </c>
      <c r="C1550">
        <v>20</v>
      </c>
      <c r="D1550" s="21">
        <v>34.19</v>
      </c>
      <c r="E1550" s="22">
        <v>38012</v>
      </c>
      <c r="F1550" t="s">
        <v>13</v>
      </c>
      <c r="G1550" t="s">
        <v>202</v>
      </c>
      <c r="H1550">
        <v>1</v>
      </c>
      <c r="I1550">
        <v>2004</v>
      </c>
      <c r="J1550" t="s">
        <v>15</v>
      </c>
      <c r="K1550" t="s">
        <v>76</v>
      </c>
    </row>
    <row r="1551" spans="1:11">
      <c r="A1551" t="s">
        <v>85</v>
      </c>
      <c r="B1551">
        <v>10227</v>
      </c>
      <c r="C1551">
        <v>42</v>
      </c>
      <c r="D1551" s="21">
        <v>29.21</v>
      </c>
      <c r="E1551" s="22">
        <v>38048</v>
      </c>
      <c r="F1551" t="s">
        <v>13</v>
      </c>
      <c r="G1551" t="s">
        <v>202</v>
      </c>
      <c r="H1551">
        <v>1</v>
      </c>
      <c r="I1551">
        <v>2004</v>
      </c>
      <c r="J1551" t="s">
        <v>15</v>
      </c>
      <c r="K1551" t="s">
        <v>86</v>
      </c>
    </row>
    <row r="1552" spans="1:11">
      <c r="A1552" t="s">
        <v>157</v>
      </c>
      <c r="B1552">
        <v>10243</v>
      </c>
      <c r="C1552">
        <v>33</v>
      </c>
      <c r="D1552" s="21">
        <v>29.54</v>
      </c>
      <c r="E1552" s="22">
        <v>38103</v>
      </c>
      <c r="F1552" t="s">
        <v>13</v>
      </c>
      <c r="G1552" t="s">
        <v>202</v>
      </c>
      <c r="H1552">
        <v>2</v>
      </c>
      <c r="I1552">
        <v>2004</v>
      </c>
      <c r="J1552" t="s">
        <v>15</v>
      </c>
      <c r="K1552" t="s">
        <v>158</v>
      </c>
    </row>
    <row r="1553" spans="1:11">
      <c r="A1553" t="s">
        <v>97</v>
      </c>
      <c r="B1553">
        <v>10280</v>
      </c>
      <c r="C1553">
        <v>20</v>
      </c>
      <c r="D1553" s="21">
        <v>28.88</v>
      </c>
      <c r="E1553" s="22">
        <v>38216</v>
      </c>
      <c r="F1553" t="s">
        <v>13</v>
      </c>
      <c r="G1553" t="s">
        <v>202</v>
      </c>
      <c r="H1553">
        <v>3</v>
      </c>
      <c r="I1553">
        <v>2004</v>
      </c>
      <c r="J1553" t="s">
        <v>15</v>
      </c>
      <c r="K1553" t="s">
        <v>98</v>
      </c>
    </row>
    <row r="1554" spans="1:11">
      <c r="A1554" t="s">
        <v>159</v>
      </c>
      <c r="B1554">
        <v>10288</v>
      </c>
      <c r="C1554">
        <v>29</v>
      </c>
      <c r="D1554" s="21">
        <v>38.17</v>
      </c>
      <c r="E1554" s="22">
        <v>38231</v>
      </c>
      <c r="F1554" t="s">
        <v>13</v>
      </c>
      <c r="G1554" t="s">
        <v>202</v>
      </c>
      <c r="H1554">
        <v>3</v>
      </c>
      <c r="I1554">
        <v>2004</v>
      </c>
      <c r="J1554" t="s">
        <v>15</v>
      </c>
      <c r="K1554" t="s">
        <v>160</v>
      </c>
    </row>
    <row r="1555" spans="1:11">
      <c r="A1555" t="s">
        <v>101</v>
      </c>
      <c r="B1555">
        <v>10304</v>
      </c>
      <c r="C1555">
        <v>23</v>
      </c>
      <c r="D1555" s="21">
        <v>30.2</v>
      </c>
      <c r="E1555" s="22">
        <v>38271</v>
      </c>
      <c r="F1555" t="s">
        <v>13</v>
      </c>
      <c r="G1555" t="s">
        <v>202</v>
      </c>
      <c r="H1555">
        <v>4</v>
      </c>
      <c r="I1555">
        <v>2004</v>
      </c>
      <c r="J1555" t="s">
        <v>15</v>
      </c>
      <c r="K1555" t="s">
        <v>102</v>
      </c>
    </row>
    <row r="1556" spans="1:11">
      <c r="A1556" t="s">
        <v>103</v>
      </c>
      <c r="B1556">
        <v>10312</v>
      </c>
      <c r="C1556">
        <v>39</v>
      </c>
      <c r="D1556" s="21">
        <v>29.54</v>
      </c>
      <c r="E1556" s="22">
        <v>38281</v>
      </c>
      <c r="F1556" t="s">
        <v>13</v>
      </c>
      <c r="G1556" t="s">
        <v>202</v>
      </c>
      <c r="H1556">
        <v>4</v>
      </c>
      <c r="I1556">
        <v>2004</v>
      </c>
      <c r="J1556" t="s">
        <v>15</v>
      </c>
      <c r="K1556" t="s">
        <v>104</v>
      </c>
    </row>
    <row r="1557" spans="1:11">
      <c r="A1557" t="s">
        <v>105</v>
      </c>
      <c r="B1557">
        <v>10322</v>
      </c>
      <c r="C1557">
        <v>20</v>
      </c>
      <c r="D1557" s="21">
        <v>100</v>
      </c>
      <c r="E1557" s="22">
        <v>38295</v>
      </c>
      <c r="F1557" t="s">
        <v>13</v>
      </c>
      <c r="G1557" t="s">
        <v>202</v>
      </c>
      <c r="H1557">
        <v>4</v>
      </c>
      <c r="I1557">
        <v>2004</v>
      </c>
      <c r="J1557" t="s">
        <v>15</v>
      </c>
      <c r="K1557" t="s">
        <v>106</v>
      </c>
    </row>
    <row r="1558" spans="1:11">
      <c r="A1558" t="s">
        <v>183</v>
      </c>
      <c r="B1558">
        <v>10332</v>
      </c>
      <c r="C1558">
        <v>45</v>
      </c>
      <c r="D1558" s="21">
        <v>81.91</v>
      </c>
      <c r="E1558" s="22">
        <v>38308</v>
      </c>
      <c r="F1558" t="s">
        <v>13</v>
      </c>
      <c r="G1558" t="s">
        <v>202</v>
      </c>
      <c r="H1558">
        <v>4</v>
      </c>
      <c r="I1558">
        <v>2004</v>
      </c>
      <c r="J1558" t="s">
        <v>22</v>
      </c>
      <c r="K1558" t="s">
        <v>184</v>
      </c>
    </row>
    <row r="1559" spans="1:11">
      <c r="A1559" t="s">
        <v>163</v>
      </c>
      <c r="B1559">
        <v>10344</v>
      </c>
      <c r="C1559">
        <v>20</v>
      </c>
      <c r="D1559" s="21">
        <v>35.18</v>
      </c>
      <c r="E1559" s="22">
        <v>38316</v>
      </c>
      <c r="F1559" t="s">
        <v>13</v>
      </c>
      <c r="G1559" t="s">
        <v>202</v>
      </c>
      <c r="H1559">
        <v>4</v>
      </c>
      <c r="I1559">
        <v>2004</v>
      </c>
      <c r="J1559" t="s">
        <v>15</v>
      </c>
      <c r="K1559" t="s">
        <v>164</v>
      </c>
    </row>
    <row r="1560" spans="1:11">
      <c r="A1560" t="s">
        <v>21</v>
      </c>
      <c r="B1560">
        <v>10356</v>
      </c>
      <c r="C1560">
        <v>48</v>
      </c>
      <c r="D1560" s="21">
        <v>100</v>
      </c>
      <c r="E1560" s="22">
        <v>38330</v>
      </c>
      <c r="F1560" t="s">
        <v>13</v>
      </c>
      <c r="G1560" t="s">
        <v>202</v>
      </c>
      <c r="H1560">
        <v>4</v>
      </c>
      <c r="I1560">
        <v>2004</v>
      </c>
      <c r="J1560" t="s">
        <v>61</v>
      </c>
      <c r="K1560" t="s">
        <v>23</v>
      </c>
    </row>
    <row r="1561" spans="1:11">
      <c r="A1561" t="s">
        <v>25</v>
      </c>
      <c r="B1561">
        <v>10367</v>
      </c>
      <c r="C1561">
        <v>23</v>
      </c>
      <c r="D1561" s="21">
        <v>36.29</v>
      </c>
      <c r="E1561" s="22">
        <v>38364</v>
      </c>
      <c r="F1561" t="s">
        <v>155</v>
      </c>
      <c r="G1561" t="s">
        <v>202</v>
      </c>
      <c r="H1561">
        <v>1</v>
      </c>
      <c r="I1561">
        <v>2005</v>
      </c>
      <c r="J1561" t="s">
        <v>15</v>
      </c>
      <c r="K1561" t="s">
        <v>26</v>
      </c>
    </row>
    <row r="1562" spans="1:11">
      <c r="A1562" t="s">
        <v>69</v>
      </c>
      <c r="B1562">
        <v>10380</v>
      </c>
      <c r="C1562">
        <v>32</v>
      </c>
      <c r="D1562" s="21">
        <v>70.56</v>
      </c>
      <c r="E1562" s="22">
        <v>38399</v>
      </c>
      <c r="F1562" t="s">
        <v>13</v>
      </c>
      <c r="G1562" t="s">
        <v>202</v>
      </c>
      <c r="H1562">
        <v>1</v>
      </c>
      <c r="I1562">
        <v>2005</v>
      </c>
      <c r="J1562" t="s">
        <v>15</v>
      </c>
      <c r="K1562" t="s">
        <v>71</v>
      </c>
    </row>
    <row r="1563" spans="1:11">
      <c r="A1563" t="s">
        <v>109</v>
      </c>
      <c r="B1563">
        <v>10391</v>
      </c>
      <c r="C1563">
        <v>33</v>
      </c>
      <c r="D1563" s="21">
        <v>100</v>
      </c>
      <c r="E1563" s="22">
        <v>38420</v>
      </c>
      <c r="F1563" t="s">
        <v>13</v>
      </c>
      <c r="G1563" t="s">
        <v>202</v>
      </c>
      <c r="H1563">
        <v>1</v>
      </c>
      <c r="I1563">
        <v>2005</v>
      </c>
      <c r="J1563" t="s">
        <v>61</v>
      </c>
      <c r="K1563" t="s">
        <v>110</v>
      </c>
    </row>
    <row r="1564" spans="1:11">
      <c r="A1564" t="s">
        <v>159</v>
      </c>
      <c r="B1564">
        <v>10409</v>
      </c>
      <c r="C1564">
        <v>61</v>
      </c>
      <c r="D1564" s="21">
        <v>29.54</v>
      </c>
      <c r="E1564" s="22">
        <v>38465</v>
      </c>
      <c r="F1564" t="s">
        <v>13</v>
      </c>
      <c r="G1564" t="s">
        <v>202</v>
      </c>
      <c r="H1564">
        <v>2</v>
      </c>
      <c r="I1564">
        <v>2005</v>
      </c>
      <c r="J1564" t="s">
        <v>15</v>
      </c>
      <c r="K1564" t="s">
        <v>160</v>
      </c>
    </row>
    <row r="1565" spans="1:11">
      <c r="A1565" t="s">
        <v>63</v>
      </c>
      <c r="B1565">
        <v>10420</v>
      </c>
      <c r="C1565">
        <v>45</v>
      </c>
      <c r="D1565" s="21">
        <v>26.88</v>
      </c>
      <c r="E1565" s="22">
        <v>38501</v>
      </c>
      <c r="F1565" t="s">
        <v>113</v>
      </c>
      <c r="G1565" t="s">
        <v>202</v>
      </c>
      <c r="H1565">
        <v>2</v>
      </c>
      <c r="I1565">
        <v>2005</v>
      </c>
      <c r="J1565" t="s">
        <v>15</v>
      </c>
      <c r="K1565" t="s">
        <v>64</v>
      </c>
    </row>
    <row r="1566" spans="1:11">
      <c r="A1566" t="s">
        <v>12</v>
      </c>
      <c r="B1566">
        <v>10107</v>
      </c>
      <c r="C1566">
        <v>38</v>
      </c>
      <c r="D1566" s="21">
        <v>83.03</v>
      </c>
      <c r="E1566" s="22">
        <v>37676</v>
      </c>
      <c r="F1566" t="s">
        <v>13</v>
      </c>
      <c r="G1566" t="s">
        <v>14</v>
      </c>
      <c r="H1566">
        <v>1</v>
      </c>
      <c r="I1566">
        <v>2003</v>
      </c>
      <c r="J1566" t="s">
        <v>22</v>
      </c>
      <c r="K1566" t="s">
        <v>16</v>
      </c>
    </row>
    <row r="1567" spans="1:11">
      <c r="A1567" t="s">
        <v>42</v>
      </c>
      <c r="B1567">
        <v>10120</v>
      </c>
      <c r="C1567">
        <v>34</v>
      </c>
      <c r="D1567" s="21">
        <v>83.79</v>
      </c>
      <c r="E1567" s="22">
        <v>37740</v>
      </c>
      <c r="F1567" t="s">
        <v>13</v>
      </c>
      <c r="G1567" t="s">
        <v>14</v>
      </c>
      <c r="H1567">
        <v>2</v>
      </c>
      <c r="I1567">
        <v>2003</v>
      </c>
      <c r="J1567" t="s">
        <v>15</v>
      </c>
      <c r="K1567" t="s">
        <v>43</v>
      </c>
    </row>
    <row r="1568" spans="1:11">
      <c r="A1568" t="s">
        <v>21</v>
      </c>
      <c r="B1568">
        <v>10134</v>
      </c>
      <c r="C1568">
        <v>43</v>
      </c>
      <c r="D1568" s="21">
        <v>83.03</v>
      </c>
      <c r="E1568" s="22">
        <v>37803</v>
      </c>
      <c r="F1568" t="s">
        <v>13</v>
      </c>
      <c r="G1568" t="s">
        <v>14</v>
      </c>
      <c r="H1568">
        <v>3</v>
      </c>
      <c r="I1568">
        <v>2003</v>
      </c>
      <c r="J1568" t="s">
        <v>22</v>
      </c>
      <c r="K1568" t="s">
        <v>23</v>
      </c>
    </row>
    <row r="1569" spans="1:11">
      <c r="A1569" t="s">
        <v>25</v>
      </c>
      <c r="B1569">
        <v>10145</v>
      </c>
      <c r="C1569">
        <v>47</v>
      </c>
      <c r="D1569" s="21">
        <v>83.03</v>
      </c>
      <c r="E1569" s="22">
        <v>37858</v>
      </c>
      <c r="F1569" t="s">
        <v>13</v>
      </c>
      <c r="G1569" t="s">
        <v>14</v>
      </c>
      <c r="H1569">
        <v>3</v>
      </c>
      <c r="I1569">
        <v>2003</v>
      </c>
      <c r="J1569" t="s">
        <v>22</v>
      </c>
      <c r="K1569" t="s">
        <v>26</v>
      </c>
    </row>
    <row r="1570" spans="1:11">
      <c r="A1570" t="s">
        <v>56</v>
      </c>
      <c r="B1570">
        <v>10158</v>
      </c>
      <c r="C1570">
        <v>22</v>
      </c>
      <c r="D1570" s="21">
        <v>67.03</v>
      </c>
      <c r="E1570" s="22">
        <v>37904</v>
      </c>
      <c r="F1570" t="s">
        <v>13</v>
      </c>
      <c r="G1570" t="s">
        <v>14</v>
      </c>
      <c r="H1570">
        <v>4</v>
      </c>
      <c r="I1570">
        <v>2003</v>
      </c>
      <c r="J1570" t="s">
        <v>15</v>
      </c>
      <c r="K1570" t="s">
        <v>57</v>
      </c>
    </row>
    <row r="1571" spans="1:11">
      <c r="A1571" t="s">
        <v>31</v>
      </c>
      <c r="B1571">
        <v>10168</v>
      </c>
      <c r="C1571">
        <v>29</v>
      </c>
      <c r="D1571" s="21">
        <v>75.41</v>
      </c>
      <c r="E1571" s="22">
        <v>37922</v>
      </c>
      <c r="F1571" t="s">
        <v>13</v>
      </c>
      <c r="G1571" t="s">
        <v>14</v>
      </c>
      <c r="H1571">
        <v>4</v>
      </c>
      <c r="I1571">
        <v>2003</v>
      </c>
      <c r="J1571" t="s">
        <v>15</v>
      </c>
      <c r="K1571" t="s">
        <v>32</v>
      </c>
    </row>
    <row r="1572" spans="1:11">
      <c r="A1572" t="s">
        <v>34</v>
      </c>
      <c r="B1572">
        <v>10180</v>
      </c>
      <c r="C1572">
        <v>28</v>
      </c>
      <c r="D1572" s="21">
        <v>68.55</v>
      </c>
      <c r="E1572" s="22">
        <v>37936</v>
      </c>
      <c r="F1572" t="s">
        <v>13</v>
      </c>
      <c r="G1572" t="s">
        <v>14</v>
      </c>
      <c r="H1572">
        <v>4</v>
      </c>
      <c r="I1572">
        <v>2003</v>
      </c>
      <c r="J1572" t="s">
        <v>15</v>
      </c>
      <c r="K1572" t="s">
        <v>35</v>
      </c>
    </row>
    <row r="1573" spans="1:11">
      <c r="A1573" t="s">
        <v>36</v>
      </c>
      <c r="B1573">
        <v>10188</v>
      </c>
      <c r="C1573">
        <v>40</v>
      </c>
      <c r="D1573" s="21">
        <v>91.4</v>
      </c>
      <c r="E1573" s="22">
        <v>37943</v>
      </c>
      <c r="F1573" t="s">
        <v>13</v>
      </c>
      <c r="G1573" t="s">
        <v>14</v>
      </c>
      <c r="H1573">
        <v>4</v>
      </c>
      <c r="I1573">
        <v>2003</v>
      </c>
      <c r="J1573" t="s">
        <v>22</v>
      </c>
      <c r="K1573" t="s">
        <v>37</v>
      </c>
    </row>
    <row r="1574" spans="1:11">
      <c r="A1574" t="s">
        <v>38</v>
      </c>
      <c r="B1574">
        <v>10201</v>
      </c>
      <c r="C1574">
        <v>25</v>
      </c>
      <c r="D1574" s="21">
        <v>73.88</v>
      </c>
      <c r="E1574" s="22">
        <v>37956</v>
      </c>
      <c r="F1574" t="s">
        <v>13</v>
      </c>
      <c r="G1574" t="s">
        <v>14</v>
      </c>
      <c r="H1574">
        <v>4</v>
      </c>
      <c r="I1574">
        <v>2003</v>
      </c>
      <c r="J1574" t="s">
        <v>15</v>
      </c>
      <c r="K1574" t="s">
        <v>39</v>
      </c>
    </row>
    <row r="1575" spans="1:11">
      <c r="A1575" t="s">
        <v>114</v>
      </c>
      <c r="B1575">
        <v>10210</v>
      </c>
      <c r="C1575">
        <v>30</v>
      </c>
      <c r="D1575" s="21">
        <v>61.7</v>
      </c>
      <c r="E1575" s="22">
        <v>37998</v>
      </c>
      <c r="F1575" t="s">
        <v>13</v>
      </c>
      <c r="G1575" t="s">
        <v>14</v>
      </c>
      <c r="H1575">
        <v>1</v>
      </c>
      <c r="I1575">
        <v>2004</v>
      </c>
      <c r="J1575" t="s">
        <v>15</v>
      </c>
      <c r="K1575" t="s">
        <v>115</v>
      </c>
    </row>
    <row r="1576" spans="1:11">
      <c r="A1576" t="s">
        <v>42</v>
      </c>
      <c r="B1576">
        <v>10223</v>
      </c>
      <c r="C1576">
        <v>38</v>
      </c>
      <c r="D1576" s="21">
        <v>69.31</v>
      </c>
      <c r="E1576" s="22">
        <v>38037</v>
      </c>
      <c r="F1576" t="s">
        <v>13</v>
      </c>
      <c r="G1576" t="s">
        <v>14</v>
      </c>
      <c r="H1576">
        <v>1</v>
      </c>
      <c r="I1576">
        <v>2004</v>
      </c>
      <c r="J1576" t="s">
        <v>15</v>
      </c>
      <c r="K1576" t="s">
        <v>43</v>
      </c>
    </row>
    <row r="1577" spans="1:11">
      <c r="A1577" t="s">
        <v>116</v>
      </c>
      <c r="B1577">
        <v>10236</v>
      </c>
      <c r="C1577">
        <v>36</v>
      </c>
      <c r="D1577" s="21">
        <v>87.6</v>
      </c>
      <c r="E1577" s="22">
        <v>38080</v>
      </c>
      <c r="F1577" t="s">
        <v>13</v>
      </c>
      <c r="G1577" t="s">
        <v>14</v>
      </c>
      <c r="H1577">
        <v>2</v>
      </c>
      <c r="I1577">
        <v>2004</v>
      </c>
      <c r="J1577" t="s">
        <v>22</v>
      </c>
      <c r="K1577" t="s">
        <v>117</v>
      </c>
    </row>
    <row r="1578" spans="1:11">
      <c r="A1578" t="s">
        <v>149</v>
      </c>
      <c r="B1578">
        <v>10250</v>
      </c>
      <c r="C1578">
        <v>32</v>
      </c>
      <c r="D1578" s="21">
        <v>87.6</v>
      </c>
      <c r="E1578" s="22">
        <v>38118</v>
      </c>
      <c r="F1578" t="s">
        <v>13</v>
      </c>
      <c r="G1578" t="s">
        <v>14</v>
      </c>
      <c r="H1578">
        <v>2</v>
      </c>
      <c r="I1578">
        <v>2004</v>
      </c>
      <c r="J1578" t="s">
        <v>15</v>
      </c>
      <c r="K1578" t="s">
        <v>150</v>
      </c>
    </row>
    <row r="1579" spans="1:11">
      <c r="A1579" t="s">
        <v>48</v>
      </c>
      <c r="B1579">
        <v>10263</v>
      </c>
      <c r="C1579">
        <v>37</v>
      </c>
      <c r="D1579" s="21">
        <v>62.46</v>
      </c>
      <c r="E1579" s="22">
        <v>38166</v>
      </c>
      <c r="F1579" t="s">
        <v>13</v>
      </c>
      <c r="G1579" t="s">
        <v>14</v>
      </c>
      <c r="H1579">
        <v>2</v>
      </c>
      <c r="I1579">
        <v>2004</v>
      </c>
      <c r="J1579" t="s">
        <v>15</v>
      </c>
      <c r="K1579" t="s">
        <v>49</v>
      </c>
    </row>
    <row r="1580" spans="1:11">
      <c r="A1580" t="s">
        <v>50</v>
      </c>
      <c r="B1580">
        <v>10275</v>
      </c>
      <c r="C1580">
        <v>30</v>
      </c>
      <c r="D1580" s="21">
        <v>79.98</v>
      </c>
      <c r="E1580" s="22">
        <v>38191</v>
      </c>
      <c r="F1580" t="s">
        <v>13</v>
      </c>
      <c r="G1580" t="s">
        <v>14</v>
      </c>
      <c r="H1580">
        <v>3</v>
      </c>
      <c r="I1580">
        <v>2004</v>
      </c>
      <c r="J1580" t="s">
        <v>15</v>
      </c>
      <c r="K1580" t="s">
        <v>51</v>
      </c>
    </row>
    <row r="1581" spans="1:11">
      <c r="A1581" t="s">
        <v>52</v>
      </c>
      <c r="B1581">
        <v>10285</v>
      </c>
      <c r="C1581">
        <v>39</v>
      </c>
      <c r="D1581" s="21">
        <v>70.08</v>
      </c>
      <c r="E1581" s="22">
        <v>38226</v>
      </c>
      <c r="F1581" t="s">
        <v>13</v>
      </c>
      <c r="G1581" t="s">
        <v>14</v>
      </c>
      <c r="H1581">
        <v>3</v>
      </c>
      <c r="I1581">
        <v>2004</v>
      </c>
      <c r="J1581" t="s">
        <v>15</v>
      </c>
      <c r="K1581" t="s">
        <v>53</v>
      </c>
    </row>
    <row r="1582" spans="1:11">
      <c r="A1582" t="s">
        <v>179</v>
      </c>
      <c r="B1582">
        <v>10297</v>
      </c>
      <c r="C1582">
        <v>32</v>
      </c>
      <c r="D1582" s="21">
        <v>65.51</v>
      </c>
      <c r="E1582" s="22">
        <v>38246</v>
      </c>
      <c r="F1582" t="s">
        <v>13</v>
      </c>
      <c r="G1582" t="s">
        <v>14</v>
      </c>
      <c r="H1582">
        <v>3</v>
      </c>
      <c r="I1582">
        <v>2004</v>
      </c>
      <c r="J1582" t="s">
        <v>15</v>
      </c>
      <c r="K1582" t="s">
        <v>180</v>
      </c>
    </row>
    <row r="1583" spans="1:11">
      <c r="A1583" t="s">
        <v>120</v>
      </c>
      <c r="B1583">
        <v>10308</v>
      </c>
      <c r="C1583">
        <v>47</v>
      </c>
      <c r="D1583" s="21">
        <v>63.22</v>
      </c>
      <c r="E1583" s="22">
        <v>38275</v>
      </c>
      <c r="F1583" t="s">
        <v>13</v>
      </c>
      <c r="G1583" t="s">
        <v>14</v>
      </c>
      <c r="H1583">
        <v>4</v>
      </c>
      <c r="I1583">
        <v>2004</v>
      </c>
      <c r="J1583" t="s">
        <v>15</v>
      </c>
      <c r="K1583" t="s">
        <v>121</v>
      </c>
    </row>
    <row r="1584" spans="1:11">
      <c r="A1584" t="s">
        <v>58</v>
      </c>
      <c r="B1584">
        <v>10318</v>
      </c>
      <c r="C1584">
        <v>26</v>
      </c>
      <c r="D1584" s="21">
        <v>86.83</v>
      </c>
      <c r="E1584" s="22">
        <v>38293</v>
      </c>
      <c r="F1584" t="s">
        <v>13</v>
      </c>
      <c r="G1584" t="s">
        <v>14</v>
      </c>
      <c r="H1584">
        <v>4</v>
      </c>
      <c r="I1584">
        <v>2004</v>
      </c>
      <c r="J1584" t="s">
        <v>15</v>
      </c>
      <c r="K1584" t="s">
        <v>59</v>
      </c>
    </row>
    <row r="1585" spans="1:11">
      <c r="A1585" t="s">
        <v>12</v>
      </c>
      <c r="B1585">
        <v>10329</v>
      </c>
      <c r="C1585">
        <v>37</v>
      </c>
      <c r="D1585" s="21">
        <v>94.43</v>
      </c>
      <c r="E1585" s="22">
        <v>38306</v>
      </c>
      <c r="F1585" t="s">
        <v>13</v>
      </c>
      <c r="G1585" t="s">
        <v>14</v>
      </c>
      <c r="H1585">
        <v>4</v>
      </c>
      <c r="I1585">
        <v>2004</v>
      </c>
      <c r="J1585" t="s">
        <v>22</v>
      </c>
      <c r="K1585" t="s">
        <v>16</v>
      </c>
    </row>
    <row r="1586" spans="1:11">
      <c r="A1586" t="s">
        <v>133</v>
      </c>
      <c r="B1586">
        <v>10340</v>
      </c>
      <c r="C1586">
        <v>55</v>
      </c>
      <c r="D1586" s="21">
        <v>79.98</v>
      </c>
      <c r="E1586" s="22">
        <v>38315</v>
      </c>
      <c r="F1586" t="s">
        <v>13</v>
      </c>
      <c r="G1586" t="s">
        <v>14</v>
      </c>
      <c r="H1586">
        <v>4</v>
      </c>
      <c r="I1586">
        <v>2004</v>
      </c>
      <c r="J1586" t="s">
        <v>22</v>
      </c>
      <c r="K1586" t="s">
        <v>134</v>
      </c>
    </row>
    <row r="1587" spans="1:11">
      <c r="A1587" t="s">
        <v>175</v>
      </c>
      <c r="B1587">
        <v>10363</v>
      </c>
      <c r="C1587">
        <v>21</v>
      </c>
      <c r="D1587" s="21">
        <v>100</v>
      </c>
      <c r="E1587" s="22">
        <v>38358</v>
      </c>
      <c r="F1587" t="s">
        <v>13</v>
      </c>
      <c r="G1587" t="s">
        <v>14</v>
      </c>
      <c r="H1587">
        <v>1</v>
      </c>
      <c r="I1587">
        <v>2005</v>
      </c>
      <c r="J1587" t="s">
        <v>22</v>
      </c>
      <c r="K1587" t="s">
        <v>176</v>
      </c>
    </row>
    <row r="1588" spans="1:11">
      <c r="A1588" t="s">
        <v>50</v>
      </c>
      <c r="B1588">
        <v>10375</v>
      </c>
      <c r="C1588">
        <v>23</v>
      </c>
      <c r="D1588" s="21">
        <v>100</v>
      </c>
      <c r="E1588" s="22">
        <v>38386</v>
      </c>
      <c r="F1588" t="s">
        <v>13</v>
      </c>
      <c r="G1588" t="s">
        <v>14</v>
      </c>
      <c r="H1588">
        <v>1</v>
      </c>
      <c r="I1588">
        <v>2005</v>
      </c>
      <c r="J1588" t="s">
        <v>15</v>
      </c>
      <c r="K1588" t="s">
        <v>51</v>
      </c>
    </row>
    <row r="1589" spans="1:11">
      <c r="A1589" t="s">
        <v>99</v>
      </c>
      <c r="B1589">
        <v>10389</v>
      </c>
      <c r="C1589">
        <v>49</v>
      </c>
      <c r="D1589" s="21">
        <v>81.4</v>
      </c>
      <c r="E1589" s="22">
        <v>38414</v>
      </c>
      <c r="F1589" t="s">
        <v>13</v>
      </c>
      <c r="G1589" t="s">
        <v>14</v>
      </c>
      <c r="H1589">
        <v>1</v>
      </c>
      <c r="I1589">
        <v>2005</v>
      </c>
      <c r="J1589" t="s">
        <v>22</v>
      </c>
      <c r="K1589" t="s">
        <v>100</v>
      </c>
    </row>
    <row r="1590" spans="1:11">
      <c r="A1590" t="s">
        <v>40</v>
      </c>
      <c r="B1590">
        <v>10402</v>
      </c>
      <c r="C1590">
        <v>59</v>
      </c>
      <c r="D1590" s="21">
        <v>87.6</v>
      </c>
      <c r="E1590" s="22">
        <v>38449</v>
      </c>
      <c r="F1590" t="s">
        <v>13</v>
      </c>
      <c r="G1590" t="s">
        <v>14</v>
      </c>
      <c r="H1590">
        <v>2</v>
      </c>
      <c r="I1590">
        <v>2005</v>
      </c>
      <c r="J1590" t="s">
        <v>22</v>
      </c>
      <c r="K1590" t="s">
        <v>41</v>
      </c>
    </row>
    <row r="1591" spans="1:11">
      <c r="A1591" t="s">
        <v>169</v>
      </c>
      <c r="B1591">
        <v>10416</v>
      </c>
      <c r="C1591">
        <v>32</v>
      </c>
      <c r="D1591" s="21">
        <v>87.6</v>
      </c>
      <c r="E1591" s="22">
        <v>38482</v>
      </c>
      <c r="F1591" t="s">
        <v>13</v>
      </c>
      <c r="G1591" t="s">
        <v>14</v>
      </c>
      <c r="H1591">
        <v>2</v>
      </c>
      <c r="I1591">
        <v>2005</v>
      </c>
      <c r="J1591" t="s">
        <v>15</v>
      </c>
      <c r="K1591" t="s">
        <v>170</v>
      </c>
    </row>
    <row r="1592" spans="1:11">
      <c r="A1592" t="s">
        <v>122</v>
      </c>
      <c r="B1592">
        <v>10105</v>
      </c>
      <c r="C1592">
        <v>43</v>
      </c>
      <c r="D1592" s="21">
        <v>100</v>
      </c>
      <c r="E1592" s="22">
        <v>37663</v>
      </c>
      <c r="F1592" t="s">
        <v>13</v>
      </c>
      <c r="G1592" t="s">
        <v>214</v>
      </c>
      <c r="H1592">
        <v>1</v>
      </c>
      <c r="I1592">
        <v>2003</v>
      </c>
      <c r="J1592" t="s">
        <v>22</v>
      </c>
      <c r="K1592" t="s">
        <v>123</v>
      </c>
    </row>
    <row r="1593" spans="1:11">
      <c r="A1593" t="s">
        <v>77</v>
      </c>
      <c r="B1593">
        <v>10117</v>
      </c>
      <c r="C1593">
        <v>41</v>
      </c>
      <c r="D1593" s="21">
        <v>100</v>
      </c>
      <c r="E1593" s="22">
        <v>37727</v>
      </c>
      <c r="F1593" t="s">
        <v>13</v>
      </c>
      <c r="G1593" t="s">
        <v>214</v>
      </c>
      <c r="H1593">
        <v>2</v>
      </c>
      <c r="I1593">
        <v>2003</v>
      </c>
      <c r="J1593" t="s">
        <v>22</v>
      </c>
      <c r="K1593" t="s">
        <v>78</v>
      </c>
    </row>
    <row r="1594" spans="1:11">
      <c r="A1594" t="s">
        <v>124</v>
      </c>
      <c r="B1594">
        <v>10129</v>
      </c>
      <c r="C1594">
        <v>45</v>
      </c>
      <c r="D1594" s="21">
        <v>100</v>
      </c>
      <c r="E1594" s="22">
        <v>37784</v>
      </c>
      <c r="F1594" t="s">
        <v>13</v>
      </c>
      <c r="G1594" t="s">
        <v>214</v>
      </c>
      <c r="H1594">
        <v>2</v>
      </c>
      <c r="I1594">
        <v>2003</v>
      </c>
      <c r="J1594" t="s">
        <v>22</v>
      </c>
      <c r="K1594" t="s">
        <v>125</v>
      </c>
    </row>
    <row r="1595" spans="1:11">
      <c r="A1595" t="s">
        <v>103</v>
      </c>
      <c r="B1595">
        <v>10142</v>
      </c>
      <c r="C1595">
        <v>33</v>
      </c>
      <c r="D1595" s="21">
        <v>100</v>
      </c>
      <c r="E1595" s="22">
        <v>37841</v>
      </c>
      <c r="F1595" t="s">
        <v>13</v>
      </c>
      <c r="G1595" t="s">
        <v>214</v>
      </c>
      <c r="H1595">
        <v>3</v>
      </c>
      <c r="I1595">
        <v>2003</v>
      </c>
      <c r="J1595" t="s">
        <v>22</v>
      </c>
      <c r="K1595" t="s">
        <v>104</v>
      </c>
    </row>
    <row r="1596" spans="1:11">
      <c r="A1596" t="s">
        <v>69</v>
      </c>
      <c r="B1596">
        <v>10153</v>
      </c>
      <c r="C1596">
        <v>40</v>
      </c>
      <c r="D1596" s="21">
        <v>100</v>
      </c>
      <c r="E1596" s="22">
        <v>37892</v>
      </c>
      <c r="F1596" t="s">
        <v>13</v>
      </c>
      <c r="G1596" t="s">
        <v>214</v>
      </c>
      <c r="H1596">
        <v>3</v>
      </c>
      <c r="I1596">
        <v>2003</v>
      </c>
      <c r="J1596" t="s">
        <v>22</v>
      </c>
      <c r="K1596" t="s">
        <v>71</v>
      </c>
    </row>
    <row r="1597" spans="1:11">
      <c r="A1597" t="s">
        <v>99</v>
      </c>
      <c r="B1597">
        <v>10167</v>
      </c>
      <c r="C1597">
        <v>33</v>
      </c>
      <c r="D1597" s="21">
        <v>100</v>
      </c>
      <c r="E1597" s="22">
        <v>37917</v>
      </c>
      <c r="F1597" t="s">
        <v>128</v>
      </c>
      <c r="G1597" t="s">
        <v>214</v>
      </c>
      <c r="H1597">
        <v>4</v>
      </c>
      <c r="I1597">
        <v>2003</v>
      </c>
      <c r="J1597" t="s">
        <v>22</v>
      </c>
      <c r="K1597" t="s">
        <v>100</v>
      </c>
    </row>
    <row r="1598" spans="1:11">
      <c r="A1598" t="s">
        <v>181</v>
      </c>
      <c r="B1598">
        <v>10177</v>
      </c>
      <c r="C1598">
        <v>50</v>
      </c>
      <c r="D1598" s="21">
        <v>100</v>
      </c>
      <c r="E1598" s="22">
        <v>37932</v>
      </c>
      <c r="F1598" t="s">
        <v>13</v>
      </c>
      <c r="G1598" t="s">
        <v>214</v>
      </c>
      <c r="H1598">
        <v>4</v>
      </c>
      <c r="I1598">
        <v>2003</v>
      </c>
      <c r="J1598" t="s">
        <v>22</v>
      </c>
      <c r="K1598" t="s">
        <v>182</v>
      </c>
    </row>
    <row r="1599" spans="1:11">
      <c r="A1599" t="s">
        <v>126</v>
      </c>
      <c r="B1599">
        <v>10185</v>
      </c>
      <c r="C1599">
        <v>30</v>
      </c>
      <c r="D1599" s="21">
        <v>100</v>
      </c>
      <c r="E1599" s="22">
        <v>37939</v>
      </c>
      <c r="F1599" t="s">
        <v>13</v>
      </c>
      <c r="G1599" t="s">
        <v>214</v>
      </c>
      <c r="H1599">
        <v>4</v>
      </c>
      <c r="I1599">
        <v>2003</v>
      </c>
      <c r="J1599" t="s">
        <v>22</v>
      </c>
      <c r="K1599" t="s">
        <v>127</v>
      </c>
    </row>
    <row r="1600" spans="1:11">
      <c r="A1600" t="s">
        <v>133</v>
      </c>
      <c r="B1600">
        <v>10197</v>
      </c>
      <c r="C1600">
        <v>41</v>
      </c>
      <c r="D1600" s="21">
        <v>100</v>
      </c>
      <c r="E1600" s="22">
        <v>37951</v>
      </c>
      <c r="F1600" t="s">
        <v>13</v>
      </c>
      <c r="G1600" t="s">
        <v>214</v>
      </c>
      <c r="H1600">
        <v>4</v>
      </c>
      <c r="I1600">
        <v>2003</v>
      </c>
      <c r="J1600" t="s">
        <v>22</v>
      </c>
      <c r="K1600" t="s">
        <v>134</v>
      </c>
    </row>
    <row r="1601" spans="1:11">
      <c r="A1601" t="s">
        <v>85</v>
      </c>
      <c r="B1601">
        <v>10208</v>
      </c>
      <c r="C1601">
        <v>35</v>
      </c>
      <c r="D1601" s="21">
        <v>100</v>
      </c>
      <c r="E1601" s="22">
        <v>37988</v>
      </c>
      <c r="F1601" t="s">
        <v>13</v>
      </c>
      <c r="G1601" t="s">
        <v>214</v>
      </c>
      <c r="H1601">
        <v>1</v>
      </c>
      <c r="I1601">
        <v>2004</v>
      </c>
      <c r="J1601" t="s">
        <v>22</v>
      </c>
      <c r="K1601" t="s">
        <v>86</v>
      </c>
    </row>
    <row r="1602" spans="1:11">
      <c r="A1602" t="s">
        <v>139</v>
      </c>
      <c r="B1602">
        <v>10221</v>
      </c>
      <c r="C1602">
        <v>49</v>
      </c>
      <c r="D1602" s="21">
        <v>100</v>
      </c>
      <c r="E1602" s="22">
        <v>38035</v>
      </c>
      <c r="F1602" t="s">
        <v>13</v>
      </c>
      <c r="G1602" t="s">
        <v>214</v>
      </c>
      <c r="H1602">
        <v>1</v>
      </c>
      <c r="I1602">
        <v>2004</v>
      </c>
      <c r="J1602" t="s">
        <v>22</v>
      </c>
      <c r="K1602" t="s">
        <v>140</v>
      </c>
    </row>
    <row r="1603" spans="1:11">
      <c r="A1603" t="s">
        <v>145</v>
      </c>
      <c r="B1603">
        <v>10232</v>
      </c>
      <c r="C1603">
        <v>46</v>
      </c>
      <c r="D1603" s="21">
        <v>100</v>
      </c>
      <c r="E1603" s="22">
        <v>38066</v>
      </c>
      <c r="F1603" t="s">
        <v>13</v>
      </c>
      <c r="G1603" t="s">
        <v>214</v>
      </c>
      <c r="H1603">
        <v>1</v>
      </c>
      <c r="I1603">
        <v>2004</v>
      </c>
      <c r="J1603" t="s">
        <v>22</v>
      </c>
      <c r="K1603" t="s">
        <v>146</v>
      </c>
    </row>
    <row r="1604" spans="1:11">
      <c r="A1604" t="s">
        <v>12</v>
      </c>
      <c r="B1604">
        <v>10248</v>
      </c>
      <c r="C1604">
        <v>48</v>
      </c>
      <c r="D1604" s="21">
        <v>100</v>
      </c>
      <c r="E1604" s="22">
        <v>38114</v>
      </c>
      <c r="F1604" t="s">
        <v>128</v>
      </c>
      <c r="G1604" t="s">
        <v>214</v>
      </c>
      <c r="H1604">
        <v>2</v>
      </c>
      <c r="I1604">
        <v>2004</v>
      </c>
      <c r="J1604" t="s">
        <v>22</v>
      </c>
      <c r="K1604" t="s">
        <v>16</v>
      </c>
    </row>
    <row r="1605" spans="1:11">
      <c r="A1605" t="s">
        <v>111</v>
      </c>
      <c r="B1605">
        <v>10261</v>
      </c>
      <c r="C1605">
        <v>36</v>
      </c>
      <c r="D1605" s="21">
        <v>100</v>
      </c>
      <c r="E1605" s="22">
        <v>38155</v>
      </c>
      <c r="F1605" t="s">
        <v>13</v>
      </c>
      <c r="G1605" t="s">
        <v>214</v>
      </c>
      <c r="H1605">
        <v>2</v>
      </c>
      <c r="I1605">
        <v>2004</v>
      </c>
      <c r="J1605" t="s">
        <v>22</v>
      </c>
      <c r="K1605" t="s">
        <v>112</v>
      </c>
    </row>
    <row r="1606" spans="1:11">
      <c r="A1606" t="s">
        <v>139</v>
      </c>
      <c r="B1606">
        <v>10273</v>
      </c>
      <c r="C1606">
        <v>22</v>
      </c>
      <c r="D1606" s="21">
        <v>100</v>
      </c>
      <c r="E1606" s="22">
        <v>38189</v>
      </c>
      <c r="F1606" t="s">
        <v>13</v>
      </c>
      <c r="G1606" t="s">
        <v>214</v>
      </c>
      <c r="H1606">
        <v>3</v>
      </c>
      <c r="I1606">
        <v>2004</v>
      </c>
      <c r="J1606" t="s">
        <v>15</v>
      </c>
      <c r="K1606" t="s">
        <v>140</v>
      </c>
    </row>
    <row r="1607" spans="1:11">
      <c r="A1607" t="s">
        <v>141</v>
      </c>
      <c r="B1607">
        <v>10283</v>
      </c>
      <c r="C1607">
        <v>42</v>
      </c>
      <c r="D1607" s="21">
        <v>100</v>
      </c>
      <c r="E1607" s="22">
        <v>38219</v>
      </c>
      <c r="F1607" t="s">
        <v>13</v>
      </c>
      <c r="G1607" t="s">
        <v>214</v>
      </c>
      <c r="H1607">
        <v>3</v>
      </c>
      <c r="I1607">
        <v>2004</v>
      </c>
      <c r="J1607" t="s">
        <v>22</v>
      </c>
      <c r="K1607" t="s">
        <v>142</v>
      </c>
    </row>
    <row r="1608" spans="1:11">
      <c r="A1608" t="s">
        <v>97</v>
      </c>
      <c r="B1608">
        <v>10293</v>
      </c>
      <c r="C1608">
        <v>21</v>
      </c>
      <c r="D1608" s="21">
        <v>100</v>
      </c>
      <c r="E1608" s="22">
        <v>38239</v>
      </c>
      <c r="F1608" t="s">
        <v>13</v>
      </c>
      <c r="G1608" t="s">
        <v>214</v>
      </c>
      <c r="H1608">
        <v>3</v>
      </c>
      <c r="I1608">
        <v>2004</v>
      </c>
      <c r="J1608" t="s">
        <v>15</v>
      </c>
      <c r="K1608" t="s">
        <v>98</v>
      </c>
    </row>
    <row r="1609" spans="1:11">
      <c r="A1609" t="s">
        <v>183</v>
      </c>
      <c r="B1609">
        <v>10306</v>
      </c>
      <c r="C1609">
        <v>29</v>
      </c>
      <c r="D1609" s="21">
        <v>100</v>
      </c>
      <c r="E1609" s="22">
        <v>38274</v>
      </c>
      <c r="F1609" t="s">
        <v>13</v>
      </c>
      <c r="G1609" t="s">
        <v>214</v>
      </c>
      <c r="H1609">
        <v>4</v>
      </c>
      <c r="I1609">
        <v>2004</v>
      </c>
      <c r="J1609" t="s">
        <v>22</v>
      </c>
      <c r="K1609" t="s">
        <v>184</v>
      </c>
    </row>
    <row r="1610" spans="1:11">
      <c r="A1610" t="s">
        <v>50</v>
      </c>
      <c r="B1610">
        <v>10315</v>
      </c>
      <c r="C1610">
        <v>35</v>
      </c>
      <c r="D1610" s="21">
        <v>100</v>
      </c>
      <c r="E1610" s="22">
        <v>38289</v>
      </c>
      <c r="F1610" t="s">
        <v>13</v>
      </c>
      <c r="G1610" t="s">
        <v>214</v>
      </c>
      <c r="H1610">
        <v>4</v>
      </c>
      <c r="I1610">
        <v>2004</v>
      </c>
      <c r="J1610" t="s">
        <v>22</v>
      </c>
      <c r="K1610" t="s">
        <v>51</v>
      </c>
    </row>
    <row r="1611" spans="1:11">
      <c r="A1611" t="s">
        <v>73</v>
      </c>
      <c r="B1611">
        <v>10326</v>
      </c>
      <c r="C1611">
        <v>41</v>
      </c>
      <c r="D1611" s="21">
        <v>100</v>
      </c>
      <c r="E1611" s="22">
        <v>38300</v>
      </c>
      <c r="F1611" t="s">
        <v>13</v>
      </c>
      <c r="G1611" t="s">
        <v>214</v>
      </c>
      <c r="H1611">
        <v>4</v>
      </c>
      <c r="I1611">
        <v>2004</v>
      </c>
      <c r="J1611" t="s">
        <v>22</v>
      </c>
      <c r="K1611" t="s">
        <v>74</v>
      </c>
    </row>
    <row r="1612" spans="1:11">
      <c r="A1612" t="s">
        <v>79</v>
      </c>
      <c r="B1612">
        <v>10337</v>
      </c>
      <c r="C1612">
        <v>29</v>
      </c>
      <c r="D1612" s="21">
        <v>71.97</v>
      </c>
      <c r="E1612" s="22">
        <v>38312</v>
      </c>
      <c r="F1612" t="s">
        <v>13</v>
      </c>
      <c r="G1612" t="s">
        <v>214</v>
      </c>
      <c r="H1612">
        <v>4</v>
      </c>
      <c r="I1612">
        <v>2004</v>
      </c>
      <c r="J1612" t="s">
        <v>15</v>
      </c>
      <c r="K1612" t="s">
        <v>80</v>
      </c>
    </row>
    <row r="1613" spans="1:11">
      <c r="A1613" t="s">
        <v>69</v>
      </c>
      <c r="B1613">
        <v>10350</v>
      </c>
      <c r="C1613">
        <v>34</v>
      </c>
      <c r="D1613" s="21">
        <v>50.33</v>
      </c>
      <c r="E1613" s="22">
        <v>38323</v>
      </c>
      <c r="F1613" t="s">
        <v>13</v>
      </c>
      <c r="G1613" t="s">
        <v>214</v>
      </c>
      <c r="H1613">
        <v>4</v>
      </c>
      <c r="I1613">
        <v>2004</v>
      </c>
      <c r="J1613" t="s">
        <v>15</v>
      </c>
      <c r="K1613" t="s">
        <v>71</v>
      </c>
    </row>
    <row r="1614" spans="1:11">
      <c r="A1614" t="s">
        <v>95</v>
      </c>
      <c r="B1614">
        <v>10372</v>
      </c>
      <c r="C1614">
        <v>37</v>
      </c>
      <c r="D1614" s="21">
        <v>100</v>
      </c>
      <c r="E1614" s="22">
        <v>38378</v>
      </c>
      <c r="F1614" t="s">
        <v>13</v>
      </c>
      <c r="G1614" t="s">
        <v>214</v>
      </c>
      <c r="H1614">
        <v>1</v>
      </c>
      <c r="I1614">
        <v>2005</v>
      </c>
      <c r="J1614" t="s">
        <v>22</v>
      </c>
      <c r="K1614" t="s">
        <v>96</v>
      </c>
    </row>
    <row r="1615" spans="1:11">
      <c r="A1615" t="s">
        <v>28</v>
      </c>
      <c r="B1615">
        <v>10384</v>
      </c>
      <c r="C1615">
        <v>28</v>
      </c>
      <c r="D1615" s="21">
        <v>80.54</v>
      </c>
      <c r="E1615" s="22">
        <v>38406</v>
      </c>
      <c r="F1615" t="s">
        <v>13</v>
      </c>
      <c r="G1615" t="s">
        <v>214</v>
      </c>
      <c r="H1615">
        <v>1</v>
      </c>
      <c r="I1615">
        <v>2005</v>
      </c>
      <c r="J1615" t="s">
        <v>15</v>
      </c>
      <c r="K1615" t="s">
        <v>29</v>
      </c>
    </row>
    <row r="1616" spans="1:11">
      <c r="A1616" t="s">
        <v>103</v>
      </c>
      <c r="B1616">
        <v>10396</v>
      </c>
      <c r="C1616">
        <v>49</v>
      </c>
      <c r="D1616" s="21">
        <v>100</v>
      </c>
      <c r="E1616" s="22">
        <v>38434</v>
      </c>
      <c r="F1616" t="s">
        <v>13</v>
      </c>
      <c r="G1616" t="s">
        <v>214</v>
      </c>
      <c r="H1616">
        <v>1</v>
      </c>
      <c r="I1616">
        <v>2005</v>
      </c>
      <c r="J1616" t="s">
        <v>22</v>
      </c>
      <c r="K1616" t="s">
        <v>104</v>
      </c>
    </row>
    <row r="1617" spans="1:11">
      <c r="A1617" t="s">
        <v>143</v>
      </c>
      <c r="B1617">
        <v>10414</v>
      </c>
      <c r="C1617">
        <v>23</v>
      </c>
      <c r="D1617" s="21">
        <v>100</v>
      </c>
      <c r="E1617" s="22">
        <v>38478</v>
      </c>
      <c r="F1617" t="s">
        <v>151</v>
      </c>
      <c r="G1617" t="s">
        <v>214</v>
      </c>
      <c r="H1617">
        <v>2</v>
      </c>
      <c r="I1617">
        <v>2005</v>
      </c>
      <c r="J1617" t="s">
        <v>22</v>
      </c>
      <c r="K1617" t="s">
        <v>144</v>
      </c>
    </row>
    <row r="1618" spans="1:11">
      <c r="A1618" t="s">
        <v>173</v>
      </c>
      <c r="B1618">
        <v>10101</v>
      </c>
      <c r="C1618">
        <v>46</v>
      </c>
      <c r="D1618" s="21">
        <v>53.76</v>
      </c>
      <c r="E1618" s="22">
        <v>37630</v>
      </c>
      <c r="F1618" t="s">
        <v>13</v>
      </c>
      <c r="G1618" t="s">
        <v>202</v>
      </c>
      <c r="H1618">
        <v>1</v>
      </c>
      <c r="I1618">
        <v>2003</v>
      </c>
      <c r="J1618" t="s">
        <v>15</v>
      </c>
      <c r="K1618" t="s">
        <v>174</v>
      </c>
    </row>
    <row r="1619" spans="1:11">
      <c r="A1619" t="s">
        <v>183</v>
      </c>
      <c r="B1619">
        <v>10110</v>
      </c>
      <c r="C1619">
        <v>39</v>
      </c>
      <c r="D1619" s="21">
        <v>44.35</v>
      </c>
      <c r="E1619" s="22">
        <v>37698</v>
      </c>
      <c r="F1619" t="s">
        <v>13</v>
      </c>
      <c r="G1619" t="s">
        <v>202</v>
      </c>
      <c r="H1619">
        <v>1</v>
      </c>
      <c r="I1619">
        <v>2003</v>
      </c>
      <c r="J1619" t="s">
        <v>15</v>
      </c>
      <c r="K1619" t="s">
        <v>184</v>
      </c>
    </row>
    <row r="1620" spans="1:11">
      <c r="A1620" t="s">
        <v>198</v>
      </c>
      <c r="B1620">
        <v>10124</v>
      </c>
      <c r="C1620">
        <v>22</v>
      </c>
      <c r="D1620" s="21">
        <v>45.25</v>
      </c>
      <c r="E1620" s="22">
        <v>37762</v>
      </c>
      <c r="F1620" t="s">
        <v>13</v>
      </c>
      <c r="G1620" t="s">
        <v>202</v>
      </c>
      <c r="H1620">
        <v>2</v>
      </c>
      <c r="I1620">
        <v>2003</v>
      </c>
      <c r="J1620" t="s">
        <v>15</v>
      </c>
      <c r="K1620" t="s">
        <v>199</v>
      </c>
    </row>
    <row r="1621" spans="1:11">
      <c r="A1621" t="s">
        <v>194</v>
      </c>
      <c r="B1621">
        <v>10149</v>
      </c>
      <c r="C1621">
        <v>49</v>
      </c>
      <c r="D1621" s="21">
        <v>49.28</v>
      </c>
      <c r="E1621" s="22">
        <v>37876</v>
      </c>
      <c r="F1621" t="s">
        <v>13</v>
      </c>
      <c r="G1621" t="s">
        <v>202</v>
      </c>
      <c r="H1621">
        <v>3</v>
      </c>
      <c r="I1621">
        <v>2003</v>
      </c>
      <c r="J1621" t="s">
        <v>15</v>
      </c>
      <c r="K1621" t="s">
        <v>195</v>
      </c>
    </row>
    <row r="1622" spans="1:11">
      <c r="A1622" t="s">
        <v>28</v>
      </c>
      <c r="B1622">
        <v>10162</v>
      </c>
      <c r="C1622">
        <v>43</v>
      </c>
      <c r="D1622" s="21">
        <v>36.29</v>
      </c>
      <c r="E1622" s="22">
        <v>37912</v>
      </c>
      <c r="F1622" t="s">
        <v>13</v>
      </c>
      <c r="G1622" t="s">
        <v>202</v>
      </c>
      <c r="H1622">
        <v>4</v>
      </c>
      <c r="I1622">
        <v>2003</v>
      </c>
      <c r="J1622" t="s">
        <v>15</v>
      </c>
      <c r="K1622" t="s">
        <v>29</v>
      </c>
    </row>
    <row r="1623" spans="1:11">
      <c r="A1623" t="s">
        <v>203</v>
      </c>
      <c r="B1623">
        <v>10173</v>
      </c>
      <c r="C1623">
        <v>27</v>
      </c>
      <c r="D1623" s="21">
        <v>41.22</v>
      </c>
      <c r="E1623" s="22">
        <v>37930</v>
      </c>
      <c r="F1623" t="s">
        <v>13</v>
      </c>
      <c r="G1623" t="s">
        <v>202</v>
      </c>
      <c r="H1623">
        <v>4</v>
      </c>
      <c r="I1623">
        <v>2003</v>
      </c>
      <c r="J1623" t="s">
        <v>15</v>
      </c>
      <c r="K1623" t="s">
        <v>204</v>
      </c>
    </row>
    <row r="1624" spans="1:11">
      <c r="A1624" t="s">
        <v>103</v>
      </c>
      <c r="B1624">
        <v>10182</v>
      </c>
      <c r="C1624">
        <v>31</v>
      </c>
      <c r="D1624" s="21">
        <v>36.74</v>
      </c>
      <c r="E1624" s="22">
        <v>37937</v>
      </c>
      <c r="F1624" t="s">
        <v>13</v>
      </c>
      <c r="G1624" t="s">
        <v>202</v>
      </c>
      <c r="H1624">
        <v>4</v>
      </c>
      <c r="I1624">
        <v>2003</v>
      </c>
      <c r="J1624" t="s">
        <v>15</v>
      </c>
      <c r="K1624" t="s">
        <v>104</v>
      </c>
    </row>
    <row r="1625" spans="1:11">
      <c r="A1625" t="s">
        <v>205</v>
      </c>
      <c r="B1625">
        <v>10193</v>
      </c>
      <c r="C1625">
        <v>20</v>
      </c>
      <c r="D1625" s="21">
        <v>50.62</v>
      </c>
      <c r="E1625" s="22">
        <v>37946</v>
      </c>
      <c r="F1625" t="s">
        <v>13</v>
      </c>
      <c r="G1625" t="s">
        <v>202</v>
      </c>
      <c r="H1625">
        <v>4</v>
      </c>
      <c r="I1625">
        <v>2003</v>
      </c>
      <c r="J1625" t="s">
        <v>15</v>
      </c>
      <c r="K1625" t="s">
        <v>206</v>
      </c>
    </row>
    <row r="1626" spans="1:11">
      <c r="A1626" t="s">
        <v>69</v>
      </c>
      <c r="B1626">
        <v>10205</v>
      </c>
      <c r="C1626">
        <v>24</v>
      </c>
      <c r="D1626" s="21">
        <v>38.08</v>
      </c>
      <c r="E1626" s="22">
        <v>37958</v>
      </c>
      <c r="F1626" t="s">
        <v>13</v>
      </c>
      <c r="G1626" t="s">
        <v>202</v>
      </c>
      <c r="H1626">
        <v>4</v>
      </c>
      <c r="I1626">
        <v>2003</v>
      </c>
      <c r="J1626" t="s">
        <v>15</v>
      </c>
      <c r="K1626" t="s">
        <v>71</v>
      </c>
    </row>
    <row r="1627" spans="1:11">
      <c r="A1627" t="s">
        <v>75</v>
      </c>
      <c r="B1627">
        <v>10214</v>
      </c>
      <c r="C1627">
        <v>49</v>
      </c>
      <c r="D1627" s="21">
        <v>47.94</v>
      </c>
      <c r="E1627" s="22">
        <v>38012</v>
      </c>
      <c r="F1627" t="s">
        <v>13</v>
      </c>
      <c r="G1627" t="s">
        <v>202</v>
      </c>
      <c r="H1627">
        <v>1</v>
      </c>
      <c r="I1627">
        <v>2004</v>
      </c>
      <c r="J1627" t="s">
        <v>15</v>
      </c>
      <c r="K1627" t="s">
        <v>76</v>
      </c>
    </row>
    <row r="1628" spans="1:11">
      <c r="A1628" t="s">
        <v>85</v>
      </c>
      <c r="B1628">
        <v>10227</v>
      </c>
      <c r="C1628">
        <v>24</v>
      </c>
      <c r="D1628" s="21">
        <v>48.38</v>
      </c>
      <c r="E1628" s="22">
        <v>38048</v>
      </c>
      <c r="F1628" t="s">
        <v>13</v>
      </c>
      <c r="G1628" t="s">
        <v>202</v>
      </c>
      <c r="H1628">
        <v>1</v>
      </c>
      <c r="I1628">
        <v>2004</v>
      </c>
      <c r="J1628" t="s">
        <v>15</v>
      </c>
      <c r="K1628" t="s">
        <v>86</v>
      </c>
    </row>
    <row r="1629" spans="1:11">
      <c r="A1629" t="s">
        <v>69</v>
      </c>
      <c r="B1629">
        <v>10244</v>
      </c>
      <c r="C1629">
        <v>39</v>
      </c>
      <c r="D1629" s="21">
        <v>45.25</v>
      </c>
      <c r="E1629" s="22">
        <v>38106</v>
      </c>
      <c r="F1629" t="s">
        <v>13</v>
      </c>
      <c r="G1629" t="s">
        <v>202</v>
      </c>
      <c r="H1629">
        <v>2</v>
      </c>
      <c r="I1629">
        <v>2004</v>
      </c>
      <c r="J1629" t="s">
        <v>15</v>
      </c>
      <c r="K1629" t="s">
        <v>71</v>
      </c>
    </row>
    <row r="1630" spans="1:11">
      <c r="A1630" t="s">
        <v>196</v>
      </c>
      <c r="B1630">
        <v>10255</v>
      </c>
      <c r="C1630">
        <v>37</v>
      </c>
      <c r="D1630" s="21">
        <v>45.7</v>
      </c>
      <c r="E1630" s="22">
        <v>38142</v>
      </c>
      <c r="F1630" t="s">
        <v>13</v>
      </c>
      <c r="G1630" t="s">
        <v>202</v>
      </c>
      <c r="H1630">
        <v>2</v>
      </c>
      <c r="I1630">
        <v>2004</v>
      </c>
      <c r="J1630" t="s">
        <v>15</v>
      </c>
      <c r="K1630" t="s">
        <v>197</v>
      </c>
    </row>
    <row r="1631" spans="1:11">
      <c r="A1631" t="s">
        <v>97</v>
      </c>
      <c r="B1631">
        <v>10280</v>
      </c>
      <c r="C1631">
        <v>45</v>
      </c>
      <c r="D1631" s="21">
        <v>47.49</v>
      </c>
      <c r="E1631" s="22">
        <v>38216</v>
      </c>
      <c r="F1631" t="s">
        <v>13</v>
      </c>
      <c r="G1631" t="s">
        <v>202</v>
      </c>
      <c r="H1631">
        <v>3</v>
      </c>
      <c r="I1631">
        <v>2004</v>
      </c>
      <c r="J1631" t="s">
        <v>15</v>
      </c>
      <c r="K1631" t="s">
        <v>98</v>
      </c>
    </row>
    <row r="1632" spans="1:11">
      <c r="A1632" t="s">
        <v>36</v>
      </c>
      <c r="B1632">
        <v>10289</v>
      </c>
      <c r="C1632">
        <v>45</v>
      </c>
      <c r="D1632" s="21">
        <v>48.38</v>
      </c>
      <c r="E1632" s="22">
        <v>38233</v>
      </c>
      <c r="F1632" t="s">
        <v>13</v>
      </c>
      <c r="G1632" t="s">
        <v>202</v>
      </c>
      <c r="H1632">
        <v>3</v>
      </c>
      <c r="I1632">
        <v>2004</v>
      </c>
      <c r="J1632" t="s">
        <v>15</v>
      </c>
      <c r="K1632" t="s">
        <v>37</v>
      </c>
    </row>
    <row r="1633" spans="1:11">
      <c r="A1633" t="s">
        <v>101</v>
      </c>
      <c r="B1633">
        <v>10304</v>
      </c>
      <c r="C1633">
        <v>44</v>
      </c>
      <c r="D1633" s="21">
        <v>39.42</v>
      </c>
      <c r="E1633" s="22">
        <v>38271</v>
      </c>
      <c r="F1633" t="s">
        <v>13</v>
      </c>
      <c r="G1633" t="s">
        <v>202</v>
      </c>
      <c r="H1633">
        <v>4</v>
      </c>
      <c r="I1633">
        <v>2004</v>
      </c>
      <c r="J1633" t="s">
        <v>15</v>
      </c>
      <c r="K1633" t="s">
        <v>102</v>
      </c>
    </row>
    <row r="1634" spans="1:11">
      <c r="A1634" t="s">
        <v>103</v>
      </c>
      <c r="B1634">
        <v>10312</v>
      </c>
      <c r="C1634">
        <v>23</v>
      </c>
      <c r="D1634" s="21">
        <v>37.63</v>
      </c>
      <c r="E1634" s="22">
        <v>38281</v>
      </c>
      <c r="F1634" t="s">
        <v>13</v>
      </c>
      <c r="G1634" t="s">
        <v>202</v>
      </c>
      <c r="H1634">
        <v>4</v>
      </c>
      <c r="I1634">
        <v>2004</v>
      </c>
      <c r="J1634" t="s">
        <v>15</v>
      </c>
      <c r="K1634" t="s">
        <v>104</v>
      </c>
    </row>
    <row r="1635" spans="1:11">
      <c r="A1635" t="s">
        <v>105</v>
      </c>
      <c r="B1635">
        <v>10322</v>
      </c>
      <c r="C1635">
        <v>30</v>
      </c>
      <c r="D1635" s="21">
        <v>100</v>
      </c>
      <c r="E1635" s="22">
        <v>38295</v>
      </c>
      <c r="F1635" t="s">
        <v>13</v>
      </c>
      <c r="G1635" t="s">
        <v>202</v>
      </c>
      <c r="H1635">
        <v>4</v>
      </c>
      <c r="I1635">
        <v>2004</v>
      </c>
      <c r="J1635" t="s">
        <v>22</v>
      </c>
      <c r="K1635" t="s">
        <v>106</v>
      </c>
    </row>
    <row r="1636" spans="1:11">
      <c r="A1636" t="s">
        <v>183</v>
      </c>
      <c r="B1636">
        <v>10332</v>
      </c>
      <c r="C1636">
        <v>26</v>
      </c>
      <c r="D1636" s="21">
        <v>85.52</v>
      </c>
      <c r="E1636" s="22">
        <v>38308</v>
      </c>
      <c r="F1636" t="s">
        <v>13</v>
      </c>
      <c r="G1636" t="s">
        <v>202</v>
      </c>
      <c r="H1636">
        <v>4</v>
      </c>
      <c r="I1636">
        <v>2004</v>
      </c>
      <c r="J1636" t="s">
        <v>15</v>
      </c>
      <c r="K1636" t="s">
        <v>184</v>
      </c>
    </row>
    <row r="1637" spans="1:11">
      <c r="A1637" t="s">
        <v>118</v>
      </c>
      <c r="B1637">
        <v>10345</v>
      </c>
      <c r="C1637">
        <v>43</v>
      </c>
      <c r="D1637" s="21">
        <v>53.76</v>
      </c>
      <c r="E1637" s="22">
        <v>38316</v>
      </c>
      <c r="F1637" t="s">
        <v>13</v>
      </c>
      <c r="G1637" t="s">
        <v>202</v>
      </c>
      <c r="H1637">
        <v>4</v>
      </c>
      <c r="I1637">
        <v>2004</v>
      </c>
      <c r="J1637" t="s">
        <v>15</v>
      </c>
      <c r="K1637" t="s">
        <v>119</v>
      </c>
    </row>
    <row r="1638" spans="1:11">
      <c r="A1638" t="s">
        <v>21</v>
      </c>
      <c r="B1638">
        <v>10356</v>
      </c>
      <c r="C1638">
        <v>26</v>
      </c>
      <c r="D1638" s="21">
        <v>31.86</v>
      </c>
      <c r="E1638" s="22">
        <v>38330</v>
      </c>
      <c r="F1638" t="s">
        <v>13</v>
      </c>
      <c r="G1638" t="s">
        <v>202</v>
      </c>
      <c r="H1638">
        <v>4</v>
      </c>
      <c r="I1638">
        <v>2004</v>
      </c>
      <c r="J1638" t="s">
        <v>15</v>
      </c>
      <c r="K1638" t="s">
        <v>23</v>
      </c>
    </row>
    <row r="1639" spans="1:11">
      <c r="A1639" t="s">
        <v>25</v>
      </c>
      <c r="B1639">
        <v>10367</v>
      </c>
      <c r="C1639">
        <v>28</v>
      </c>
      <c r="D1639" s="21">
        <v>30.59</v>
      </c>
      <c r="E1639" s="22">
        <v>38364</v>
      </c>
      <c r="F1639" t="s">
        <v>155</v>
      </c>
      <c r="G1639" t="s">
        <v>202</v>
      </c>
      <c r="H1639">
        <v>1</v>
      </c>
      <c r="I1639">
        <v>2005</v>
      </c>
      <c r="J1639" t="s">
        <v>15</v>
      </c>
      <c r="K1639" t="s">
        <v>26</v>
      </c>
    </row>
    <row r="1640" spans="1:11">
      <c r="A1640" t="s">
        <v>69</v>
      </c>
      <c r="B1640">
        <v>10380</v>
      </c>
      <c r="C1640">
        <v>27</v>
      </c>
      <c r="D1640" s="21">
        <v>68.35</v>
      </c>
      <c r="E1640" s="22">
        <v>38399</v>
      </c>
      <c r="F1640" t="s">
        <v>13</v>
      </c>
      <c r="G1640" t="s">
        <v>202</v>
      </c>
      <c r="H1640">
        <v>1</v>
      </c>
      <c r="I1640">
        <v>2005</v>
      </c>
      <c r="J1640" t="s">
        <v>15</v>
      </c>
      <c r="K1640" t="s">
        <v>71</v>
      </c>
    </row>
    <row r="1641" spans="1:11">
      <c r="A1641" t="s">
        <v>109</v>
      </c>
      <c r="B1641">
        <v>10391</v>
      </c>
      <c r="C1641">
        <v>24</v>
      </c>
      <c r="D1641" s="21">
        <v>100</v>
      </c>
      <c r="E1641" s="22">
        <v>38420</v>
      </c>
      <c r="F1641" t="s">
        <v>13</v>
      </c>
      <c r="G1641" t="s">
        <v>202</v>
      </c>
      <c r="H1641">
        <v>1</v>
      </c>
      <c r="I1641">
        <v>2005</v>
      </c>
      <c r="J1641" t="s">
        <v>22</v>
      </c>
      <c r="K1641" t="s">
        <v>110</v>
      </c>
    </row>
    <row r="1642" spans="1:11">
      <c r="A1642" t="s">
        <v>103</v>
      </c>
      <c r="B1642">
        <v>10421</v>
      </c>
      <c r="C1642">
        <v>40</v>
      </c>
      <c r="D1642" s="21">
        <v>45.7</v>
      </c>
      <c r="E1642" s="22">
        <v>38501</v>
      </c>
      <c r="F1642" t="s">
        <v>113</v>
      </c>
      <c r="G1642" t="s">
        <v>202</v>
      </c>
      <c r="H1642">
        <v>2</v>
      </c>
      <c r="I1642">
        <v>2005</v>
      </c>
      <c r="J1642" t="s">
        <v>15</v>
      </c>
      <c r="K1642" t="s">
        <v>104</v>
      </c>
    </row>
    <row r="1643" spans="1:11">
      <c r="A1643" t="s">
        <v>56</v>
      </c>
      <c r="B1643">
        <v>10103</v>
      </c>
      <c r="C1643">
        <v>36</v>
      </c>
      <c r="D1643" s="21">
        <v>100</v>
      </c>
      <c r="E1643" s="22">
        <v>37650</v>
      </c>
      <c r="F1643" t="s">
        <v>13</v>
      </c>
      <c r="G1643" t="s">
        <v>187</v>
      </c>
      <c r="H1643">
        <v>1</v>
      </c>
      <c r="I1643">
        <v>2003</v>
      </c>
      <c r="J1643" t="s">
        <v>22</v>
      </c>
      <c r="K1643" t="s">
        <v>57</v>
      </c>
    </row>
    <row r="1644" spans="1:11">
      <c r="A1644" t="s">
        <v>152</v>
      </c>
      <c r="B1644">
        <v>10114</v>
      </c>
      <c r="C1644">
        <v>21</v>
      </c>
      <c r="D1644" s="21">
        <v>100</v>
      </c>
      <c r="E1644" s="22">
        <v>37712</v>
      </c>
      <c r="F1644" t="s">
        <v>13</v>
      </c>
      <c r="G1644" t="s">
        <v>187</v>
      </c>
      <c r="H1644">
        <v>2</v>
      </c>
      <c r="I1644">
        <v>2003</v>
      </c>
      <c r="J1644" t="s">
        <v>15</v>
      </c>
      <c r="K1644" t="s">
        <v>153</v>
      </c>
    </row>
    <row r="1645" spans="1:11">
      <c r="A1645" t="s">
        <v>75</v>
      </c>
      <c r="B1645">
        <v>10126</v>
      </c>
      <c r="C1645">
        <v>27</v>
      </c>
      <c r="D1645" s="21">
        <v>100</v>
      </c>
      <c r="E1645" s="22">
        <v>37769</v>
      </c>
      <c r="F1645" t="s">
        <v>13</v>
      </c>
      <c r="G1645" t="s">
        <v>187</v>
      </c>
      <c r="H1645">
        <v>2</v>
      </c>
      <c r="I1645">
        <v>2003</v>
      </c>
      <c r="J1645" t="s">
        <v>22</v>
      </c>
      <c r="K1645" t="s">
        <v>76</v>
      </c>
    </row>
    <row r="1646" spans="1:11">
      <c r="A1646" t="s">
        <v>31</v>
      </c>
      <c r="B1646">
        <v>10140</v>
      </c>
      <c r="C1646">
        <v>47</v>
      </c>
      <c r="D1646" s="21">
        <v>100</v>
      </c>
      <c r="E1646" s="22">
        <v>37826</v>
      </c>
      <c r="F1646" t="s">
        <v>13</v>
      </c>
      <c r="G1646" t="s">
        <v>187</v>
      </c>
      <c r="H1646">
        <v>3</v>
      </c>
      <c r="I1646">
        <v>2003</v>
      </c>
      <c r="J1646" t="s">
        <v>22</v>
      </c>
      <c r="K1646" t="s">
        <v>32</v>
      </c>
    </row>
    <row r="1647" spans="1:11">
      <c r="A1647" t="s">
        <v>147</v>
      </c>
      <c r="B1647">
        <v>10151</v>
      </c>
      <c r="C1647">
        <v>42</v>
      </c>
      <c r="D1647" s="21">
        <v>100</v>
      </c>
      <c r="E1647" s="22">
        <v>37885</v>
      </c>
      <c r="F1647" t="s">
        <v>13</v>
      </c>
      <c r="G1647" t="s">
        <v>187</v>
      </c>
      <c r="H1647">
        <v>3</v>
      </c>
      <c r="I1647">
        <v>2003</v>
      </c>
      <c r="J1647" t="s">
        <v>22</v>
      </c>
      <c r="K1647" t="s">
        <v>148</v>
      </c>
    </row>
    <row r="1648" spans="1:11">
      <c r="A1648" t="s">
        <v>77</v>
      </c>
      <c r="B1648">
        <v>10165</v>
      </c>
      <c r="C1648">
        <v>32</v>
      </c>
      <c r="D1648" s="21">
        <v>100</v>
      </c>
      <c r="E1648" s="22">
        <v>37916</v>
      </c>
      <c r="F1648" t="s">
        <v>13</v>
      </c>
      <c r="G1648" t="s">
        <v>187</v>
      </c>
      <c r="H1648">
        <v>4</v>
      </c>
      <c r="I1648">
        <v>2003</v>
      </c>
      <c r="J1648" t="s">
        <v>22</v>
      </c>
      <c r="K1648" t="s">
        <v>78</v>
      </c>
    </row>
    <row r="1649" spans="1:11">
      <c r="A1649" t="s">
        <v>124</v>
      </c>
      <c r="B1649">
        <v>10175</v>
      </c>
      <c r="C1649">
        <v>28</v>
      </c>
      <c r="D1649" s="21">
        <v>100</v>
      </c>
      <c r="E1649" s="22">
        <v>37931</v>
      </c>
      <c r="F1649" t="s">
        <v>13</v>
      </c>
      <c r="G1649" t="s">
        <v>187</v>
      </c>
      <c r="H1649">
        <v>4</v>
      </c>
      <c r="I1649">
        <v>2003</v>
      </c>
      <c r="J1649" t="s">
        <v>15</v>
      </c>
      <c r="K1649" t="s">
        <v>125</v>
      </c>
    </row>
    <row r="1650" spans="1:11">
      <c r="A1650" t="s">
        <v>192</v>
      </c>
      <c r="B1650">
        <v>10184</v>
      </c>
      <c r="C1650">
        <v>24</v>
      </c>
      <c r="D1650" s="21">
        <v>100</v>
      </c>
      <c r="E1650" s="22">
        <v>37939</v>
      </c>
      <c r="F1650" t="s">
        <v>13</v>
      </c>
      <c r="G1650" t="s">
        <v>187</v>
      </c>
      <c r="H1650">
        <v>4</v>
      </c>
      <c r="I1650">
        <v>2003</v>
      </c>
      <c r="J1650" t="s">
        <v>22</v>
      </c>
      <c r="K1650" t="s">
        <v>193</v>
      </c>
    </row>
    <row r="1651" spans="1:11">
      <c r="A1651" t="s">
        <v>85</v>
      </c>
      <c r="B1651">
        <v>10194</v>
      </c>
      <c r="C1651">
        <v>49</v>
      </c>
      <c r="D1651" s="21">
        <v>100</v>
      </c>
      <c r="E1651" s="22">
        <v>37950</v>
      </c>
      <c r="F1651" t="s">
        <v>13</v>
      </c>
      <c r="G1651" t="s">
        <v>187</v>
      </c>
      <c r="H1651">
        <v>4</v>
      </c>
      <c r="I1651">
        <v>2003</v>
      </c>
      <c r="J1651" t="s">
        <v>22</v>
      </c>
      <c r="K1651" t="s">
        <v>86</v>
      </c>
    </row>
    <row r="1652" spans="1:11">
      <c r="A1652" t="s">
        <v>157</v>
      </c>
      <c r="B1652">
        <v>10207</v>
      </c>
      <c r="C1652">
        <v>46</v>
      </c>
      <c r="D1652" s="21">
        <v>100</v>
      </c>
      <c r="E1652" s="22">
        <v>37964</v>
      </c>
      <c r="F1652" t="s">
        <v>13</v>
      </c>
      <c r="G1652" t="s">
        <v>187</v>
      </c>
      <c r="H1652">
        <v>4</v>
      </c>
      <c r="I1652">
        <v>2003</v>
      </c>
      <c r="J1652" t="s">
        <v>22</v>
      </c>
      <c r="K1652" t="s">
        <v>158</v>
      </c>
    </row>
    <row r="1653" spans="1:11">
      <c r="A1653" t="s">
        <v>159</v>
      </c>
      <c r="B1653">
        <v>10217</v>
      </c>
      <c r="C1653">
        <v>28</v>
      </c>
      <c r="D1653" s="21">
        <v>100</v>
      </c>
      <c r="E1653" s="22">
        <v>38021</v>
      </c>
      <c r="F1653" t="s">
        <v>13</v>
      </c>
      <c r="G1653" t="s">
        <v>187</v>
      </c>
      <c r="H1653">
        <v>1</v>
      </c>
      <c r="I1653">
        <v>2004</v>
      </c>
      <c r="J1653" t="s">
        <v>22</v>
      </c>
      <c r="K1653" t="s">
        <v>160</v>
      </c>
    </row>
    <row r="1654" spans="1:11">
      <c r="A1654" t="s">
        <v>103</v>
      </c>
      <c r="B1654">
        <v>10229</v>
      </c>
      <c r="C1654">
        <v>48</v>
      </c>
      <c r="D1654" s="21">
        <v>100</v>
      </c>
      <c r="E1654" s="22">
        <v>38057</v>
      </c>
      <c r="F1654" t="s">
        <v>13</v>
      </c>
      <c r="G1654" t="s">
        <v>187</v>
      </c>
      <c r="H1654">
        <v>1</v>
      </c>
      <c r="I1654">
        <v>2004</v>
      </c>
      <c r="J1654" t="s">
        <v>22</v>
      </c>
      <c r="K1654" t="s">
        <v>104</v>
      </c>
    </row>
    <row r="1655" spans="1:11">
      <c r="A1655" t="s">
        <v>69</v>
      </c>
      <c r="B1655">
        <v>10246</v>
      </c>
      <c r="C1655">
        <v>29</v>
      </c>
      <c r="D1655" s="21">
        <v>100</v>
      </c>
      <c r="E1655" s="22">
        <v>38112</v>
      </c>
      <c r="F1655" t="s">
        <v>13</v>
      </c>
      <c r="G1655" t="s">
        <v>187</v>
      </c>
      <c r="H1655">
        <v>2</v>
      </c>
      <c r="I1655">
        <v>2004</v>
      </c>
      <c r="J1655" t="s">
        <v>22</v>
      </c>
      <c r="K1655" t="s">
        <v>71</v>
      </c>
    </row>
    <row r="1656" spans="1:11">
      <c r="A1656" t="s">
        <v>159</v>
      </c>
      <c r="B1656">
        <v>10259</v>
      </c>
      <c r="C1656">
        <v>47</v>
      </c>
      <c r="D1656" s="21">
        <v>100</v>
      </c>
      <c r="E1656" s="22">
        <v>38153</v>
      </c>
      <c r="F1656" t="s">
        <v>13</v>
      </c>
      <c r="G1656" t="s">
        <v>187</v>
      </c>
      <c r="H1656">
        <v>2</v>
      </c>
      <c r="I1656">
        <v>2004</v>
      </c>
      <c r="J1656" t="s">
        <v>22</v>
      </c>
      <c r="K1656" t="s">
        <v>160</v>
      </c>
    </row>
    <row r="1657" spans="1:11">
      <c r="A1657" t="s">
        <v>103</v>
      </c>
      <c r="B1657">
        <v>10271</v>
      </c>
      <c r="C1657">
        <v>43</v>
      </c>
      <c r="D1657" s="21">
        <v>100</v>
      </c>
      <c r="E1657" s="22">
        <v>38188</v>
      </c>
      <c r="F1657" t="s">
        <v>13</v>
      </c>
      <c r="G1657" t="s">
        <v>187</v>
      </c>
      <c r="H1657">
        <v>3</v>
      </c>
      <c r="I1657">
        <v>2004</v>
      </c>
      <c r="J1657" t="s">
        <v>22</v>
      </c>
      <c r="K1657" t="s">
        <v>104</v>
      </c>
    </row>
    <row r="1658" spans="1:11">
      <c r="A1658" t="s">
        <v>58</v>
      </c>
      <c r="B1658">
        <v>10281</v>
      </c>
      <c r="C1658">
        <v>25</v>
      </c>
      <c r="D1658" s="21">
        <v>100</v>
      </c>
      <c r="E1658" s="22">
        <v>38218</v>
      </c>
      <c r="F1658" t="s">
        <v>13</v>
      </c>
      <c r="G1658" t="s">
        <v>187</v>
      </c>
      <c r="H1658">
        <v>3</v>
      </c>
      <c r="I1658">
        <v>2004</v>
      </c>
      <c r="J1658" t="s">
        <v>15</v>
      </c>
      <c r="K1658" t="s">
        <v>59</v>
      </c>
    </row>
    <row r="1659" spans="1:11">
      <c r="A1659" t="s">
        <v>99</v>
      </c>
      <c r="B1659">
        <v>10291</v>
      </c>
      <c r="C1659">
        <v>48</v>
      </c>
      <c r="D1659" s="21">
        <v>100</v>
      </c>
      <c r="E1659" s="22">
        <v>38238</v>
      </c>
      <c r="F1659" t="s">
        <v>13</v>
      </c>
      <c r="G1659" t="s">
        <v>187</v>
      </c>
      <c r="H1659">
        <v>3</v>
      </c>
      <c r="I1659">
        <v>2004</v>
      </c>
      <c r="J1659" t="s">
        <v>22</v>
      </c>
      <c r="K1659" t="s">
        <v>100</v>
      </c>
    </row>
    <row r="1660" spans="1:11">
      <c r="A1660" t="s">
        <v>52</v>
      </c>
      <c r="B1660">
        <v>10305</v>
      </c>
      <c r="C1660">
        <v>24</v>
      </c>
      <c r="D1660" s="21">
        <v>100</v>
      </c>
      <c r="E1660" s="22">
        <v>38273</v>
      </c>
      <c r="F1660" t="s">
        <v>13</v>
      </c>
      <c r="G1660" t="s">
        <v>187</v>
      </c>
      <c r="H1660">
        <v>4</v>
      </c>
      <c r="I1660">
        <v>2004</v>
      </c>
      <c r="J1660" t="s">
        <v>22</v>
      </c>
      <c r="K1660" t="s">
        <v>53</v>
      </c>
    </row>
    <row r="1661" spans="1:11">
      <c r="A1661" t="s">
        <v>87</v>
      </c>
      <c r="B1661">
        <v>10313</v>
      </c>
      <c r="C1661">
        <v>42</v>
      </c>
      <c r="D1661" s="21">
        <v>100</v>
      </c>
      <c r="E1661" s="22">
        <v>38282</v>
      </c>
      <c r="F1661" t="s">
        <v>13</v>
      </c>
      <c r="G1661" t="s">
        <v>187</v>
      </c>
      <c r="H1661">
        <v>4</v>
      </c>
      <c r="I1661">
        <v>2004</v>
      </c>
      <c r="J1661" t="s">
        <v>22</v>
      </c>
      <c r="K1661" t="s">
        <v>88</v>
      </c>
    </row>
    <row r="1662" spans="1:11">
      <c r="A1662" t="s">
        <v>44</v>
      </c>
      <c r="B1662">
        <v>10324</v>
      </c>
      <c r="C1662">
        <v>31</v>
      </c>
      <c r="D1662" s="21">
        <v>100</v>
      </c>
      <c r="E1662" s="22">
        <v>38296</v>
      </c>
      <c r="F1662" t="s">
        <v>13</v>
      </c>
      <c r="G1662" t="s">
        <v>187</v>
      </c>
      <c r="H1662">
        <v>4</v>
      </c>
      <c r="I1662">
        <v>2004</v>
      </c>
      <c r="J1662" t="s">
        <v>22</v>
      </c>
      <c r="K1662" t="s">
        <v>45</v>
      </c>
    </row>
    <row r="1663" spans="1:11">
      <c r="A1663" t="s">
        <v>73</v>
      </c>
      <c r="B1663">
        <v>10334</v>
      </c>
      <c r="C1663">
        <v>42</v>
      </c>
      <c r="D1663" s="21">
        <v>100</v>
      </c>
      <c r="E1663" s="22">
        <v>38310</v>
      </c>
      <c r="F1663" t="s">
        <v>151</v>
      </c>
      <c r="G1663" t="s">
        <v>187</v>
      </c>
      <c r="H1663">
        <v>4</v>
      </c>
      <c r="I1663">
        <v>2004</v>
      </c>
      <c r="J1663" t="s">
        <v>22</v>
      </c>
      <c r="K1663" t="s">
        <v>74</v>
      </c>
    </row>
    <row r="1664" spans="1:11">
      <c r="A1664" t="s">
        <v>75</v>
      </c>
      <c r="B1664">
        <v>10348</v>
      </c>
      <c r="C1664">
        <v>37</v>
      </c>
      <c r="D1664" s="21">
        <v>100</v>
      </c>
      <c r="E1664" s="22">
        <v>38292</v>
      </c>
      <c r="F1664" t="s">
        <v>13</v>
      </c>
      <c r="G1664" t="s">
        <v>187</v>
      </c>
      <c r="H1664">
        <v>4</v>
      </c>
      <c r="I1664">
        <v>2004</v>
      </c>
      <c r="J1664" t="s">
        <v>22</v>
      </c>
      <c r="K1664" t="s">
        <v>76</v>
      </c>
    </row>
    <row r="1665" spans="1:11">
      <c r="A1665" t="s">
        <v>69</v>
      </c>
      <c r="B1665">
        <v>10358</v>
      </c>
      <c r="C1665">
        <v>41</v>
      </c>
      <c r="D1665" s="21">
        <v>100</v>
      </c>
      <c r="E1665" s="22">
        <v>38331</v>
      </c>
      <c r="F1665" t="s">
        <v>13</v>
      </c>
      <c r="G1665" t="s">
        <v>187</v>
      </c>
      <c r="H1665">
        <v>4</v>
      </c>
      <c r="I1665">
        <v>2004</v>
      </c>
      <c r="J1665" t="s">
        <v>22</v>
      </c>
      <c r="K1665" t="s">
        <v>71</v>
      </c>
    </row>
    <row r="1666" spans="1:11">
      <c r="A1666" t="s">
        <v>103</v>
      </c>
      <c r="B1666">
        <v>10371</v>
      </c>
      <c r="C1666">
        <v>20</v>
      </c>
      <c r="D1666" s="21">
        <v>100</v>
      </c>
      <c r="E1666" s="22">
        <v>38375</v>
      </c>
      <c r="F1666" t="s">
        <v>13</v>
      </c>
      <c r="G1666" t="s">
        <v>187</v>
      </c>
      <c r="H1666">
        <v>1</v>
      </c>
      <c r="I1666">
        <v>2005</v>
      </c>
      <c r="J1666" t="s">
        <v>22</v>
      </c>
      <c r="K1666" t="s">
        <v>104</v>
      </c>
    </row>
    <row r="1667" spans="1:11">
      <c r="A1667" t="s">
        <v>103</v>
      </c>
      <c r="B1667">
        <v>10382</v>
      </c>
      <c r="C1667">
        <v>20</v>
      </c>
      <c r="D1667" s="21">
        <v>100</v>
      </c>
      <c r="E1667" s="22">
        <v>38400</v>
      </c>
      <c r="F1667" t="s">
        <v>13</v>
      </c>
      <c r="G1667" t="s">
        <v>187</v>
      </c>
      <c r="H1667">
        <v>1</v>
      </c>
      <c r="I1667">
        <v>2005</v>
      </c>
      <c r="J1667" t="s">
        <v>15</v>
      </c>
      <c r="K1667" t="s">
        <v>104</v>
      </c>
    </row>
    <row r="1668" spans="1:11">
      <c r="A1668" t="s">
        <v>69</v>
      </c>
      <c r="B1668">
        <v>10412</v>
      </c>
      <c r="C1668">
        <v>70</v>
      </c>
      <c r="D1668" s="21">
        <v>100</v>
      </c>
      <c r="E1668" s="22">
        <v>38475</v>
      </c>
      <c r="F1668" t="s">
        <v>13</v>
      </c>
      <c r="G1668" t="s">
        <v>187</v>
      </c>
      <c r="H1668">
        <v>2</v>
      </c>
      <c r="I1668">
        <v>2005</v>
      </c>
      <c r="J1668" t="s">
        <v>61</v>
      </c>
      <c r="K1668" t="s">
        <v>71</v>
      </c>
    </row>
    <row r="1669" spans="1:11">
      <c r="A1669" t="s">
        <v>50</v>
      </c>
      <c r="B1669">
        <v>10425</v>
      </c>
      <c r="C1669">
        <v>49</v>
      </c>
      <c r="D1669" s="21">
        <v>100</v>
      </c>
      <c r="E1669" s="22">
        <v>38503</v>
      </c>
      <c r="F1669" t="s">
        <v>113</v>
      </c>
      <c r="G1669" t="s">
        <v>187</v>
      </c>
      <c r="H1669">
        <v>2</v>
      </c>
      <c r="I1669">
        <v>2005</v>
      </c>
      <c r="J1669" t="s">
        <v>22</v>
      </c>
      <c r="K1669" t="s">
        <v>51</v>
      </c>
    </row>
    <row r="1670" spans="1:11">
      <c r="A1670" t="s">
        <v>161</v>
      </c>
      <c r="B1670">
        <v>10108</v>
      </c>
      <c r="C1670">
        <v>35</v>
      </c>
      <c r="D1670" s="21">
        <v>58.87</v>
      </c>
      <c r="E1670" s="22">
        <v>37683</v>
      </c>
      <c r="F1670" t="s">
        <v>13</v>
      </c>
      <c r="G1670" t="s">
        <v>14</v>
      </c>
      <c r="H1670">
        <v>1</v>
      </c>
      <c r="I1670">
        <v>2003</v>
      </c>
      <c r="J1670" t="s">
        <v>15</v>
      </c>
      <c r="K1670" t="s">
        <v>162</v>
      </c>
    </row>
    <row r="1671" spans="1:11">
      <c r="A1671" t="s">
        <v>18</v>
      </c>
      <c r="B1671">
        <v>10121</v>
      </c>
      <c r="C1671">
        <v>32</v>
      </c>
      <c r="D1671" s="21">
        <v>76.88</v>
      </c>
      <c r="E1671" s="22">
        <v>37748</v>
      </c>
      <c r="F1671" t="s">
        <v>13</v>
      </c>
      <c r="G1671" t="s">
        <v>14</v>
      </c>
      <c r="H1671">
        <v>2</v>
      </c>
      <c r="I1671">
        <v>2003</v>
      </c>
      <c r="J1671" t="s">
        <v>15</v>
      </c>
      <c r="K1671" t="s">
        <v>19</v>
      </c>
    </row>
    <row r="1672" spans="1:11">
      <c r="A1672" t="s">
        <v>103</v>
      </c>
      <c r="B1672">
        <v>10135</v>
      </c>
      <c r="C1672">
        <v>29</v>
      </c>
      <c r="D1672" s="21">
        <v>61.64</v>
      </c>
      <c r="E1672" s="22">
        <v>37804</v>
      </c>
      <c r="F1672" t="s">
        <v>13</v>
      </c>
      <c r="G1672" t="s">
        <v>14</v>
      </c>
      <c r="H1672">
        <v>3</v>
      </c>
      <c r="I1672">
        <v>2003</v>
      </c>
      <c r="J1672" t="s">
        <v>15</v>
      </c>
      <c r="K1672" t="s">
        <v>104</v>
      </c>
    </row>
    <row r="1673" spans="1:11">
      <c r="A1673" t="s">
        <v>25</v>
      </c>
      <c r="B1673">
        <v>10145</v>
      </c>
      <c r="C1673">
        <v>27</v>
      </c>
      <c r="D1673" s="21">
        <v>60.95</v>
      </c>
      <c r="E1673" s="22">
        <v>37858</v>
      </c>
      <c r="F1673" t="s">
        <v>13</v>
      </c>
      <c r="G1673" t="s">
        <v>14</v>
      </c>
      <c r="H1673">
        <v>3</v>
      </c>
      <c r="I1673">
        <v>2003</v>
      </c>
      <c r="J1673" t="s">
        <v>15</v>
      </c>
      <c r="K1673" t="s">
        <v>26</v>
      </c>
    </row>
    <row r="1674" spans="1:11">
      <c r="A1674" t="s">
        <v>28</v>
      </c>
      <c r="B1674">
        <v>10159</v>
      </c>
      <c r="C1674">
        <v>27</v>
      </c>
      <c r="D1674" s="21">
        <v>80.34</v>
      </c>
      <c r="E1674" s="22">
        <v>37904</v>
      </c>
      <c r="F1674" t="s">
        <v>13</v>
      </c>
      <c r="G1674" t="s">
        <v>14</v>
      </c>
      <c r="H1674">
        <v>4</v>
      </c>
      <c r="I1674">
        <v>2003</v>
      </c>
      <c r="J1674" t="s">
        <v>15</v>
      </c>
      <c r="K1674" t="s">
        <v>29</v>
      </c>
    </row>
    <row r="1675" spans="1:11">
      <c r="A1675" t="s">
        <v>109</v>
      </c>
      <c r="B1675">
        <v>10169</v>
      </c>
      <c r="C1675">
        <v>38</v>
      </c>
      <c r="D1675" s="21">
        <v>74.11</v>
      </c>
      <c r="E1675" s="22">
        <v>37929</v>
      </c>
      <c r="F1675" t="s">
        <v>13</v>
      </c>
      <c r="G1675" t="s">
        <v>14</v>
      </c>
      <c r="H1675">
        <v>4</v>
      </c>
      <c r="I1675">
        <v>2003</v>
      </c>
      <c r="J1675" t="s">
        <v>15</v>
      </c>
      <c r="K1675" t="s">
        <v>110</v>
      </c>
    </row>
    <row r="1676" spans="1:11">
      <c r="A1676" t="s">
        <v>34</v>
      </c>
      <c r="B1676">
        <v>10180</v>
      </c>
      <c r="C1676">
        <v>35</v>
      </c>
      <c r="D1676" s="21">
        <v>72.03</v>
      </c>
      <c r="E1676" s="22">
        <v>37936</v>
      </c>
      <c r="F1676" t="s">
        <v>13</v>
      </c>
      <c r="G1676" t="s">
        <v>14</v>
      </c>
      <c r="H1676">
        <v>4</v>
      </c>
      <c r="I1676">
        <v>2003</v>
      </c>
      <c r="J1676" t="s">
        <v>15</v>
      </c>
      <c r="K1676" t="s">
        <v>35</v>
      </c>
    </row>
    <row r="1677" spans="1:11">
      <c r="A1677" t="s">
        <v>69</v>
      </c>
      <c r="B1677">
        <v>10190</v>
      </c>
      <c r="C1677">
        <v>42</v>
      </c>
      <c r="D1677" s="21">
        <v>76.19</v>
      </c>
      <c r="E1677" s="22">
        <v>37944</v>
      </c>
      <c r="F1677" t="s">
        <v>13</v>
      </c>
      <c r="G1677" t="s">
        <v>14</v>
      </c>
      <c r="H1677">
        <v>4</v>
      </c>
      <c r="I1677">
        <v>2003</v>
      </c>
      <c r="J1677" t="s">
        <v>22</v>
      </c>
      <c r="K1677" t="s">
        <v>71</v>
      </c>
    </row>
    <row r="1678" spans="1:11">
      <c r="A1678" t="s">
        <v>40</v>
      </c>
      <c r="B1678">
        <v>10211</v>
      </c>
      <c r="C1678">
        <v>21</v>
      </c>
      <c r="D1678" s="21">
        <v>63.72</v>
      </c>
      <c r="E1678" s="22">
        <v>38001</v>
      </c>
      <c r="F1678" t="s">
        <v>13</v>
      </c>
      <c r="G1678" t="s">
        <v>14</v>
      </c>
      <c r="H1678">
        <v>1</v>
      </c>
      <c r="I1678">
        <v>2004</v>
      </c>
      <c r="J1678" t="s">
        <v>15</v>
      </c>
      <c r="K1678" t="s">
        <v>41</v>
      </c>
    </row>
    <row r="1679" spans="1:11">
      <c r="A1679" t="s">
        <v>34</v>
      </c>
      <c r="B1679">
        <v>10224</v>
      </c>
      <c r="C1679">
        <v>37</v>
      </c>
      <c r="D1679" s="21">
        <v>80.34</v>
      </c>
      <c r="E1679" s="22">
        <v>38038</v>
      </c>
      <c r="F1679" t="s">
        <v>13</v>
      </c>
      <c r="G1679" t="s">
        <v>14</v>
      </c>
      <c r="H1679">
        <v>1</v>
      </c>
      <c r="I1679">
        <v>2004</v>
      </c>
      <c r="J1679" t="s">
        <v>15</v>
      </c>
      <c r="K1679" t="s">
        <v>35</v>
      </c>
    </row>
    <row r="1680" spans="1:11">
      <c r="A1680" t="s">
        <v>44</v>
      </c>
      <c r="B1680">
        <v>10237</v>
      </c>
      <c r="C1680">
        <v>26</v>
      </c>
      <c r="D1680" s="21">
        <v>79.65</v>
      </c>
      <c r="E1680" s="22">
        <v>38082</v>
      </c>
      <c r="F1680" t="s">
        <v>13</v>
      </c>
      <c r="G1680" t="s">
        <v>14</v>
      </c>
      <c r="H1680">
        <v>2</v>
      </c>
      <c r="I1680">
        <v>2004</v>
      </c>
      <c r="J1680" t="s">
        <v>15</v>
      </c>
      <c r="K1680" t="s">
        <v>45</v>
      </c>
    </row>
    <row r="1681" spans="1:11">
      <c r="A1681" t="s">
        <v>40</v>
      </c>
      <c r="B1681">
        <v>10252</v>
      </c>
      <c r="C1681">
        <v>47</v>
      </c>
      <c r="D1681" s="21">
        <v>65.8</v>
      </c>
      <c r="E1681" s="22">
        <v>38133</v>
      </c>
      <c r="F1681" t="s">
        <v>13</v>
      </c>
      <c r="G1681" t="s">
        <v>14</v>
      </c>
      <c r="H1681">
        <v>2</v>
      </c>
      <c r="I1681">
        <v>2004</v>
      </c>
      <c r="J1681" t="s">
        <v>22</v>
      </c>
      <c r="K1681" t="s">
        <v>41</v>
      </c>
    </row>
    <row r="1682" spans="1:11">
      <c r="A1682" t="s">
        <v>143</v>
      </c>
      <c r="B1682">
        <v>10264</v>
      </c>
      <c r="C1682">
        <v>37</v>
      </c>
      <c r="D1682" s="21">
        <v>65.1</v>
      </c>
      <c r="E1682" s="22">
        <v>38168</v>
      </c>
      <c r="F1682" t="s">
        <v>13</v>
      </c>
      <c r="G1682" t="s">
        <v>14</v>
      </c>
      <c r="H1682">
        <v>2</v>
      </c>
      <c r="I1682">
        <v>2004</v>
      </c>
      <c r="J1682" t="s">
        <v>15</v>
      </c>
      <c r="K1682" t="s">
        <v>144</v>
      </c>
    </row>
    <row r="1683" spans="1:11">
      <c r="A1683" t="s">
        <v>171</v>
      </c>
      <c r="B1683">
        <v>10276</v>
      </c>
      <c r="C1683">
        <v>46</v>
      </c>
      <c r="D1683" s="21">
        <v>75.49</v>
      </c>
      <c r="E1683" s="22">
        <v>38201</v>
      </c>
      <c r="F1683" t="s">
        <v>13</v>
      </c>
      <c r="G1683" t="s">
        <v>14</v>
      </c>
      <c r="H1683">
        <v>3</v>
      </c>
      <c r="I1683">
        <v>2004</v>
      </c>
      <c r="J1683" t="s">
        <v>22</v>
      </c>
      <c r="K1683" t="s">
        <v>172</v>
      </c>
    </row>
    <row r="1684" spans="1:11">
      <c r="A1684" t="s">
        <v>52</v>
      </c>
      <c r="B1684">
        <v>10285</v>
      </c>
      <c r="C1684">
        <v>38</v>
      </c>
      <c r="D1684" s="21">
        <v>59.56</v>
      </c>
      <c r="E1684" s="22">
        <v>38226</v>
      </c>
      <c r="F1684" t="s">
        <v>13</v>
      </c>
      <c r="G1684" t="s">
        <v>14</v>
      </c>
      <c r="H1684">
        <v>3</v>
      </c>
      <c r="I1684">
        <v>2004</v>
      </c>
      <c r="J1684" t="s">
        <v>15</v>
      </c>
      <c r="K1684" t="s">
        <v>53</v>
      </c>
    </row>
    <row r="1685" spans="1:11">
      <c r="A1685" t="s">
        <v>54</v>
      </c>
      <c r="B1685">
        <v>10299</v>
      </c>
      <c r="C1685">
        <v>33</v>
      </c>
      <c r="D1685" s="21">
        <v>66.49</v>
      </c>
      <c r="E1685" s="22">
        <v>38260</v>
      </c>
      <c r="F1685" t="s">
        <v>13</v>
      </c>
      <c r="G1685" t="s">
        <v>14</v>
      </c>
      <c r="H1685">
        <v>3</v>
      </c>
      <c r="I1685">
        <v>2004</v>
      </c>
      <c r="J1685" t="s">
        <v>15</v>
      </c>
      <c r="K1685" t="s">
        <v>55</v>
      </c>
    </row>
    <row r="1686" spans="1:11">
      <c r="A1686" t="s">
        <v>56</v>
      </c>
      <c r="B1686">
        <v>10309</v>
      </c>
      <c r="C1686">
        <v>24</v>
      </c>
      <c r="D1686" s="21">
        <v>56.1</v>
      </c>
      <c r="E1686" s="22">
        <v>38275</v>
      </c>
      <c r="F1686" t="s">
        <v>13</v>
      </c>
      <c r="G1686" t="s">
        <v>14</v>
      </c>
      <c r="H1686">
        <v>4</v>
      </c>
      <c r="I1686">
        <v>2004</v>
      </c>
      <c r="J1686" t="s">
        <v>15</v>
      </c>
      <c r="K1686" t="s">
        <v>57</v>
      </c>
    </row>
    <row r="1687" spans="1:11">
      <c r="A1687" t="s">
        <v>188</v>
      </c>
      <c r="B1687">
        <v>10319</v>
      </c>
      <c r="C1687">
        <v>31</v>
      </c>
      <c r="D1687" s="21">
        <v>81.73</v>
      </c>
      <c r="E1687" s="22">
        <v>38294</v>
      </c>
      <c r="F1687" t="s">
        <v>13</v>
      </c>
      <c r="G1687" t="s">
        <v>14</v>
      </c>
      <c r="H1687">
        <v>4</v>
      </c>
      <c r="I1687">
        <v>2004</v>
      </c>
      <c r="J1687" t="s">
        <v>15</v>
      </c>
      <c r="K1687" t="s">
        <v>189</v>
      </c>
    </row>
    <row r="1688" spans="1:11">
      <c r="A1688" t="s">
        <v>161</v>
      </c>
      <c r="B1688">
        <v>10330</v>
      </c>
      <c r="C1688">
        <v>42</v>
      </c>
      <c r="D1688" s="21">
        <v>81.03</v>
      </c>
      <c r="E1688" s="22">
        <v>38307</v>
      </c>
      <c r="F1688" t="s">
        <v>13</v>
      </c>
      <c r="G1688" t="s">
        <v>14</v>
      </c>
      <c r="H1688">
        <v>4</v>
      </c>
      <c r="I1688">
        <v>2004</v>
      </c>
      <c r="J1688" t="s">
        <v>22</v>
      </c>
      <c r="K1688" t="s">
        <v>162</v>
      </c>
    </row>
    <row r="1689" spans="1:11">
      <c r="A1689" t="s">
        <v>60</v>
      </c>
      <c r="B1689">
        <v>10341</v>
      </c>
      <c r="C1689">
        <v>32</v>
      </c>
      <c r="D1689" s="21">
        <v>100</v>
      </c>
      <c r="E1689" s="22">
        <v>38315</v>
      </c>
      <c r="F1689" t="s">
        <v>13</v>
      </c>
      <c r="G1689" t="s">
        <v>14</v>
      </c>
      <c r="H1689">
        <v>4</v>
      </c>
      <c r="I1689">
        <v>2004</v>
      </c>
      <c r="J1689" t="s">
        <v>22</v>
      </c>
      <c r="K1689" t="s">
        <v>62</v>
      </c>
    </row>
    <row r="1690" spans="1:11">
      <c r="A1690" t="s">
        <v>69</v>
      </c>
      <c r="B1690">
        <v>10355</v>
      </c>
      <c r="C1690">
        <v>41</v>
      </c>
      <c r="D1690" s="21">
        <v>70.65</v>
      </c>
      <c r="E1690" s="22">
        <v>38328</v>
      </c>
      <c r="F1690" t="s">
        <v>13</v>
      </c>
      <c r="G1690" t="s">
        <v>14</v>
      </c>
      <c r="H1690">
        <v>4</v>
      </c>
      <c r="I1690">
        <v>2004</v>
      </c>
      <c r="J1690" t="s">
        <v>15</v>
      </c>
      <c r="K1690" t="s">
        <v>71</v>
      </c>
    </row>
    <row r="1691" spans="1:11">
      <c r="A1691" t="s">
        <v>175</v>
      </c>
      <c r="B1691">
        <v>10363</v>
      </c>
      <c r="C1691">
        <v>43</v>
      </c>
      <c r="D1691" s="21">
        <v>61.23</v>
      </c>
      <c r="E1691" s="22">
        <v>38358</v>
      </c>
      <c r="F1691" t="s">
        <v>13</v>
      </c>
      <c r="G1691" t="s">
        <v>14</v>
      </c>
      <c r="H1691">
        <v>1</v>
      </c>
      <c r="I1691">
        <v>2005</v>
      </c>
      <c r="J1691" t="s">
        <v>15</v>
      </c>
      <c r="K1691" t="s">
        <v>176</v>
      </c>
    </row>
    <row r="1692" spans="1:11">
      <c r="A1692" t="s">
        <v>50</v>
      </c>
      <c r="B1692">
        <v>10375</v>
      </c>
      <c r="C1692">
        <v>20</v>
      </c>
      <c r="D1692" s="21">
        <v>100</v>
      </c>
      <c r="E1692" s="22">
        <v>38386</v>
      </c>
      <c r="F1692" t="s">
        <v>13</v>
      </c>
      <c r="G1692" t="s">
        <v>14</v>
      </c>
      <c r="H1692">
        <v>1</v>
      </c>
      <c r="I1692">
        <v>2005</v>
      </c>
      <c r="J1692" t="s">
        <v>15</v>
      </c>
      <c r="K1692" t="s">
        <v>51</v>
      </c>
    </row>
    <row r="1693" spans="1:11">
      <c r="A1693" t="s">
        <v>103</v>
      </c>
      <c r="B1693">
        <v>10390</v>
      </c>
      <c r="C1693">
        <v>35</v>
      </c>
      <c r="D1693" s="21">
        <v>65.13</v>
      </c>
      <c r="E1693" s="22">
        <v>38415</v>
      </c>
      <c r="F1693" t="s">
        <v>13</v>
      </c>
      <c r="G1693" t="s">
        <v>14</v>
      </c>
      <c r="H1693">
        <v>1</v>
      </c>
      <c r="I1693">
        <v>2005</v>
      </c>
      <c r="J1693" t="s">
        <v>15</v>
      </c>
      <c r="K1693" t="s">
        <v>104</v>
      </c>
    </row>
    <row r="1694" spans="1:11">
      <c r="A1694" t="s">
        <v>67</v>
      </c>
      <c r="B1694">
        <v>10403</v>
      </c>
      <c r="C1694">
        <v>27</v>
      </c>
      <c r="D1694" s="21">
        <v>79.65</v>
      </c>
      <c r="E1694" s="22">
        <v>38450</v>
      </c>
      <c r="F1694" t="s">
        <v>13</v>
      </c>
      <c r="G1694" t="s">
        <v>14</v>
      </c>
      <c r="H1694">
        <v>2</v>
      </c>
      <c r="I1694">
        <v>2005</v>
      </c>
      <c r="J1694" t="s">
        <v>15</v>
      </c>
      <c r="K1694" t="s">
        <v>68</v>
      </c>
    </row>
    <row r="1695" spans="1:11">
      <c r="A1695" t="s">
        <v>183</v>
      </c>
      <c r="B1695">
        <v>10110</v>
      </c>
      <c r="C1695">
        <v>43</v>
      </c>
      <c r="D1695" s="21">
        <v>78.15</v>
      </c>
      <c r="E1695" s="22">
        <v>37698</v>
      </c>
      <c r="F1695" t="s">
        <v>13</v>
      </c>
      <c r="G1695" t="s">
        <v>72</v>
      </c>
      <c r="H1695">
        <v>1</v>
      </c>
      <c r="I1695">
        <v>2003</v>
      </c>
      <c r="J1695" t="s">
        <v>22</v>
      </c>
      <c r="K1695" t="s">
        <v>184</v>
      </c>
    </row>
    <row r="1696" spans="1:11">
      <c r="A1696" t="s">
        <v>198</v>
      </c>
      <c r="B1696">
        <v>10124</v>
      </c>
      <c r="C1696">
        <v>32</v>
      </c>
      <c r="D1696" s="21">
        <v>72.7</v>
      </c>
      <c r="E1696" s="22">
        <v>37762</v>
      </c>
      <c r="F1696" t="s">
        <v>13</v>
      </c>
      <c r="G1696" t="s">
        <v>72</v>
      </c>
      <c r="H1696">
        <v>2</v>
      </c>
      <c r="I1696">
        <v>2003</v>
      </c>
      <c r="J1696" t="s">
        <v>15</v>
      </c>
      <c r="K1696" t="s">
        <v>199</v>
      </c>
    </row>
    <row r="1697" spans="1:11">
      <c r="A1697" t="s">
        <v>109</v>
      </c>
      <c r="B1697">
        <v>10148</v>
      </c>
      <c r="C1697">
        <v>21</v>
      </c>
      <c r="D1697" s="21">
        <v>73.6</v>
      </c>
      <c r="E1697" s="22">
        <v>37875</v>
      </c>
      <c r="F1697" t="s">
        <v>13</v>
      </c>
      <c r="G1697" t="s">
        <v>72</v>
      </c>
      <c r="H1697">
        <v>3</v>
      </c>
      <c r="I1697">
        <v>2003</v>
      </c>
      <c r="J1697" t="s">
        <v>15</v>
      </c>
      <c r="K1697" t="s">
        <v>110</v>
      </c>
    </row>
    <row r="1698" spans="1:11">
      <c r="A1698" t="s">
        <v>185</v>
      </c>
      <c r="B1698">
        <v>10161</v>
      </c>
      <c r="C1698">
        <v>20</v>
      </c>
      <c r="D1698" s="21">
        <v>100</v>
      </c>
      <c r="E1698" s="22">
        <v>37911</v>
      </c>
      <c r="F1698" t="s">
        <v>13</v>
      </c>
      <c r="G1698" t="s">
        <v>72</v>
      </c>
      <c r="H1698">
        <v>4</v>
      </c>
      <c r="I1698">
        <v>2003</v>
      </c>
      <c r="J1698" t="s">
        <v>15</v>
      </c>
      <c r="K1698" t="s">
        <v>186</v>
      </c>
    </row>
    <row r="1699" spans="1:11">
      <c r="A1699" t="s">
        <v>48</v>
      </c>
      <c r="B1699">
        <v>10172</v>
      </c>
      <c r="C1699">
        <v>22</v>
      </c>
      <c r="D1699" s="21">
        <v>74.51</v>
      </c>
      <c r="E1699" s="22">
        <v>37930</v>
      </c>
      <c r="F1699" t="s">
        <v>13</v>
      </c>
      <c r="G1699" t="s">
        <v>72</v>
      </c>
      <c r="H1699">
        <v>4</v>
      </c>
      <c r="I1699">
        <v>2003</v>
      </c>
      <c r="J1699" t="s">
        <v>15</v>
      </c>
      <c r="K1699" t="s">
        <v>49</v>
      </c>
    </row>
    <row r="1700" spans="1:11">
      <c r="A1700" t="s">
        <v>103</v>
      </c>
      <c r="B1700">
        <v>10182</v>
      </c>
      <c r="C1700">
        <v>36</v>
      </c>
      <c r="D1700" s="21">
        <v>73.6</v>
      </c>
      <c r="E1700" s="22">
        <v>37937</v>
      </c>
      <c r="F1700" t="s">
        <v>13</v>
      </c>
      <c r="G1700" t="s">
        <v>72</v>
      </c>
      <c r="H1700">
        <v>4</v>
      </c>
      <c r="I1700">
        <v>2003</v>
      </c>
      <c r="J1700" t="s">
        <v>15</v>
      </c>
      <c r="K1700" t="s">
        <v>104</v>
      </c>
    </row>
    <row r="1701" spans="1:11">
      <c r="A1701" t="s">
        <v>105</v>
      </c>
      <c r="B1701">
        <v>10192</v>
      </c>
      <c r="C1701">
        <v>46</v>
      </c>
      <c r="D1701" s="21">
        <v>83.6</v>
      </c>
      <c r="E1701" s="22">
        <v>37945</v>
      </c>
      <c r="F1701" t="s">
        <v>13</v>
      </c>
      <c r="G1701" t="s">
        <v>72</v>
      </c>
      <c r="H1701">
        <v>4</v>
      </c>
      <c r="I1701">
        <v>2003</v>
      </c>
      <c r="J1701" t="s">
        <v>22</v>
      </c>
      <c r="K1701" t="s">
        <v>106</v>
      </c>
    </row>
    <row r="1702" spans="1:11">
      <c r="A1702" t="s">
        <v>177</v>
      </c>
      <c r="B1702">
        <v>10204</v>
      </c>
      <c r="C1702">
        <v>47</v>
      </c>
      <c r="D1702" s="21">
        <v>96.32</v>
      </c>
      <c r="E1702" s="22">
        <v>37957</v>
      </c>
      <c r="F1702" t="s">
        <v>13</v>
      </c>
      <c r="G1702" t="s">
        <v>72</v>
      </c>
      <c r="H1702">
        <v>4</v>
      </c>
      <c r="I1702">
        <v>2003</v>
      </c>
      <c r="J1702" t="s">
        <v>22</v>
      </c>
      <c r="K1702" t="s">
        <v>178</v>
      </c>
    </row>
    <row r="1703" spans="1:11">
      <c r="A1703" t="s">
        <v>69</v>
      </c>
      <c r="B1703">
        <v>10212</v>
      </c>
      <c r="C1703">
        <v>45</v>
      </c>
      <c r="D1703" s="21">
        <v>88.14</v>
      </c>
      <c r="E1703" s="22">
        <v>38002</v>
      </c>
      <c r="F1703" t="s">
        <v>13</v>
      </c>
      <c r="G1703" t="s">
        <v>72</v>
      </c>
      <c r="H1703">
        <v>1</v>
      </c>
      <c r="I1703">
        <v>2004</v>
      </c>
      <c r="J1703" t="s">
        <v>22</v>
      </c>
      <c r="K1703" t="s">
        <v>71</v>
      </c>
    </row>
    <row r="1704" spans="1:11">
      <c r="A1704" t="s">
        <v>85</v>
      </c>
      <c r="B1704">
        <v>10227</v>
      </c>
      <c r="C1704">
        <v>47</v>
      </c>
      <c r="D1704" s="21">
        <v>88.14</v>
      </c>
      <c r="E1704" s="22">
        <v>38048</v>
      </c>
      <c r="F1704" t="s">
        <v>13</v>
      </c>
      <c r="G1704" t="s">
        <v>72</v>
      </c>
      <c r="H1704">
        <v>1</v>
      </c>
      <c r="I1704">
        <v>2004</v>
      </c>
      <c r="J1704" t="s">
        <v>22</v>
      </c>
      <c r="K1704" t="s">
        <v>86</v>
      </c>
    </row>
    <row r="1705" spans="1:11">
      <c r="A1705" t="s">
        <v>196</v>
      </c>
      <c r="B1705">
        <v>10241</v>
      </c>
      <c r="C1705">
        <v>47</v>
      </c>
      <c r="D1705" s="21">
        <v>94.5</v>
      </c>
      <c r="E1705" s="22">
        <v>38090</v>
      </c>
      <c r="F1705" t="s">
        <v>13</v>
      </c>
      <c r="G1705" t="s">
        <v>72</v>
      </c>
      <c r="H1705">
        <v>2</v>
      </c>
      <c r="I1705">
        <v>2004</v>
      </c>
      <c r="J1705" t="s">
        <v>22</v>
      </c>
      <c r="K1705" t="s">
        <v>197</v>
      </c>
    </row>
    <row r="1706" spans="1:11">
      <c r="A1706" t="s">
        <v>177</v>
      </c>
      <c r="B1706">
        <v>10267</v>
      </c>
      <c r="C1706">
        <v>38</v>
      </c>
      <c r="D1706" s="21">
        <v>87.24</v>
      </c>
      <c r="E1706" s="22">
        <v>38175</v>
      </c>
      <c r="F1706" t="s">
        <v>13</v>
      </c>
      <c r="G1706" t="s">
        <v>72</v>
      </c>
      <c r="H1706">
        <v>3</v>
      </c>
      <c r="I1706">
        <v>2004</v>
      </c>
      <c r="J1706" t="s">
        <v>22</v>
      </c>
      <c r="K1706" t="s">
        <v>178</v>
      </c>
    </row>
    <row r="1707" spans="1:11">
      <c r="A1707" t="s">
        <v>69</v>
      </c>
      <c r="B1707">
        <v>10279</v>
      </c>
      <c r="C1707">
        <v>49</v>
      </c>
      <c r="D1707" s="21">
        <v>79.97</v>
      </c>
      <c r="E1707" s="22">
        <v>38208</v>
      </c>
      <c r="F1707" t="s">
        <v>13</v>
      </c>
      <c r="G1707" t="s">
        <v>72</v>
      </c>
      <c r="H1707">
        <v>3</v>
      </c>
      <c r="I1707">
        <v>2004</v>
      </c>
      <c r="J1707" t="s">
        <v>22</v>
      </c>
      <c r="K1707" t="s">
        <v>71</v>
      </c>
    </row>
    <row r="1708" spans="1:11">
      <c r="A1708" t="s">
        <v>159</v>
      </c>
      <c r="B1708">
        <v>10288</v>
      </c>
      <c r="C1708">
        <v>35</v>
      </c>
      <c r="D1708" s="21">
        <v>80.87</v>
      </c>
      <c r="E1708" s="22">
        <v>38231</v>
      </c>
      <c r="F1708" t="s">
        <v>13</v>
      </c>
      <c r="G1708" t="s">
        <v>72</v>
      </c>
      <c r="H1708">
        <v>3</v>
      </c>
      <c r="I1708">
        <v>2004</v>
      </c>
      <c r="J1708" t="s">
        <v>15</v>
      </c>
      <c r="K1708" t="s">
        <v>160</v>
      </c>
    </row>
    <row r="1709" spans="1:11">
      <c r="A1709" t="s">
        <v>67</v>
      </c>
      <c r="B1709">
        <v>10302</v>
      </c>
      <c r="C1709">
        <v>49</v>
      </c>
      <c r="D1709" s="21">
        <v>100</v>
      </c>
      <c r="E1709" s="22">
        <v>37900</v>
      </c>
      <c r="F1709" t="s">
        <v>13</v>
      </c>
      <c r="G1709" t="s">
        <v>72</v>
      </c>
      <c r="H1709">
        <v>4</v>
      </c>
      <c r="I1709">
        <v>2003</v>
      </c>
      <c r="J1709" t="s">
        <v>22</v>
      </c>
      <c r="K1709" t="s">
        <v>68</v>
      </c>
    </row>
    <row r="1710" spans="1:11">
      <c r="A1710" t="s">
        <v>69</v>
      </c>
      <c r="B1710">
        <v>10311</v>
      </c>
      <c r="C1710">
        <v>28</v>
      </c>
      <c r="D1710" s="21">
        <v>93.6</v>
      </c>
      <c r="E1710" s="22">
        <v>38276</v>
      </c>
      <c r="F1710" t="s">
        <v>13</v>
      </c>
      <c r="G1710" t="s">
        <v>72</v>
      </c>
      <c r="H1710">
        <v>4</v>
      </c>
      <c r="I1710">
        <v>2004</v>
      </c>
      <c r="J1710" t="s">
        <v>15</v>
      </c>
      <c r="K1710" t="s">
        <v>71</v>
      </c>
    </row>
    <row r="1711" spans="1:11">
      <c r="A1711" t="s">
        <v>65</v>
      </c>
      <c r="B1711">
        <v>10321</v>
      </c>
      <c r="C1711">
        <v>30</v>
      </c>
      <c r="D1711" s="21">
        <v>72.7</v>
      </c>
      <c r="E1711" s="22">
        <v>38295</v>
      </c>
      <c r="F1711" t="s">
        <v>13</v>
      </c>
      <c r="G1711" t="s">
        <v>72</v>
      </c>
      <c r="H1711">
        <v>4</v>
      </c>
      <c r="I1711">
        <v>2004</v>
      </c>
      <c r="J1711" t="s">
        <v>15</v>
      </c>
      <c r="K1711" t="s">
        <v>66</v>
      </c>
    </row>
    <row r="1712" spans="1:11">
      <c r="A1712" t="s">
        <v>183</v>
      </c>
      <c r="B1712">
        <v>10332</v>
      </c>
      <c r="C1712">
        <v>39</v>
      </c>
      <c r="D1712" s="21">
        <v>86.72</v>
      </c>
      <c r="E1712" s="22">
        <v>38308</v>
      </c>
      <c r="F1712" t="s">
        <v>13</v>
      </c>
      <c r="G1712" t="s">
        <v>72</v>
      </c>
      <c r="H1712">
        <v>4</v>
      </c>
      <c r="I1712">
        <v>2004</v>
      </c>
      <c r="J1712" t="s">
        <v>22</v>
      </c>
      <c r="K1712" t="s">
        <v>184</v>
      </c>
    </row>
    <row r="1713" spans="1:11">
      <c r="A1713" t="s">
        <v>198</v>
      </c>
      <c r="B1713">
        <v>10346</v>
      </c>
      <c r="C1713">
        <v>25</v>
      </c>
      <c r="D1713" s="21">
        <v>100</v>
      </c>
      <c r="E1713" s="22">
        <v>38320</v>
      </c>
      <c r="F1713" t="s">
        <v>13</v>
      </c>
      <c r="G1713" t="s">
        <v>72</v>
      </c>
      <c r="H1713">
        <v>4</v>
      </c>
      <c r="I1713">
        <v>2004</v>
      </c>
      <c r="J1713" t="s">
        <v>15</v>
      </c>
      <c r="K1713" t="s">
        <v>199</v>
      </c>
    </row>
    <row r="1714" spans="1:11">
      <c r="A1714" t="s">
        <v>103</v>
      </c>
      <c r="B1714">
        <v>10368</v>
      </c>
      <c r="C1714">
        <v>40</v>
      </c>
      <c r="D1714" s="21">
        <v>100</v>
      </c>
      <c r="E1714" s="22">
        <v>38371</v>
      </c>
      <c r="F1714" t="s">
        <v>13</v>
      </c>
      <c r="G1714" t="s">
        <v>72</v>
      </c>
      <c r="H1714">
        <v>1</v>
      </c>
      <c r="I1714">
        <v>2005</v>
      </c>
      <c r="J1714" t="s">
        <v>22</v>
      </c>
      <c r="K1714" t="s">
        <v>104</v>
      </c>
    </row>
    <row r="1715" spans="1:11">
      <c r="A1715" t="s">
        <v>69</v>
      </c>
      <c r="B1715">
        <v>10380</v>
      </c>
      <c r="C1715">
        <v>36</v>
      </c>
      <c r="D1715" s="21">
        <v>37.5</v>
      </c>
      <c r="E1715" s="22">
        <v>38399</v>
      </c>
      <c r="F1715" t="s">
        <v>13</v>
      </c>
      <c r="G1715" t="s">
        <v>72</v>
      </c>
      <c r="H1715">
        <v>1</v>
      </c>
      <c r="I1715">
        <v>2005</v>
      </c>
      <c r="J1715" t="s">
        <v>15</v>
      </c>
      <c r="K1715" t="s">
        <v>71</v>
      </c>
    </row>
    <row r="1716" spans="1:11">
      <c r="A1716" t="s">
        <v>149</v>
      </c>
      <c r="B1716">
        <v>10407</v>
      </c>
      <c r="C1716">
        <v>76</v>
      </c>
      <c r="D1716" s="21">
        <v>94.5</v>
      </c>
      <c r="E1716" s="22">
        <v>38464</v>
      </c>
      <c r="F1716" t="s">
        <v>151</v>
      </c>
      <c r="G1716" t="s">
        <v>72</v>
      </c>
      <c r="H1716">
        <v>2</v>
      </c>
      <c r="I1716">
        <v>2005</v>
      </c>
      <c r="J1716" t="s">
        <v>61</v>
      </c>
      <c r="K1716" t="s">
        <v>150</v>
      </c>
    </row>
    <row r="1717" spans="1:11">
      <c r="A1717" t="s">
        <v>63</v>
      </c>
      <c r="B1717">
        <v>10420</v>
      </c>
      <c r="C1717">
        <v>39</v>
      </c>
      <c r="D1717" s="21">
        <v>100</v>
      </c>
      <c r="E1717" s="22">
        <v>38501</v>
      </c>
      <c r="F1717" t="s">
        <v>113</v>
      </c>
      <c r="G1717" t="s">
        <v>72</v>
      </c>
      <c r="H1717">
        <v>2</v>
      </c>
      <c r="I1717">
        <v>2005</v>
      </c>
      <c r="J1717" t="s">
        <v>22</v>
      </c>
      <c r="K1717" t="s">
        <v>64</v>
      </c>
    </row>
    <row r="1718" spans="1:11">
      <c r="A1718" t="s">
        <v>69</v>
      </c>
      <c r="B1718">
        <v>10104</v>
      </c>
      <c r="C1718">
        <v>44</v>
      </c>
      <c r="D1718" s="21">
        <v>39.6</v>
      </c>
      <c r="E1718" s="22">
        <v>37652</v>
      </c>
      <c r="F1718" t="s">
        <v>13</v>
      </c>
      <c r="G1718" t="s">
        <v>72</v>
      </c>
      <c r="H1718">
        <v>1</v>
      </c>
      <c r="I1718">
        <v>2003</v>
      </c>
      <c r="J1718" t="s">
        <v>15</v>
      </c>
      <c r="K1718" t="s">
        <v>71</v>
      </c>
    </row>
    <row r="1719" spans="1:11">
      <c r="A1719" t="s">
        <v>152</v>
      </c>
      <c r="B1719">
        <v>10114</v>
      </c>
      <c r="C1719">
        <v>24</v>
      </c>
      <c r="D1719" s="21">
        <v>30.06</v>
      </c>
      <c r="E1719" s="22">
        <v>37712</v>
      </c>
      <c r="F1719" t="s">
        <v>13</v>
      </c>
      <c r="G1719" t="s">
        <v>72</v>
      </c>
      <c r="H1719">
        <v>2</v>
      </c>
      <c r="I1719">
        <v>2003</v>
      </c>
      <c r="J1719" t="s">
        <v>15</v>
      </c>
      <c r="K1719" t="s">
        <v>153</v>
      </c>
    </row>
    <row r="1720" spans="1:11">
      <c r="A1720" t="s">
        <v>177</v>
      </c>
      <c r="B1720">
        <v>10127</v>
      </c>
      <c r="C1720">
        <v>39</v>
      </c>
      <c r="D1720" s="21">
        <v>38.19</v>
      </c>
      <c r="E1720" s="22">
        <v>37775</v>
      </c>
      <c r="F1720" t="s">
        <v>13</v>
      </c>
      <c r="G1720" t="s">
        <v>72</v>
      </c>
      <c r="H1720">
        <v>2</v>
      </c>
      <c r="I1720">
        <v>2003</v>
      </c>
      <c r="J1720" t="s">
        <v>15</v>
      </c>
      <c r="K1720" t="s">
        <v>178</v>
      </c>
    </row>
    <row r="1721" spans="1:11">
      <c r="A1721" t="s">
        <v>175</v>
      </c>
      <c r="B1721">
        <v>10141</v>
      </c>
      <c r="C1721">
        <v>21</v>
      </c>
      <c r="D1721" s="21">
        <v>42.43</v>
      </c>
      <c r="E1721" s="22">
        <v>37834</v>
      </c>
      <c r="F1721" t="s">
        <v>13</v>
      </c>
      <c r="G1721" t="s">
        <v>72</v>
      </c>
      <c r="H1721">
        <v>3</v>
      </c>
      <c r="I1721">
        <v>2003</v>
      </c>
      <c r="J1721" t="s">
        <v>15</v>
      </c>
      <c r="K1721" t="s">
        <v>176</v>
      </c>
    </row>
    <row r="1722" spans="1:11">
      <c r="A1722" t="s">
        <v>147</v>
      </c>
      <c r="B1722">
        <v>10151</v>
      </c>
      <c r="C1722">
        <v>30</v>
      </c>
      <c r="D1722" s="21">
        <v>40.31</v>
      </c>
      <c r="E1722" s="22">
        <v>37885</v>
      </c>
      <c r="F1722" t="s">
        <v>13</v>
      </c>
      <c r="G1722" t="s">
        <v>72</v>
      </c>
      <c r="H1722">
        <v>3</v>
      </c>
      <c r="I1722">
        <v>2003</v>
      </c>
      <c r="J1722" t="s">
        <v>15</v>
      </c>
      <c r="K1722" t="s">
        <v>148</v>
      </c>
    </row>
    <row r="1723" spans="1:11">
      <c r="A1723" t="s">
        <v>77</v>
      </c>
      <c r="B1723">
        <v>10165</v>
      </c>
      <c r="C1723">
        <v>27</v>
      </c>
      <c r="D1723" s="21">
        <v>31.82</v>
      </c>
      <c r="E1723" s="22">
        <v>37916</v>
      </c>
      <c r="F1723" t="s">
        <v>13</v>
      </c>
      <c r="G1723" t="s">
        <v>72</v>
      </c>
      <c r="H1723">
        <v>4</v>
      </c>
      <c r="I1723">
        <v>2003</v>
      </c>
      <c r="J1723" t="s">
        <v>15</v>
      </c>
      <c r="K1723" t="s">
        <v>78</v>
      </c>
    </row>
    <row r="1724" spans="1:11">
      <c r="A1724" t="s">
        <v>124</v>
      </c>
      <c r="B1724">
        <v>10175</v>
      </c>
      <c r="C1724">
        <v>37</v>
      </c>
      <c r="D1724" s="21">
        <v>31.12</v>
      </c>
      <c r="E1724" s="22">
        <v>37931</v>
      </c>
      <c r="F1724" t="s">
        <v>13</v>
      </c>
      <c r="G1724" t="s">
        <v>72</v>
      </c>
      <c r="H1724">
        <v>4</v>
      </c>
      <c r="I1724">
        <v>2003</v>
      </c>
      <c r="J1724" t="s">
        <v>15</v>
      </c>
      <c r="K1724" t="s">
        <v>125</v>
      </c>
    </row>
    <row r="1725" spans="1:11">
      <c r="A1725" t="s">
        <v>192</v>
      </c>
      <c r="B1725">
        <v>10184</v>
      </c>
      <c r="C1725">
        <v>42</v>
      </c>
      <c r="D1725" s="21">
        <v>31.82</v>
      </c>
      <c r="E1725" s="22">
        <v>37939</v>
      </c>
      <c r="F1725" t="s">
        <v>13</v>
      </c>
      <c r="G1725" t="s">
        <v>72</v>
      </c>
      <c r="H1725">
        <v>4</v>
      </c>
      <c r="I1725">
        <v>2003</v>
      </c>
      <c r="J1725" t="s">
        <v>15</v>
      </c>
      <c r="K1725" t="s">
        <v>193</v>
      </c>
    </row>
    <row r="1726" spans="1:11">
      <c r="A1726" t="s">
        <v>120</v>
      </c>
      <c r="B1726">
        <v>10195</v>
      </c>
      <c r="C1726">
        <v>32</v>
      </c>
      <c r="D1726" s="21">
        <v>28.29</v>
      </c>
      <c r="E1726" s="22">
        <v>37950</v>
      </c>
      <c r="F1726" t="s">
        <v>13</v>
      </c>
      <c r="G1726" t="s">
        <v>72</v>
      </c>
      <c r="H1726">
        <v>4</v>
      </c>
      <c r="I1726">
        <v>2003</v>
      </c>
      <c r="J1726" t="s">
        <v>15</v>
      </c>
      <c r="K1726" t="s">
        <v>121</v>
      </c>
    </row>
    <row r="1727" spans="1:11">
      <c r="A1727" t="s">
        <v>157</v>
      </c>
      <c r="B1727">
        <v>10207</v>
      </c>
      <c r="C1727">
        <v>42</v>
      </c>
      <c r="D1727" s="21">
        <v>29.7</v>
      </c>
      <c r="E1727" s="22">
        <v>37964</v>
      </c>
      <c r="F1727" t="s">
        <v>13</v>
      </c>
      <c r="G1727" t="s">
        <v>72</v>
      </c>
      <c r="H1727">
        <v>4</v>
      </c>
      <c r="I1727">
        <v>2003</v>
      </c>
      <c r="J1727" t="s">
        <v>15</v>
      </c>
      <c r="K1727" t="s">
        <v>158</v>
      </c>
    </row>
    <row r="1728" spans="1:11">
      <c r="A1728" t="s">
        <v>194</v>
      </c>
      <c r="B1728">
        <v>10219</v>
      </c>
      <c r="C1728">
        <v>21</v>
      </c>
      <c r="D1728" s="21">
        <v>40.31</v>
      </c>
      <c r="E1728" s="22">
        <v>38027</v>
      </c>
      <c r="F1728" t="s">
        <v>13</v>
      </c>
      <c r="G1728" t="s">
        <v>72</v>
      </c>
      <c r="H1728">
        <v>1</v>
      </c>
      <c r="I1728">
        <v>2004</v>
      </c>
      <c r="J1728" t="s">
        <v>15</v>
      </c>
      <c r="K1728" t="s">
        <v>195</v>
      </c>
    </row>
    <row r="1729" spans="1:11">
      <c r="A1729" t="s">
        <v>103</v>
      </c>
      <c r="B1729">
        <v>10229</v>
      </c>
      <c r="C1729">
        <v>33</v>
      </c>
      <c r="D1729" s="21">
        <v>32.88</v>
      </c>
      <c r="E1729" s="22">
        <v>38057</v>
      </c>
      <c r="F1729" t="s">
        <v>13</v>
      </c>
      <c r="G1729" t="s">
        <v>72</v>
      </c>
      <c r="H1729">
        <v>1</v>
      </c>
      <c r="I1729">
        <v>2004</v>
      </c>
      <c r="J1729" t="s">
        <v>15</v>
      </c>
      <c r="K1729" t="s">
        <v>104</v>
      </c>
    </row>
    <row r="1730" spans="1:11">
      <c r="A1730" t="s">
        <v>69</v>
      </c>
      <c r="B1730">
        <v>10246</v>
      </c>
      <c r="C1730">
        <v>49</v>
      </c>
      <c r="D1730" s="21">
        <v>36.07</v>
      </c>
      <c r="E1730" s="22">
        <v>38112</v>
      </c>
      <c r="F1730" t="s">
        <v>13</v>
      </c>
      <c r="G1730" t="s">
        <v>72</v>
      </c>
      <c r="H1730">
        <v>2</v>
      </c>
      <c r="I1730">
        <v>2004</v>
      </c>
      <c r="J1730" t="s">
        <v>15</v>
      </c>
      <c r="K1730" t="s">
        <v>71</v>
      </c>
    </row>
    <row r="1731" spans="1:11">
      <c r="A1731" t="s">
        <v>159</v>
      </c>
      <c r="B1731">
        <v>10259</v>
      </c>
      <c r="C1731">
        <v>31</v>
      </c>
      <c r="D1731" s="21">
        <v>33.24</v>
      </c>
      <c r="E1731" s="22">
        <v>38153</v>
      </c>
      <c r="F1731" t="s">
        <v>13</v>
      </c>
      <c r="G1731" t="s">
        <v>72</v>
      </c>
      <c r="H1731">
        <v>2</v>
      </c>
      <c r="I1731">
        <v>2004</v>
      </c>
      <c r="J1731" t="s">
        <v>15</v>
      </c>
      <c r="K1731" t="s">
        <v>160</v>
      </c>
    </row>
    <row r="1732" spans="1:11">
      <c r="A1732" t="s">
        <v>103</v>
      </c>
      <c r="B1732">
        <v>10271</v>
      </c>
      <c r="C1732">
        <v>38</v>
      </c>
      <c r="D1732" s="21">
        <v>41.72</v>
      </c>
      <c r="E1732" s="22">
        <v>38188</v>
      </c>
      <c r="F1732" t="s">
        <v>13</v>
      </c>
      <c r="G1732" t="s">
        <v>72</v>
      </c>
      <c r="H1732">
        <v>3</v>
      </c>
      <c r="I1732">
        <v>2004</v>
      </c>
      <c r="J1732" t="s">
        <v>15</v>
      </c>
      <c r="K1732" t="s">
        <v>104</v>
      </c>
    </row>
    <row r="1733" spans="1:11">
      <c r="A1733" t="s">
        <v>58</v>
      </c>
      <c r="B1733">
        <v>10281</v>
      </c>
      <c r="C1733">
        <v>20</v>
      </c>
      <c r="D1733" s="21">
        <v>40.66</v>
      </c>
      <c r="E1733" s="22">
        <v>38218</v>
      </c>
      <c r="F1733" t="s">
        <v>13</v>
      </c>
      <c r="G1733" t="s">
        <v>72</v>
      </c>
      <c r="H1733">
        <v>3</v>
      </c>
      <c r="I1733">
        <v>2004</v>
      </c>
      <c r="J1733" t="s">
        <v>15</v>
      </c>
      <c r="K1733" t="s">
        <v>59</v>
      </c>
    </row>
    <row r="1734" spans="1:11">
      <c r="A1734" t="s">
        <v>12</v>
      </c>
      <c r="B1734">
        <v>10292</v>
      </c>
      <c r="C1734">
        <v>39</v>
      </c>
      <c r="D1734" s="21">
        <v>30.06</v>
      </c>
      <c r="E1734" s="22">
        <v>38238</v>
      </c>
      <c r="F1734" t="s">
        <v>13</v>
      </c>
      <c r="G1734" t="s">
        <v>72</v>
      </c>
      <c r="H1734">
        <v>3</v>
      </c>
      <c r="I1734">
        <v>2004</v>
      </c>
      <c r="J1734" t="s">
        <v>15</v>
      </c>
      <c r="K1734" t="s">
        <v>16</v>
      </c>
    </row>
    <row r="1735" spans="1:11">
      <c r="A1735" t="s">
        <v>52</v>
      </c>
      <c r="B1735">
        <v>10305</v>
      </c>
      <c r="C1735">
        <v>48</v>
      </c>
      <c r="D1735" s="21">
        <v>31.47</v>
      </c>
      <c r="E1735" s="22">
        <v>38273</v>
      </c>
      <c r="F1735" t="s">
        <v>13</v>
      </c>
      <c r="G1735" t="s">
        <v>72</v>
      </c>
      <c r="H1735">
        <v>4</v>
      </c>
      <c r="I1735">
        <v>2004</v>
      </c>
      <c r="J1735" t="s">
        <v>15</v>
      </c>
      <c r="K1735" t="s">
        <v>53</v>
      </c>
    </row>
    <row r="1736" spans="1:11">
      <c r="A1736" t="s">
        <v>185</v>
      </c>
      <c r="B1736">
        <v>10314</v>
      </c>
      <c r="C1736">
        <v>39</v>
      </c>
      <c r="D1736" s="21">
        <v>37.13</v>
      </c>
      <c r="E1736" s="22">
        <v>38282</v>
      </c>
      <c r="F1736" t="s">
        <v>13</v>
      </c>
      <c r="G1736" t="s">
        <v>72</v>
      </c>
      <c r="H1736">
        <v>4</v>
      </c>
      <c r="I1736">
        <v>2004</v>
      </c>
      <c r="J1736" t="s">
        <v>15</v>
      </c>
      <c r="K1736" t="s">
        <v>186</v>
      </c>
    </row>
    <row r="1737" spans="1:11">
      <c r="A1737" t="s">
        <v>44</v>
      </c>
      <c r="B1737">
        <v>10324</v>
      </c>
      <c r="C1737">
        <v>30</v>
      </c>
      <c r="D1737" s="21">
        <v>100</v>
      </c>
      <c r="E1737" s="22">
        <v>38296</v>
      </c>
      <c r="F1737" t="s">
        <v>13</v>
      </c>
      <c r="G1737" t="s">
        <v>72</v>
      </c>
      <c r="H1737">
        <v>4</v>
      </c>
      <c r="I1737">
        <v>2004</v>
      </c>
      <c r="J1737" t="s">
        <v>22</v>
      </c>
      <c r="K1737" t="s">
        <v>45</v>
      </c>
    </row>
    <row r="1738" spans="1:11">
      <c r="A1738" t="s">
        <v>103</v>
      </c>
      <c r="B1738">
        <v>10335</v>
      </c>
      <c r="C1738">
        <v>33</v>
      </c>
      <c r="D1738" s="21">
        <v>37.13</v>
      </c>
      <c r="E1738" s="22">
        <v>38310</v>
      </c>
      <c r="F1738" t="s">
        <v>13</v>
      </c>
      <c r="G1738" t="s">
        <v>72</v>
      </c>
      <c r="H1738">
        <v>4</v>
      </c>
      <c r="I1738">
        <v>2004</v>
      </c>
      <c r="J1738" t="s">
        <v>15</v>
      </c>
      <c r="K1738" t="s">
        <v>104</v>
      </c>
    </row>
    <row r="1739" spans="1:11">
      <c r="A1739" t="s">
        <v>177</v>
      </c>
      <c r="B1739">
        <v>10349</v>
      </c>
      <c r="C1739">
        <v>36</v>
      </c>
      <c r="D1739" s="21">
        <v>37.13</v>
      </c>
      <c r="E1739" s="22">
        <v>38322</v>
      </c>
      <c r="F1739" t="s">
        <v>13</v>
      </c>
      <c r="G1739" t="s">
        <v>72</v>
      </c>
      <c r="H1739">
        <v>4</v>
      </c>
      <c r="I1739">
        <v>2004</v>
      </c>
      <c r="J1739" t="s">
        <v>15</v>
      </c>
      <c r="K1739" t="s">
        <v>178</v>
      </c>
    </row>
    <row r="1740" spans="1:11">
      <c r="A1740" t="s">
        <v>69</v>
      </c>
      <c r="B1740">
        <v>10358</v>
      </c>
      <c r="C1740">
        <v>36</v>
      </c>
      <c r="D1740" s="21">
        <v>82.94</v>
      </c>
      <c r="E1740" s="22">
        <v>38331</v>
      </c>
      <c r="F1740" t="s">
        <v>13</v>
      </c>
      <c r="G1740" t="s">
        <v>72</v>
      </c>
      <c r="H1740">
        <v>4</v>
      </c>
      <c r="I1740">
        <v>2004</v>
      </c>
      <c r="J1740" t="s">
        <v>15</v>
      </c>
      <c r="K1740" t="s">
        <v>71</v>
      </c>
    </row>
    <row r="1741" spans="1:11">
      <c r="A1741" t="s">
        <v>103</v>
      </c>
      <c r="B1741">
        <v>10371</v>
      </c>
      <c r="C1741">
        <v>45</v>
      </c>
      <c r="D1741" s="21">
        <v>100</v>
      </c>
      <c r="E1741" s="22">
        <v>38375</v>
      </c>
      <c r="F1741" t="s">
        <v>13</v>
      </c>
      <c r="G1741" t="s">
        <v>72</v>
      </c>
      <c r="H1741">
        <v>1</v>
      </c>
      <c r="I1741">
        <v>2005</v>
      </c>
      <c r="J1741" t="s">
        <v>22</v>
      </c>
      <c r="K1741" t="s">
        <v>104</v>
      </c>
    </row>
    <row r="1742" spans="1:11">
      <c r="A1742" t="s">
        <v>69</v>
      </c>
      <c r="B1742">
        <v>10383</v>
      </c>
      <c r="C1742">
        <v>40</v>
      </c>
      <c r="D1742" s="21">
        <v>100</v>
      </c>
      <c r="E1742" s="22">
        <v>38405</v>
      </c>
      <c r="F1742" t="s">
        <v>13</v>
      </c>
      <c r="G1742" t="s">
        <v>72</v>
      </c>
      <c r="H1742">
        <v>1</v>
      </c>
      <c r="I1742">
        <v>2005</v>
      </c>
      <c r="J1742" t="s">
        <v>22</v>
      </c>
      <c r="K1742" t="s">
        <v>71</v>
      </c>
    </row>
    <row r="1743" spans="1:11">
      <c r="A1743" t="s">
        <v>69</v>
      </c>
      <c r="B1743">
        <v>10394</v>
      </c>
      <c r="C1743">
        <v>46</v>
      </c>
      <c r="D1743" s="21">
        <v>38.9</v>
      </c>
      <c r="E1743" s="22">
        <v>38426</v>
      </c>
      <c r="F1743" t="s">
        <v>13</v>
      </c>
      <c r="G1743" t="s">
        <v>72</v>
      </c>
      <c r="H1743">
        <v>1</v>
      </c>
      <c r="I1743">
        <v>2005</v>
      </c>
      <c r="J1743" t="s">
        <v>15</v>
      </c>
      <c r="K1743" t="s">
        <v>71</v>
      </c>
    </row>
    <row r="1744" spans="1:11">
      <c r="A1744" t="s">
        <v>69</v>
      </c>
      <c r="B1744">
        <v>10412</v>
      </c>
      <c r="C1744">
        <v>30</v>
      </c>
      <c r="D1744" s="21">
        <v>36.07</v>
      </c>
      <c r="E1744" s="22">
        <v>38475</v>
      </c>
      <c r="F1744" t="s">
        <v>13</v>
      </c>
      <c r="G1744" t="s">
        <v>72</v>
      </c>
      <c r="H1744">
        <v>2</v>
      </c>
      <c r="I1744">
        <v>2005</v>
      </c>
      <c r="J1744" t="s">
        <v>15</v>
      </c>
      <c r="K1744" t="s">
        <v>71</v>
      </c>
    </row>
    <row r="1745" spans="1:11">
      <c r="A1745" t="s">
        <v>50</v>
      </c>
      <c r="B1745">
        <v>10425</v>
      </c>
      <c r="C1745">
        <v>31</v>
      </c>
      <c r="D1745" s="21">
        <v>33.24</v>
      </c>
      <c r="E1745" s="22">
        <v>38503</v>
      </c>
      <c r="F1745" t="s">
        <v>113</v>
      </c>
      <c r="G1745" t="s">
        <v>72</v>
      </c>
      <c r="H1745">
        <v>2</v>
      </c>
      <c r="I1745">
        <v>2005</v>
      </c>
      <c r="J1745" t="s">
        <v>15</v>
      </c>
      <c r="K1745" t="s">
        <v>51</v>
      </c>
    </row>
    <row r="1746" spans="1:11">
      <c r="A1746" t="s">
        <v>203</v>
      </c>
      <c r="B1746">
        <v>10106</v>
      </c>
      <c r="C1746">
        <v>49</v>
      </c>
      <c r="D1746" s="21">
        <v>74.68</v>
      </c>
      <c r="E1746" s="22">
        <v>37669</v>
      </c>
      <c r="F1746" t="s">
        <v>13</v>
      </c>
      <c r="G1746" t="s">
        <v>207</v>
      </c>
      <c r="H1746">
        <v>1</v>
      </c>
      <c r="I1746">
        <v>2003</v>
      </c>
      <c r="J1746" t="s">
        <v>22</v>
      </c>
      <c r="K1746" t="s">
        <v>204</v>
      </c>
    </row>
    <row r="1747" spans="1:11">
      <c r="A1747" t="s">
        <v>60</v>
      </c>
      <c r="B1747">
        <v>10119</v>
      </c>
      <c r="C1747">
        <v>41</v>
      </c>
      <c r="D1747" s="21">
        <v>59.6</v>
      </c>
      <c r="E1747" s="22">
        <v>37739</v>
      </c>
      <c r="F1747" t="s">
        <v>13</v>
      </c>
      <c r="G1747" t="s">
        <v>207</v>
      </c>
      <c r="H1747">
        <v>2</v>
      </c>
      <c r="I1747">
        <v>2003</v>
      </c>
      <c r="J1747" t="s">
        <v>15</v>
      </c>
      <c r="K1747" t="s">
        <v>62</v>
      </c>
    </row>
    <row r="1748" spans="1:11">
      <c r="A1748" t="s">
        <v>208</v>
      </c>
      <c r="B1748">
        <v>10131</v>
      </c>
      <c r="C1748">
        <v>35</v>
      </c>
      <c r="D1748" s="21">
        <v>67.14</v>
      </c>
      <c r="E1748" s="22">
        <v>37788</v>
      </c>
      <c r="F1748" t="s">
        <v>13</v>
      </c>
      <c r="G1748" t="s">
        <v>207</v>
      </c>
      <c r="H1748">
        <v>2</v>
      </c>
      <c r="I1748">
        <v>2003</v>
      </c>
      <c r="J1748" t="s">
        <v>15</v>
      </c>
      <c r="K1748" t="s">
        <v>209</v>
      </c>
    </row>
    <row r="1749" spans="1:11">
      <c r="A1749" t="s">
        <v>126</v>
      </c>
      <c r="B1749">
        <v>10143</v>
      </c>
      <c r="C1749">
        <v>27</v>
      </c>
      <c r="D1749" s="21">
        <v>60.97</v>
      </c>
      <c r="E1749" s="22">
        <v>37843</v>
      </c>
      <c r="F1749" t="s">
        <v>13</v>
      </c>
      <c r="G1749" t="s">
        <v>207</v>
      </c>
      <c r="H1749">
        <v>3</v>
      </c>
      <c r="I1749">
        <v>2003</v>
      </c>
      <c r="J1749" t="s">
        <v>15</v>
      </c>
      <c r="K1749" t="s">
        <v>127</v>
      </c>
    </row>
    <row r="1750" spans="1:11">
      <c r="A1750" t="s">
        <v>54</v>
      </c>
      <c r="B1750">
        <v>10155</v>
      </c>
      <c r="C1750">
        <v>23</v>
      </c>
      <c r="D1750" s="21">
        <v>72.62</v>
      </c>
      <c r="E1750" s="22">
        <v>37900</v>
      </c>
      <c r="F1750" t="s">
        <v>13</v>
      </c>
      <c r="G1750" t="s">
        <v>207</v>
      </c>
      <c r="H1750">
        <v>4</v>
      </c>
      <c r="I1750">
        <v>2003</v>
      </c>
      <c r="J1750" t="s">
        <v>15</v>
      </c>
      <c r="K1750" t="s">
        <v>55</v>
      </c>
    </row>
    <row r="1751" spans="1:11">
      <c r="A1751" t="s">
        <v>99</v>
      </c>
      <c r="B1751">
        <v>10167</v>
      </c>
      <c r="C1751">
        <v>21</v>
      </c>
      <c r="D1751" s="21">
        <v>69.88</v>
      </c>
      <c r="E1751" s="22">
        <v>37917</v>
      </c>
      <c r="F1751" t="s">
        <v>128</v>
      </c>
      <c r="G1751" t="s">
        <v>207</v>
      </c>
      <c r="H1751">
        <v>4</v>
      </c>
      <c r="I1751">
        <v>2003</v>
      </c>
      <c r="J1751" t="s">
        <v>15</v>
      </c>
      <c r="K1751" t="s">
        <v>100</v>
      </c>
    </row>
    <row r="1752" spans="1:11">
      <c r="A1752" t="s">
        <v>129</v>
      </c>
      <c r="B1752">
        <v>10178</v>
      </c>
      <c r="C1752">
        <v>34</v>
      </c>
      <c r="D1752" s="21">
        <v>80.84</v>
      </c>
      <c r="E1752" s="22">
        <v>37933</v>
      </c>
      <c r="F1752" t="s">
        <v>13</v>
      </c>
      <c r="G1752" t="s">
        <v>207</v>
      </c>
      <c r="H1752">
        <v>4</v>
      </c>
      <c r="I1752">
        <v>2003</v>
      </c>
      <c r="J1752" t="s">
        <v>15</v>
      </c>
      <c r="K1752" t="s">
        <v>130</v>
      </c>
    </row>
    <row r="1753" spans="1:11">
      <c r="A1753" t="s">
        <v>131</v>
      </c>
      <c r="B1753">
        <v>10186</v>
      </c>
      <c r="C1753">
        <v>22</v>
      </c>
      <c r="D1753" s="21">
        <v>69.2</v>
      </c>
      <c r="E1753" s="22">
        <v>37939</v>
      </c>
      <c r="F1753" t="s">
        <v>13</v>
      </c>
      <c r="G1753" t="s">
        <v>207</v>
      </c>
      <c r="H1753">
        <v>4</v>
      </c>
      <c r="I1753">
        <v>2003</v>
      </c>
      <c r="J1753" t="s">
        <v>15</v>
      </c>
      <c r="K1753" t="s">
        <v>132</v>
      </c>
    </row>
    <row r="1754" spans="1:11">
      <c r="A1754" t="s">
        <v>161</v>
      </c>
      <c r="B1754">
        <v>10198</v>
      </c>
      <c r="C1754">
        <v>48</v>
      </c>
      <c r="D1754" s="21">
        <v>67.82</v>
      </c>
      <c r="E1754" s="22">
        <v>37952</v>
      </c>
      <c r="F1754" t="s">
        <v>13</v>
      </c>
      <c r="G1754" t="s">
        <v>207</v>
      </c>
      <c r="H1754">
        <v>4</v>
      </c>
      <c r="I1754">
        <v>2003</v>
      </c>
      <c r="J1754" t="s">
        <v>22</v>
      </c>
      <c r="K1754" t="s">
        <v>162</v>
      </c>
    </row>
    <row r="1755" spans="1:11">
      <c r="A1755" t="s">
        <v>135</v>
      </c>
      <c r="B1755">
        <v>10209</v>
      </c>
      <c r="C1755">
        <v>43</v>
      </c>
      <c r="D1755" s="21">
        <v>82.21</v>
      </c>
      <c r="E1755" s="22">
        <v>37995</v>
      </c>
      <c r="F1755" t="s">
        <v>13</v>
      </c>
      <c r="G1755" t="s">
        <v>207</v>
      </c>
      <c r="H1755">
        <v>1</v>
      </c>
      <c r="I1755">
        <v>2004</v>
      </c>
      <c r="J1755" t="s">
        <v>22</v>
      </c>
      <c r="K1755" t="s">
        <v>136</v>
      </c>
    </row>
    <row r="1756" spans="1:11">
      <c r="A1756" t="s">
        <v>137</v>
      </c>
      <c r="B1756">
        <v>10222</v>
      </c>
      <c r="C1756">
        <v>32</v>
      </c>
      <c r="D1756" s="21">
        <v>81.53</v>
      </c>
      <c r="E1756" s="22">
        <v>38036</v>
      </c>
      <c r="F1756" t="s">
        <v>13</v>
      </c>
      <c r="G1756" t="s">
        <v>207</v>
      </c>
      <c r="H1756">
        <v>1</v>
      </c>
      <c r="I1756">
        <v>2004</v>
      </c>
      <c r="J1756" t="s">
        <v>15</v>
      </c>
      <c r="K1756" t="s">
        <v>138</v>
      </c>
    </row>
    <row r="1757" spans="1:11">
      <c r="A1757" t="s">
        <v>91</v>
      </c>
      <c r="B1757">
        <v>10249</v>
      </c>
      <c r="C1757">
        <v>20</v>
      </c>
      <c r="D1757" s="21">
        <v>67.82</v>
      </c>
      <c r="E1757" s="22">
        <v>38115</v>
      </c>
      <c r="F1757" t="s">
        <v>13</v>
      </c>
      <c r="G1757" t="s">
        <v>207</v>
      </c>
      <c r="H1757">
        <v>2</v>
      </c>
      <c r="I1757">
        <v>2004</v>
      </c>
      <c r="J1757" t="s">
        <v>15</v>
      </c>
      <c r="K1757" t="s">
        <v>92</v>
      </c>
    </row>
    <row r="1758" spans="1:11">
      <c r="A1758" t="s">
        <v>69</v>
      </c>
      <c r="B1758">
        <v>10262</v>
      </c>
      <c r="C1758">
        <v>24</v>
      </c>
      <c r="D1758" s="21">
        <v>67.14</v>
      </c>
      <c r="E1758" s="22">
        <v>38162</v>
      </c>
      <c r="F1758" t="s">
        <v>128</v>
      </c>
      <c r="G1758" t="s">
        <v>207</v>
      </c>
      <c r="H1758">
        <v>2</v>
      </c>
      <c r="I1758">
        <v>2004</v>
      </c>
      <c r="J1758" t="s">
        <v>15</v>
      </c>
      <c r="K1758" t="s">
        <v>71</v>
      </c>
    </row>
    <row r="1759" spans="1:11">
      <c r="A1759" t="s">
        <v>107</v>
      </c>
      <c r="B1759">
        <v>10274</v>
      </c>
      <c r="C1759">
        <v>40</v>
      </c>
      <c r="D1759" s="21">
        <v>65.08</v>
      </c>
      <c r="E1759" s="22">
        <v>38189</v>
      </c>
      <c r="F1759" t="s">
        <v>13</v>
      </c>
      <c r="G1759" t="s">
        <v>207</v>
      </c>
      <c r="H1759">
        <v>3</v>
      </c>
      <c r="I1759">
        <v>2004</v>
      </c>
      <c r="J1759" t="s">
        <v>15</v>
      </c>
      <c r="K1759" t="s">
        <v>108</v>
      </c>
    </row>
    <row r="1760" spans="1:11">
      <c r="A1760" t="s">
        <v>200</v>
      </c>
      <c r="B1760">
        <v>10284</v>
      </c>
      <c r="C1760">
        <v>30</v>
      </c>
      <c r="D1760" s="21">
        <v>73.99</v>
      </c>
      <c r="E1760" s="22">
        <v>38220</v>
      </c>
      <c r="F1760" t="s">
        <v>13</v>
      </c>
      <c r="G1760" t="s">
        <v>207</v>
      </c>
      <c r="H1760">
        <v>3</v>
      </c>
      <c r="I1760">
        <v>2004</v>
      </c>
      <c r="J1760" t="s">
        <v>15</v>
      </c>
      <c r="K1760" t="s">
        <v>201</v>
      </c>
    </row>
    <row r="1761" spans="1:11">
      <c r="A1761" t="s">
        <v>210</v>
      </c>
      <c r="B1761">
        <v>10296</v>
      </c>
      <c r="C1761">
        <v>21</v>
      </c>
      <c r="D1761" s="21">
        <v>71.25</v>
      </c>
      <c r="E1761" s="22">
        <v>38245</v>
      </c>
      <c r="F1761" t="s">
        <v>13</v>
      </c>
      <c r="G1761" t="s">
        <v>207</v>
      </c>
      <c r="H1761">
        <v>3</v>
      </c>
      <c r="I1761">
        <v>2004</v>
      </c>
      <c r="J1761" t="s">
        <v>15</v>
      </c>
      <c r="K1761" t="s">
        <v>211</v>
      </c>
    </row>
    <row r="1762" spans="1:11">
      <c r="A1762" t="s">
        <v>83</v>
      </c>
      <c r="B1762">
        <v>10307</v>
      </c>
      <c r="C1762">
        <v>25</v>
      </c>
      <c r="D1762" s="21">
        <v>75.36</v>
      </c>
      <c r="E1762" s="22">
        <v>38274</v>
      </c>
      <c r="F1762" t="s">
        <v>13</v>
      </c>
      <c r="G1762" t="s">
        <v>207</v>
      </c>
      <c r="H1762">
        <v>4</v>
      </c>
      <c r="I1762">
        <v>2004</v>
      </c>
      <c r="J1762" t="s">
        <v>15</v>
      </c>
      <c r="K1762" t="s">
        <v>84</v>
      </c>
    </row>
    <row r="1763" spans="1:11">
      <c r="A1763" t="s">
        <v>145</v>
      </c>
      <c r="B1763">
        <v>10316</v>
      </c>
      <c r="C1763">
        <v>34</v>
      </c>
      <c r="D1763" s="21">
        <v>63.71</v>
      </c>
      <c r="E1763" s="22">
        <v>38292</v>
      </c>
      <c r="F1763" t="s">
        <v>13</v>
      </c>
      <c r="G1763" t="s">
        <v>207</v>
      </c>
      <c r="H1763">
        <v>4</v>
      </c>
      <c r="I1763">
        <v>2004</v>
      </c>
      <c r="J1763" t="s">
        <v>15</v>
      </c>
      <c r="K1763" t="s">
        <v>146</v>
      </c>
    </row>
    <row r="1764" spans="1:11">
      <c r="A1764" t="s">
        <v>203</v>
      </c>
      <c r="B1764">
        <v>10328</v>
      </c>
      <c r="C1764">
        <v>48</v>
      </c>
      <c r="D1764" s="21">
        <v>58.92</v>
      </c>
      <c r="E1764" s="22">
        <v>38303</v>
      </c>
      <c r="F1764" t="s">
        <v>13</v>
      </c>
      <c r="G1764" t="s">
        <v>207</v>
      </c>
      <c r="H1764">
        <v>4</v>
      </c>
      <c r="I1764">
        <v>2004</v>
      </c>
      <c r="J1764" t="s">
        <v>15</v>
      </c>
      <c r="K1764" t="s">
        <v>204</v>
      </c>
    </row>
    <row r="1765" spans="1:11">
      <c r="A1765" t="s">
        <v>95</v>
      </c>
      <c r="B1765">
        <v>10339</v>
      </c>
      <c r="C1765">
        <v>55</v>
      </c>
      <c r="D1765" s="21">
        <v>100</v>
      </c>
      <c r="E1765" s="22">
        <v>38314</v>
      </c>
      <c r="F1765" t="s">
        <v>13</v>
      </c>
      <c r="G1765" t="s">
        <v>207</v>
      </c>
      <c r="H1765">
        <v>4</v>
      </c>
      <c r="I1765">
        <v>2004</v>
      </c>
      <c r="J1765" t="s">
        <v>22</v>
      </c>
      <c r="K1765" t="s">
        <v>96</v>
      </c>
    </row>
    <row r="1766" spans="1:11">
      <c r="A1766" t="s">
        <v>124</v>
      </c>
      <c r="B1766">
        <v>10351</v>
      </c>
      <c r="C1766">
        <v>25</v>
      </c>
      <c r="D1766" s="21">
        <v>74.68</v>
      </c>
      <c r="E1766" s="22">
        <v>38324</v>
      </c>
      <c r="F1766" t="s">
        <v>13</v>
      </c>
      <c r="G1766" t="s">
        <v>207</v>
      </c>
      <c r="H1766">
        <v>4</v>
      </c>
      <c r="I1766">
        <v>2004</v>
      </c>
      <c r="J1766" t="s">
        <v>15</v>
      </c>
      <c r="K1766" t="s">
        <v>125</v>
      </c>
    </row>
    <row r="1767" spans="1:11">
      <c r="A1767" t="s">
        <v>147</v>
      </c>
      <c r="B1767">
        <v>10373</v>
      </c>
      <c r="C1767">
        <v>38</v>
      </c>
      <c r="D1767" s="21">
        <v>70.44</v>
      </c>
      <c r="E1767" s="22">
        <v>38383</v>
      </c>
      <c r="F1767" t="s">
        <v>13</v>
      </c>
      <c r="G1767" t="s">
        <v>207</v>
      </c>
      <c r="H1767">
        <v>1</v>
      </c>
      <c r="I1767">
        <v>2005</v>
      </c>
      <c r="J1767" t="s">
        <v>15</v>
      </c>
      <c r="K1767" t="s">
        <v>148</v>
      </c>
    </row>
    <row r="1768" spans="1:11">
      <c r="A1768" t="s">
        <v>69</v>
      </c>
      <c r="B1768">
        <v>10386</v>
      </c>
      <c r="C1768">
        <v>39</v>
      </c>
      <c r="D1768" s="21">
        <v>55.96</v>
      </c>
      <c r="E1768" s="22">
        <v>38412</v>
      </c>
      <c r="F1768" t="s">
        <v>155</v>
      </c>
      <c r="G1768" t="s">
        <v>207</v>
      </c>
      <c r="H1768">
        <v>1</v>
      </c>
      <c r="I1768">
        <v>2005</v>
      </c>
      <c r="J1768" t="s">
        <v>15</v>
      </c>
      <c r="K1768" t="s">
        <v>71</v>
      </c>
    </row>
    <row r="1769" spans="1:11">
      <c r="A1769" t="s">
        <v>18</v>
      </c>
      <c r="B1769">
        <v>10398</v>
      </c>
      <c r="C1769">
        <v>28</v>
      </c>
      <c r="D1769" s="21">
        <v>57.55</v>
      </c>
      <c r="E1769" s="22">
        <v>38441</v>
      </c>
      <c r="F1769" t="s">
        <v>13</v>
      </c>
      <c r="G1769" t="s">
        <v>207</v>
      </c>
      <c r="H1769">
        <v>1</v>
      </c>
      <c r="I1769">
        <v>2005</v>
      </c>
      <c r="J1769" t="s">
        <v>15</v>
      </c>
      <c r="K1769" t="s">
        <v>19</v>
      </c>
    </row>
    <row r="1770" spans="1:11">
      <c r="A1770" t="s">
        <v>149</v>
      </c>
      <c r="B1770">
        <v>10400</v>
      </c>
      <c r="C1770">
        <v>24</v>
      </c>
      <c r="D1770" s="21">
        <v>61.66</v>
      </c>
      <c r="E1770" s="22">
        <v>38443</v>
      </c>
      <c r="F1770" t="s">
        <v>13</v>
      </c>
      <c r="G1770" t="s">
        <v>207</v>
      </c>
      <c r="H1770">
        <v>2</v>
      </c>
      <c r="I1770">
        <v>2005</v>
      </c>
      <c r="J1770" t="s">
        <v>15</v>
      </c>
      <c r="K1770" t="s">
        <v>150</v>
      </c>
    </row>
    <row r="1771" spans="1:11">
      <c r="A1771" t="s">
        <v>205</v>
      </c>
      <c r="B1771">
        <v>10415</v>
      </c>
      <c r="C1771">
        <v>21</v>
      </c>
      <c r="D1771" s="21">
        <v>67.82</v>
      </c>
      <c r="E1771" s="22">
        <v>38481</v>
      </c>
      <c r="F1771" t="s">
        <v>70</v>
      </c>
      <c r="G1771" t="s">
        <v>207</v>
      </c>
      <c r="H1771">
        <v>2</v>
      </c>
      <c r="I1771">
        <v>2005</v>
      </c>
      <c r="J1771" t="s">
        <v>15</v>
      </c>
      <c r="K1771" t="s">
        <v>206</v>
      </c>
    </row>
    <row r="1772" spans="1:11">
      <c r="A1772" t="s">
        <v>183</v>
      </c>
      <c r="B1772">
        <v>10110</v>
      </c>
      <c r="C1772">
        <v>46</v>
      </c>
      <c r="D1772" s="21">
        <v>100</v>
      </c>
      <c r="E1772" s="22">
        <v>37698</v>
      </c>
      <c r="F1772" t="s">
        <v>13</v>
      </c>
      <c r="G1772" t="s">
        <v>72</v>
      </c>
      <c r="H1772">
        <v>1</v>
      </c>
      <c r="I1772">
        <v>2003</v>
      </c>
      <c r="J1772" t="s">
        <v>22</v>
      </c>
      <c r="K1772" t="s">
        <v>184</v>
      </c>
    </row>
    <row r="1773" spans="1:11">
      <c r="A1773" t="s">
        <v>198</v>
      </c>
      <c r="B1773">
        <v>10124</v>
      </c>
      <c r="C1773">
        <v>25</v>
      </c>
      <c r="D1773" s="21">
        <v>93.95</v>
      </c>
      <c r="E1773" s="22">
        <v>37762</v>
      </c>
      <c r="F1773" t="s">
        <v>13</v>
      </c>
      <c r="G1773" t="s">
        <v>72</v>
      </c>
      <c r="H1773">
        <v>2</v>
      </c>
      <c r="I1773">
        <v>2003</v>
      </c>
      <c r="J1773" t="s">
        <v>15</v>
      </c>
      <c r="K1773" t="s">
        <v>199</v>
      </c>
    </row>
    <row r="1774" spans="1:11">
      <c r="A1774" t="s">
        <v>109</v>
      </c>
      <c r="B1774">
        <v>10148</v>
      </c>
      <c r="C1774">
        <v>34</v>
      </c>
      <c r="D1774" s="21">
        <v>100</v>
      </c>
      <c r="E1774" s="22">
        <v>37875</v>
      </c>
      <c r="F1774" t="s">
        <v>13</v>
      </c>
      <c r="G1774" t="s">
        <v>72</v>
      </c>
      <c r="H1774">
        <v>3</v>
      </c>
      <c r="I1774">
        <v>2003</v>
      </c>
      <c r="J1774" t="s">
        <v>22</v>
      </c>
      <c r="K1774" t="s">
        <v>110</v>
      </c>
    </row>
    <row r="1775" spans="1:11">
      <c r="A1775" t="s">
        <v>185</v>
      </c>
      <c r="B1775">
        <v>10161</v>
      </c>
      <c r="C1775">
        <v>25</v>
      </c>
      <c r="D1775" s="21">
        <v>100</v>
      </c>
      <c r="E1775" s="22">
        <v>37911</v>
      </c>
      <c r="F1775" t="s">
        <v>13</v>
      </c>
      <c r="G1775" t="s">
        <v>72</v>
      </c>
      <c r="H1775">
        <v>4</v>
      </c>
      <c r="I1775">
        <v>2003</v>
      </c>
      <c r="J1775" t="s">
        <v>15</v>
      </c>
      <c r="K1775" t="s">
        <v>186</v>
      </c>
    </row>
    <row r="1776" spans="1:11">
      <c r="A1776" t="s">
        <v>203</v>
      </c>
      <c r="B1776">
        <v>10173</v>
      </c>
      <c r="C1776">
        <v>23</v>
      </c>
      <c r="D1776" s="21">
        <v>100</v>
      </c>
      <c r="E1776" s="22">
        <v>37930</v>
      </c>
      <c r="F1776" t="s">
        <v>13</v>
      </c>
      <c r="G1776" t="s">
        <v>72</v>
      </c>
      <c r="H1776">
        <v>4</v>
      </c>
      <c r="I1776">
        <v>2003</v>
      </c>
      <c r="J1776" t="s">
        <v>15</v>
      </c>
      <c r="K1776" t="s">
        <v>204</v>
      </c>
    </row>
    <row r="1777" spans="1:11">
      <c r="A1777" t="s">
        <v>103</v>
      </c>
      <c r="B1777">
        <v>10182</v>
      </c>
      <c r="C1777">
        <v>20</v>
      </c>
      <c r="D1777" s="21">
        <v>100</v>
      </c>
      <c r="E1777" s="22">
        <v>37937</v>
      </c>
      <c r="F1777" t="s">
        <v>13</v>
      </c>
      <c r="G1777" t="s">
        <v>72</v>
      </c>
      <c r="H1777">
        <v>4</v>
      </c>
      <c r="I1777">
        <v>2003</v>
      </c>
      <c r="J1777" t="s">
        <v>15</v>
      </c>
      <c r="K1777" t="s">
        <v>104</v>
      </c>
    </row>
    <row r="1778" spans="1:11">
      <c r="A1778" t="s">
        <v>105</v>
      </c>
      <c r="B1778">
        <v>10192</v>
      </c>
      <c r="C1778">
        <v>23</v>
      </c>
      <c r="D1778" s="21">
        <v>100</v>
      </c>
      <c r="E1778" s="22">
        <v>37945</v>
      </c>
      <c r="F1778" t="s">
        <v>13</v>
      </c>
      <c r="G1778" t="s">
        <v>72</v>
      </c>
      <c r="H1778">
        <v>4</v>
      </c>
      <c r="I1778">
        <v>2003</v>
      </c>
      <c r="J1778" t="s">
        <v>22</v>
      </c>
      <c r="K1778" t="s">
        <v>106</v>
      </c>
    </row>
    <row r="1779" spans="1:11">
      <c r="A1779" t="s">
        <v>177</v>
      </c>
      <c r="B1779">
        <v>10204</v>
      </c>
      <c r="C1779">
        <v>42</v>
      </c>
      <c r="D1779" s="21">
        <v>100</v>
      </c>
      <c r="E1779" s="22">
        <v>37957</v>
      </c>
      <c r="F1779" t="s">
        <v>13</v>
      </c>
      <c r="G1779" t="s">
        <v>72</v>
      </c>
      <c r="H1779">
        <v>4</v>
      </c>
      <c r="I1779">
        <v>2003</v>
      </c>
      <c r="J1779" t="s">
        <v>22</v>
      </c>
      <c r="K1779" t="s">
        <v>178</v>
      </c>
    </row>
    <row r="1780" spans="1:11">
      <c r="A1780" t="s">
        <v>131</v>
      </c>
      <c r="B1780">
        <v>10213</v>
      </c>
      <c r="C1780">
        <v>27</v>
      </c>
      <c r="D1780" s="21">
        <v>100</v>
      </c>
      <c r="E1780" s="22">
        <v>38008</v>
      </c>
      <c r="F1780" t="s">
        <v>13</v>
      </c>
      <c r="G1780" t="s">
        <v>72</v>
      </c>
      <c r="H1780">
        <v>1</v>
      </c>
      <c r="I1780">
        <v>2004</v>
      </c>
      <c r="J1780" t="s">
        <v>15</v>
      </c>
      <c r="K1780" t="s">
        <v>132</v>
      </c>
    </row>
    <row r="1781" spans="1:11">
      <c r="A1781" t="s">
        <v>85</v>
      </c>
      <c r="B1781">
        <v>10227</v>
      </c>
      <c r="C1781">
        <v>33</v>
      </c>
      <c r="D1781" s="21">
        <v>100</v>
      </c>
      <c r="E1781" s="22">
        <v>38048</v>
      </c>
      <c r="F1781" t="s">
        <v>13</v>
      </c>
      <c r="G1781" t="s">
        <v>72</v>
      </c>
      <c r="H1781">
        <v>1</v>
      </c>
      <c r="I1781">
        <v>2004</v>
      </c>
      <c r="J1781" t="s">
        <v>22</v>
      </c>
      <c r="K1781" t="s">
        <v>86</v>
      </c>
    </row>
    <row r="1782" spans="1:11">
      <c r="A1782" t="s">
        <v>196</v>
      </c>
      <c r="B1782">
        <v>10241</v>
      </c>
      <c r="C1782">
        <v>28</v>
      </c>
      <c r="D1782" s="21">
        <v>98.65</v>
      </c>
      <c r="E1782" s="22">
        <v>38090</v>
      </c>
      <c r="F1782" t="s">
        <v>13</v>
      </c>
      <c r="G1782" t="s">
        <v>72</v>
      </c>
      <c r="H1782">
        <v>2</v>
      </c>
      <c r="I1782">
        <v>2004</v>
      </c>
      <c r="J1782" t="s">
        <v>15</v>
      </c>
      <c r="K1782" t="s">
        <v>197</v>
      </c>
    </row>
    <row r="1783" spans="1:11">
      <c r="A1783" t="s">
        <v>177</v>
      </c>
      <c r="B1783">
        <v>10267</v>
      </c>
      <c r="C1783">
        <v>43</v>
      </c>
      <c r="D1783" s="21">
        <v>100</v>
      </c>
      <c r="E1783" s="22">
        <v>38175</v>
      </c>
      <c r="F1783" t="s">
        <v>13</v>
      </c>
      <c r="G1783" t="s">
        <v>72</v>
      </c>
      <c r="H1783">
        <v>3</v>
      </c>
      <c r="I1783">
        <v>2004</v>
      </c>
      <c r="J1783" t="s">
        <v>22</v>
      </c>
      <c r="K1783" t="s">
        <v>178</v>
      </c>
    </row>
    <row r="1784" spans="1:11">
      <c r="A1784" t="s">
        <v>69</v>
      </c>
      <c r="B1784">
        <v>10279</v>
      </c>
      <c r="C1784">
        <v>48</v>
      </c>
      <c r="D1784" s="21">
        <v>100</v>
      </c>
      <c r="E1784" s="22">
        <v>38208</v>
      </c>
      <c r="F1784" t="s">
        <v>13</v>
      </c>
      <c r="G1784" t="s">
        <v>72</v>
      </c>
      <c r="H1784">
        <v>3</v>
      </c>
      <c r="I1784">
        <v>2004</v>
      </c>
      <c r="J1784" t="s">
        <v>22</v>
      </c>
      <c r="K1784" t="s">
        <v>71</v>
      </c>
    </row>
    <row r="1785" spans="1:11">
      <c r="A1785" t="s">
        <v>159</v>
      </c>
      <c r="B1785">
        <v>10288</v>
      </c>
      <c r="C1785">
        <v>48</v>
      </c>
      <c r="D1785" s="21">
        <v>100</v>
      </c>
      <c r="E1785" s="22">
        <v>38231</v>
      </c>
      <c r="F1785" t="s">
        <v>13</v>
      </c>
      <c r="G1785" t="s">
        <v>72</v>
      </c>
      <c r="H1785">
        <v>3</v>
      </c>
      <c r="I1785">
        <v>2004</v>
      </c>
      <c r="J1785" t="s">
        <v>22</v>
      </c>
      <c r="K1785" t="s">
        <v>160</v>
      </c>
    </row>
    <row r="1786" spans="1:11">
      <c r="A1786" t="s">
        <v>67</v>
      </c>
      <c r="B1786">
        <v>10302</v>
      </c>
      <c r="C1786">
        <v>45</v>
      </c>
      <c r="D1786" s="21">
        <v>100</v>
      </c>
      <c r="E1786" s="22">
        <v>37900</v>
      </c>
      <c r="F1786" t="s">
        <v>13</v>
      </c>
      <c r="G1786" t="s">
        <v>72</v>
      </c>
      <c r="H1786">
        <v>4</v>
      </c>
      <c r="I1786">
        <v>2003</v>
      </c>
      <c r="J1786" t="s">
        <v>22</v>
      </c>
      <c r="K1786" t="s">
        <v>68</v>
      </c>
    </row>
    <row r="1787" spans="1:11">
      <c r="A1787" t="s">
        <v>69</v>
      </c>
      <c r="B1787">
        <v>10311</v>
      </c>
      <c r="C1787">
        <v>43</v>
      </c>
      <c r="D1787" s="21">
        <v>100</v>
      </c>
      <c r="E1787" s="22">
        <v>38276</v>
      </c>
      <c r="F1787" t="s">
        <v>13</v>
      </c>
      <c r="G1787" t="s">
        <v>72</v>
      </c>
      <c r="H1787">
        <v>4</v>
      </c>
      <c r="I1787">
        <v>2004</v>
      </c>
      <c r="J1787" t="s">
        <v>22</v>
      </c>
      <c r="K1787" t="s">
        <v>71</v>
      </c>
    </row>
    <row r="1788" spans="1:11">
      <c r="A1788" t="s">
        <v>183</v>
      </c>
      <c r="B1788">
        <v>10332</v>
      </c>
      <c r="C1788">
        <v>44</v>
      </c>
      <c r="D1788" s="21">
        <v>42.26</v>
      </c>
      <c r="E1788" s="22">
        <v>38308</v>
      </c>
      <c r="F1788" t="s">
        <v>13</v>
      </c>
      <c r="G1788" t="s">
        <v>72</v>
      </c>
      <c r="H1788">
        <v>4</v>
      </c>
      <c r="I1788">
        <v>2004</v>
      </c>
      <c r="J1788" t="s">
        <v>15</v>
      </c>
      <c r="K1788" t="s">
        <v>184</v>
      </c>
    </row>
    <row r="1789" spans="1:11">
      <c r="A1789" t="s">
        <v>198</v>
      </c>
      <c r="B1789">
        <v>10346</v>
      </c>
      <c r="C1789">
        <v>24</v>
      </c>
      <c r="D1789" s="21">
        <v>87.24</v>
      </c>
      <c r="E1789" s="22">
        <v>38320</v>
      </c>
      <c r="F1789" t="s">
        <v>13</v>
      </c>
      <c r="G1789" t="s">
        <v>72</v>
      </c>
      <c r="H1789">
        <v>4</v>
      </c>
      <c r="I1789">
        <v>2004</v>
      </c>
      <c r="J1789" t="s">
        <v>15</v>
      </c>
      <c r="K1789" t="s">
        <v>199</v>
      </c>
    </row>
    <row r="1790" spans="1:11">
      <c r="A1790" t="s">
        <v>103</v>
      </c>
      <c r="B1790">
        <v>10368</v>
      </c>
      <c r="C1790">
        <v>31</v>
      </c>
      <c r="D1790" s="21">
        <v>100</v>
      </c>
      <c r="E1790" s="22">
        <v>38371</v>
      </c>
      <c r="F1790" t="s">
        <v>13</v>
      </c>
      <c r="G1790" t="s">
        <v>72</v>
      </c>
      <c r="H1790">
        <v>1</v>
      </c>
      <c r="I1790">
        <v>2005</v>
      </c>
      <c r="J1790" t="s">
        <v>22</v>
      </c>
      <c r="K1790" t="s">
        <v>104</v>
      </c>
    </row>
    <row r="1791" spans="1:11">
      <c r="A1791" t="s">
        <v>69</v>
      </c>
      <c r="B1791">
        <v>10380</v>
      </c>
      <c r="C1791">
        <v>44</v>
      </c>
      <c r="D1791" s="21">
        <v>36.29</v>
      </c>
      <c r="E1791" s="22">
        <v>38399</v>
      </c>
      <c r="F1791" t="s">
        <v>13</v>
      </c>
      <c r="G1791" t="s">
        <v>72</v>
      </c>
      <c r="H1791">
        <v>1</v>
      </c>
      <c r="I1791">
        <v>2005</v>
      </c>
      <c r="J1791" t="s">
        <v>15</v>
      </c>
      <c r="K1791" t="s">
        <v>71</v>
      </c>
    </row>
    <row r="1792" spans="1:11">
      <c r="A1792" t="s">
        <v>149</v>
      </c>
      <c r="B1792">
        <v>10407</v>
      </c>
      <c r="C1792">
        <v>59</v>
      </c>
      <c r="D1792" s="21">
        <v>98.65</v>
      </c>
      <c r="E1792" s="22">
        <v>38464</v>
      </c>
      <c r="F1792" t="s">
        <v>151</v>
      </c>
      <c r="G1792" t="s">
        <v>72</v>
      </c>
      <c r="H1792">
        <v>2</v>
      </c>
      <c r="I1792">
        <v>2005</v>
      </c>
      <c r="J1792" t="s">
        <v>22</v>
      </c>
      <c r="K1792" t="s">
        <v>150</v>
      </c>
    </row>
    <row r="1793" spans="1:11">
      <c r="A1793" t="s">
        <v>63</v>
      </c>
      <c r="B1793">
        <v>10420</v>
      </c>
      <c r="C1793">
        <v>55</v>
      </c>
      <c r="D1793" s="21">
        <v>96.3</v>
      </c>
      <c r="E1793" s="22">
        <v>38501</v>
      </c>
      <c r="F1793" t="s">
        <v>113</v>
      </c>
      <c r="G1793" t="s">
        <v>72</v>
      </c>
      <c r="H1793">
        <v>2</v>
      </c>
      <c r="I1793">
        <v>2005</v>
      </c>
      <c r="J1793" t="s">
        <v>22</v>
      </c>
      <c r="K1793" t="s">
        <v>64</v>
      </c>
    </row>
    <row r="1794" spans="1:11">
      <c r="A1794" t="s">
        <v>116</v>
      </c>
      <c r="B1794">
        <v>10109</v>
      </c>
      <c r="C1794">
        <v>29</v>
      </c>
      <c r="D1794" s="21">
        <v>32.1</v>
      </c>
      <c r="E1794" s="22">
        <v>37690</v>
      </c>
      <c r="F1794" t="s">
        <v>13</v>
      </c>
      <c r="G1794" t="s">
        <v>72</v>
      </c>
      <c r="H1794">
        <v>1</v>
      </c>
      <c r="I1794">
        <v>2003</v>
      </c>
      <c r="J1794" t="s">
        <v>15</v>
      </c>
      <c r="K1794" t="s">
        <v>117</v>
      </c>
    </row>
    <row r="1795" spans="1:11">
      <c r="A1795" t="s">
        <v>163</v>
      </c>
      <c r="B1795">
        <v>10122</v>
      </c>
      <c r="C1795">
        <v>39</v>
      </c>
      <c r="D1795" s="21">
        <v>30.96</v>
      </c>
      <c r="E1795" s="22">
        <v>37749</v>
      </c>
      <c r="F1795" t="s">
        <v>13</v>
      </c>
      <c r="G1795" t="s">
        <v>72</v>
      </c>
      <c r="H1795">
        <v>2</v>
      </c>
      <c r="I1795">
        <v>2003</v>
      </c>
      <c r="J1795" t="s">
        <v>15</v>
      </c>
      <c r="K1795" t="s">
        <v>164</v>
      </c>
    </row>
    <row r="1796" spans="1:11">
      <c r="A1796" t="s">
        <v>103</v>
      </c>
      <c r="B1796">
        <v>10135</v>
      </c>
      <c r="C1796">
        <v>20</v>
      </c>
      <c r="D1796" s="21">
        <v>35.87</v>
      </c>
      <c r="E1796" s="22">
        <v>37804</v>
      </c>
      <c r="F1796" t="s">
        <v>13</v>
      </c>
      <c r="G1796" t="s">
        <v>72</v>
      </c>
      <c r="H1796">
        <v>3</v>
      </c>
      <c r="I1796">
        <v>2003</v>
      </c>
      <c r="J1796" t="s">
        <v>15</v>
      </c>
      <c r="K1796" t="s">
        <v>104</v>
      </c>
    </row>
    <row r="1797" spans="1:11">
      <c r="A1797" t="s">
        <v>107</v>
      </c>
      <c r="B1797">
        <v>10147</v>
      </c>
      <c r="C1797">
        <v>25</v>
      </c>
      <c r="D1797" s="21">
        <v>42.67</v>
      </c>
      <c r="E1797" s="22">
        <v>37869</v>
      </c>
      <c r="F1797" t="s">
        <v>13</v>
      </c>
      <c r="G1797" t="s">
        <v>72</v>
      </c>
      <c r="H1797">
        <v>3</v>
      </c>
      <c r="I1797">
        <v>2003</v>
      </c>
      <c r="J1797" t="s">
        <v>15</v>
      </c>
      <c r="K1797" t="s">
        <v>108</v>
      </c>
    </row>
    <row r="1798" spans="1:11">
      <c r="A1798" t="s">
        <v>135</v>
      </c>
      <c r="B1798">
        <v>10160</v>
      </c>
      <c r="C1798">
        <v>42</v>
      </c>
      <c r="D1798" s="21">
        <v>37</v>
      </c>
      <c r="E1798" s="22">
        <v>37905</v>
      </c>
      <c r="F1798" t="s">
        <v>13</v>
      </c>
      <c r="G1798" t="s">
        <v>72</v>
      </c>
      <c r="H1798">
        <v>4</v>
      </c>
      <c r="I1798">
        <v>2003</v>
      </c>
      <c r="J1798" t="s">
        <v>15</v>
      </c>
      <c r="K1798" t="s">
        <v>136</v>
      </c>
    </row>
    <row r="1799" spans="1:11">
      <c r="A1799" t="s">
        <v>111</v>
      </c>
      <c r="B1799">
        <v>10171</v>
      </c>
      <c r="C1799">
        <v>36</v>
      </c>
      <c r="D1799" s="21">
        <v>35.49</v>
      </c>
      <c r="E1799" s="22">
        <v>37930</v>
      </c>
      <c r="F1799" t="s">
        <v>13</v>
      </c>
      <c r="G1799" t="s">
        <v>72</v>
      </c>
      <c r="H1799">
        <v>4</v>
      </c>
      <c r="I1799">
        <v>2003</v>
      </c>
      <c r="J1799" t="s">
        <v>15</v>
      </c>
      <c r="K1799" t="s">
        <v>112</v>
      </c>
    </row>
    <row r="1800" spans="1:11">
      <c r="A1800" t="s">
        <v>36</v>
      </c>
      <c r="B1800">
        <v>10181</v>
      </c>
      <c r="C1800">
        <v>37</v>
      </c>
      <c r="D1800" s="21">
        <v>42.67</v>
      </c>
      <c r="E1800" s="22">
        <v>37937</v>
      </c>
      <c r="F1800" t="s">
        <v>13</v>
      </c>
      <c r="G1800" t="s">
        <v>72</v>
      </c>
      <c r="H1800">
        <v>4</v>
      </c>
      <c r="I1800">
        <v>2003</v>
      </c>
      <c r="J1800" t="s">
        <v>15</v>
      </c>
      <c r="K1800" t="s">
        <v>37</v>
      </c>
    </row>
    <row r="1801" spans="1:11">
      <c r="A1801" t="s">
        <v>105</v>
      </c>
      <c r="B1801">
        <v>10192</v>
      </c>
      <c r="C1801">
        <v>30</v>
      </c>
      <c r="D1801" s="21">
        <v>30.59</v>
      </c>
      <c r="E1801" s="22">
        <v>37945</v>
      </c>
      <c r="F1801" t="s">
        <v>13</v>
      </c>
      <c r="G1801" t="s">
        <v>72</v>
      </c>
      <c r="H1801">
        <v>4</v>
      </c>
      <c r="I1801">
        <v>2003</v>
      </c>
      <c r="J1801" t="s">
        <v>15</v>
      </c>
      <c r="K1801" t="s">
        <v>106</v>
      </c>
    </row>
    <row r="1802" spans="1:11">
      <c r="A1802" t="s">
        <v>69</v>
      </c>
      <c r="B1802">
        <v>10203</v>
      </c>
      <c r="C1802">
        <v>21</v>
      </c>
      <c r="D1802" s="21">
        <v>37</v>
      </c>
      <c r="E1802" s="22">
        <v>37957</v>
      </c>
      <c r="F1802" t="s">
        <v>13</v>
      </c>
      <c r="G1802" t="s">
        <v>72</v>
      </c>
      <c r="H1802">
        <v>4</v>
      </c>
      <c r="I1802">
        <v>2003</v>
      </c>
      <c r="J1802" t="s">
        <v>15</v>
      </c>
      <c r="K1802" t="s">
        <v>71</v>
      </c>
    </row>
    <row r="1803" spans="1:11">
      <c r="A1803" t="s">
        <v>69</v>
      </c>
      <c r="B1803">
        <v>10212</v>
      </c>
      <c r="C1803">
        <v>34</v>
      </c>
      <c r="D1803" s="21">
        <v>43.42</v>
      </c>
      <c r="E1803" s="22">
        <v>38002</v>
      </c>
      <c r="F1803" t="s">
        <v>13</v>
      </c>
      <c r="G1803" t="s">
        <v>72</v>
      </c>
      <c r="H1803">
        <v>1</v>
      </c>
      <c r="I1803">
        <v>2004</v>
      </c>
      <c r="J1803" t="s">
        <v>15</v>
      </c>
      <c r="K1803" t="s">
        <v>71</v>
      </c>
    </row>
    <row r="1804" spans="1:11">
      <c r="A1804" t="s">
        <v>167</v>
      </c>
      <c r="B1804">
        <v>10225</v>
      </c>
      <c r="C1804">
        <v>42</v>
      </c>
      <c r="D1804" s="21">
        <v>36.63</v>
      </c>
      <c r="E1804" s="22">
        <v>38039</v>
      </c>
      <c r="F1804" t="s">
        <v>13</v>
      </c>
      <c r="G1804" t="s">
        <v>72</v>
      </c>
      <c r="H1804">
        <v>1</v>
      </c>
      <c r="I1804">
        <v>2004</v>
      </c>
      <c r="J1804" t="s">
        <v>15</v>
      </c>
      <c r="K1804" t="s">
        <v>168</v>
      </c>
    </row>
    <row r="1805" spans="1:11">
      <c r="A1805" t="s">
        <v>147</v>
      </c>
      <c r="B1805">
        <v>10239</v>
      </c>
      <c r="C1805">
        <v>20</v>
      </c>
      <c r="D1805" s="21">
        <v>44.56</v>
      </c>
      <c r="E1805" s="22">
        <v>38089</v>
      </c>
      <c r="F1805" t="s">
        <v>13</v>
      </c>
      <c r="G1805" t="s">
        <v>72</v>
      </c>
      <c r="H1805">
        <v>2</v>
      </c>
      <c r="I1805">
        <v>2004</v>
      </c>
      <c r="J1805" t="s">
        <v>15</v>
      </c>
      <c r="K1805" t="s">
        <v>148</v>
      </c>
    </row>
    <row r="1806" spans="1:11">
      <c r="A1806" t="s">
        <v>67</v>
      </c>
      <c r="B1806">
        <v>10253</v>
      </c>
      <c r="C1806">
        <v>40</v>
      </c>
      <c r="D1806" s="21">
        <v>42.67</v>
      </c>
      <c r="E1806" s="22">
        <v>38139</v>
      </c>
      <c r="F1806" t="s">
        <v>128</v>
      </c>
      <c r="G1806" t="s">
        <v>72</v>
      </c>
      <c r="H1806">
        <v>2</v>
      </c>
      <c r="I1806">
        <v>2004</v>
      </c>
      <c r="J1806" t="s">
        <v>15</v>
      </c>
      <c r="K1806" t="s">
        <v>68</v>
      </c>
    </row>
    <row r="1807" spans="1:11">
      <c r="A1807" t="s">
        <v>169</v>
      </c>
      <c r="B1807">
        <v>10266</v>
      </c>
      <c r="C1807">
        <v>34</v>
      </c>
      <c r="D1807" s="21">
        <v>40.4</v>
      </c>
      <c r="E1807" s="22">
        <v>38174</v>
      </c>
      <c r="F1807" t="s">
        <v>13</v>
      </c>
      <c r="G1807" t="s">
        <v>72</v>
      </c>
      <c r="H1807">
        <v>3</v>
      </c>
      <c r="I1807">
        <v>2004</v>
      </c>
      <c r="J1807" t="s">
        <v>15</v>
      </c>
      <c r="K1807" t="s">
        <v>170</v>
      </c>
    </row>
    <row r="1808" spans="1:11">
      <c r="A1808" t="s">
        <v>198</v>
      </c>
      <c r="B1808">
        <v>10278</v>
      </c>
      <c r="C1808">
        <v>31</v>
      </c>
      <c r="D1808" s="21">
        <v>38.89</v>
      </c>
      <c r="E1808" s="22">
        <v>38205</v>
      </c>
      <c r="F1808" t="s">
        <v>13</v>
      </c>
      <c r="G1808" t="s">
        <v>72</v>
      </c>
      <c r="H1808">
        <v>3</v>
      </c>
      <c r="I1808">
        <v>2004</v>
      </c>
      <c r="J1808" t="s">
        <v>15</v>
      </c>
      <c r="K1808" t="s">
        <v>199</v>
      </c>
    </row>
    <row r="1809" spans="1:11">
      <c r="A1809" t="s">
        <v>167</v>
      </c>
      <c r="B1809">
        <v>10287</v>
      </c>
      <c r="C1809">
        <v>36</v>
      </c>
      <c r="D1809" s="21">
        <v>39.65</v>
      </c>
      <c r="E1809" s="22">
        <v>38229</v>
      </c>
      <c r="F1809" t="s">
        <v>13</v>
      </c>
      <c r="G1809" t="s">
        <v>72</v>
      </c>
      <c r="H1809">
        <v>3</v>
      </c>
      <c r="I1809">
        <v>2004</v>
      </c>
      <c r="J1809" t="s">
        <v>15</v>
      </c>
      <c r="K1809" t="s">
        <v>168</v>
      </c>
    </row>
    <row r="1810" spans="1:11">
      <c r="A1810" t="s">
        <v>200</v>
      </c>
      <c r="B1810">
        <v>10301</v>
      </c>
      <c r="C1810">
        <v>48</v>
      </c>
      <c r="D1810" s="21">
        <v>34.36</v>
      </c>
      <c r="E1810" s="22">
        <v>37899</v>
      </c>
      <c r="F1810" t="s">
        <v>13</v>
      </c>
      <c r="G1810" t="s">
        <v>72</v>
      </c>
      <c r="H1810">
        <v>4</v>
      </c>
      <c r="I1810">
        <v>2003</v>
      </c>
      <c r="J1810" t="s">
        <v>15</v>
      </c>
      <c r="K1810" t="s">
        <v>201</v>
      </c>
    </row>
    <row r="1811" spans="1:11">
      <c r="A1811" t="s">
        <v>165</v>
      </c>
      <c r="B1811">
        <v>10310</v>
      </c>
      <c r="C1811">
        <v>33</v>
      </c>
      <c r="D1811" s="21">
        <v>41.91</v>
      </c>
      <c r="E1811" s="22">
        <v>38276</v>
      </c>
      <c r="F1811" t="s">
        <v>13</v>
      </c>
      <c r="G1811" t="s">
        <v>72</v>
      </c>
      <c r="H1811">
        <v>4</v>
      </c>
      <c r="I1811">
        <v>2004</v>
      </c>
      <c r="J1811" t="s">
        <v>15</v>
      </c>
      <c r="K1811" t="s">
        <v>166</v>
      </c>
    </row>
    <row r="1812" spans="1:11">
      <c r="A1812" t="s">
        <v>65</v>
      </c>
      <c r="B1812">
        <v>10321</v>
      </c>
      <c r="C1812">
        <v>37</v>
      </c>
      <c r="D1812" s="21">
        <v>33.23</v>
      </c>
      <c r="E1812" s="22">
        <v>38295</v>
      </c>
      <c r="F1812" t="s">
        <v>13</v>
      </c>
      <c r="G1812" t="s">
        <v>72</v>
      </c>
      <c r="H1812">
        <v>4</v>
      </c>
      <c r="I1812">
        <v>2004</v>
      </c>
      <c r="J1812" t="s">
        <v>15</v>
      </c>
      <c r="K1812" t="s">
        <v>66</v>
      </c>
    </row>
    <row r="1813" spans="1:11">
      <c r="A1813" t="s">
        <v>116</v>
      </c>
      <c r="B1813">
        <v>10331</v>
      </c>
      <c r="C1813">
        <v>27</v>
      </c>
      <c r="D1813" s="21">
        <v>42.24</v>
      </c>
      <c r="E1813" s="22">
        <v>38308</v>
      </c>
      <c r="F1813" t="s">
        <v>13</v>
      </c>
      <c r="G1813" t="s">
        <v>72</v>
      </c>
      <c r="H1813">
        <v>4</v>
      </c>
      <c r="I1813">
        <v>2004</v>
      </c>
      <c r="J1813" t="s">
        <v>15</v>
      </c>
      <c r="K1813" t="s">
        <v>117</v>
      </c>
    </row>
    <row r="1814" spans="1:11">
      <c r="A1814" t="s">
        <v>42</v>
      </c>
      <c r="B1814">
        <v>10342</v>
      </c>
      <c r="C1814">
        <v>39</v>
      </c>
      <c r="D1814" s="21">
        <v>40.4</v>
      </c>
      <c r="E1814" s="22">
        <v>38315</v>
      </c>
      <c r="F1814" t="s">
        <v>13</v>
      </c>
      <c r="G1814" t="s">
        <v>72</v>
      </c>
      <c r="H1814">
        <v>4</v>
      </c>
      <c r="I1814">
        <v>2004</v>
      </c>
      <c r="J1814" t="s">
        <v>15</v>
      </c>
      <c r="K1814" t="s">
        <v>43</v>
      </c>
    </row>
    <row r="1815" spans="1:11">
      <c r="A1815" t="s">
        <v>69</v>
      </c>
      <c r="B1815">
        <v>10355</v>
      </c>
      <c r="C1815">
        <v>36</v>
      </c>
      <c r="D1815" s="21">
        <v>38.52</v>
      </c>
      <c r="E1815" s="22">
        <v>38328</v>
      </c>
      <c r="F1815" t="s">
        <v>13</v>
      </c>
      <c r="G1815" t="s">
        <v>72</v>
      </c>
      <c r="H1815">
        <v>4</v>
      </c>
      <c r="I1815">
        <v>2004</v>
      </c>
      <c r="J1815" t="s">
        <v>15</v>
      </c>
      <c r="K1815" t="s">
        <v>71</v>
      </c>
    </row>
    <row r="1816" spans="1:11">
      <c r="A1816" t="s">
        <v>25</v>
      </c>
      <c r="B1816">
        <v>10367</v>
      </c>
      <c r="C1816">
        <v>36</v>
      </c>
      <c r="D1816" s="21">
        <v>100</v>
      </c>
      <c r="E1816" s="22">
        <v>38364</v>
      </c>
      <c r="F1816" t="s">
        <v>155</v>
      </c>
      <c r="G1816" t="s">
        <v>72</v>
      </c>
      <c r="H1816">
        <v>1</v>
      </c>
      <c r="I1816">
        <v>2005</v>
      </c>
      <c r="J1816" t="s">
        <v>22</v>
      </c>
      <c r="K1816" t="s">
        <v>26</v>
      </c>
    </row>
    <row r="1817" spans="1:11">
      <c r="A1817" t="s">
        <v>69</v>
      </c>
      <c r="B1817">
        <v>10378</v>
      </c>
      <c r="C1817">
        <v>41</v>
      </c>
      <c r="D1817" s="21">
        <v>100</v>
      </c>
      <c r="E1817" s="22">
        <v>38393</v>
      </c>
      <c r="F1817" t="s">
        <v>13</v>
      </c>
      <c r="G1817" t="s">
        <v>72</v>
      </c>
      <c r="H1817">
        <v>1</v>
      </c>
      <c r="I1817">
        <v>2005</v>
      </c>
      <c r="J1817" t="s">
        <v>22</v>
      </c>
      <c r="K1817" t="s">
        <v>71</v>
      </c>
    </row>
    <row r="1818" spans="1:11">
      <c r="A1818" t="s">
        <v>103</v>
      </c>
      <c r="B1818">
        <v>10390</v>
      </c>
      <c r="C1818">
        <v>37</v>
      </c>
      <c r="D1818" s="21">
        <v>100</v>
      </c>
      <c r="E1818" s="22">
        <v>38415</v>
      </c>
      <c r="F1818" t="s">
        <v>13</v>
      </c>
      <c r="G1818" t="s">
        <v>72</v>
      </c>
      <c r="H1818">
        <v>1</v>
      </c>
      <c r="I1818">
        <v>2005</v>
      </c>
      <c r="J1818" t="s">
        <v>22</v>
      </c>
      <c r="K1818" t="s">
        <v>104</v>
      </c>
    </row>
    <row r="1819" spans="1:11">
      <c r="A1819" t="s">
        <v>196</v>
      </c>
      <c r="B1819">
        <v>10405</v>
      </c>
      <c r="C1819">
        <v>47</v>
      </c>
      <c r="D1819" s="21">
        <v>44.56</v>
      </c>
      <c r="E1819" s="22">
        <v>38456</v>
      </c>
      <c r="F1819" t="s">
        <v>13</v>
      </c>
      <c r="G1819" t="s">
        <v>72</v>
      </c>
      <c r="H1819">
        <v>2</v>
      </c>
      <c r="I1819">
        <v>2005</v>
      </c>
      <c r="J1819" t="s">
        <v>15</v>
      </c>
      <c r="K1819" t="s">
        <v>197</v>
      </c>
    </row>
    <row r="1820" spans="1:11">
      <c r="A1820" t="s">
        <v>60</v>
      </c>
      <c r="B1820">
        <v>10419</v>
      </c>
      <c r="C1820">
        <v>15</v>
      </c>
      <c r="D1820" s="21">
        <v>42.67</v>
      </c>
      <c r="E1820" s="22">
        <v>38489</v>
      </c>
      <c r="F1820" t="s">
        <v>13</v>
      </c>
      <c r="G1820" t="s">
        <v>72</v>
      </c>
      <c r="H1820">
        <v>2</v>
      </c>
      <c r="I1820">
        <v>2005</v>
      </c>
      <c r="J1820" t="s">
        <v>15</v>
      </c>
      <c r="K1820" t="s">
        <v>62</v>
      </c>
    </row>
    <row r="1821" spans="1:11">
      <c r="A1821" t="s">
        <v>122</v>
      </c>
      <c r="B1821">
        <v>10105</v>
      </c>
      <c r="C1821">
        <v>44</v>
      </c>
      <c r="D1821" s="21">
        <v>72.58</v>
      </c>
      <c r="E1821" s="22">
        <v>37663</v>
      </c>
      <c r="F1821" t="s">
        <v>13</v>
      </c>
      <c r="G1821" t="s">
        <v>202</v>
      </c>
      <c r="H1821">
        <v>1</v>
      </c>
      <c r="I1821">
        <v>2003</v>
      </c>
      <c r="J1821" t="s">
        <v>22</v>
      </c>
      <c r="K1821" t="s">
        <v>123</v>
      </c>
    </row>
    <row r="1822" spans="1:11">
      <c r="A1822" t="s">
        <v>60</v>
      </c>
      <c r="B1822">
        <v>10119</v>
      </c>
      <c r="C1822">
        <v>35</v>
      </c>
      <c r="D1822" s="21">
        <v>87.62</v>
      </c>
      <c r="E1822" s="22">
        <v>37739</v>
      </c>
      <c r="F1822" t="s">
        <v>13</v>
      </c>
      <c r="G1822" t="s">
        <v>202</v>
      </c>
      <c r="H1822">
        <v>2</v>
      </c>
      <c r="I1822">
        <v>2003</v>
      </c>
      <c r="J1822" t="s">
        <v>22</v>
      </c>
      <c r="K1822" t="s">
        <v>62</v>
      </c>
    </row>
    <row r="1823" spans="1:11">
      <c r="A1823" t="s">
        <v>124</v>
      </c>
      <c r="B1823">
        <v>10129</v>
      </c>
      <c r="C1823">
        <v>41</v>
      </c>
      <c r="D1823" s="21">
        <v>94.71</v>
      </c>
      <c r="E1823" s="22">
        <v>37784</v>
      </c>
      <c r="F1823" t="s">
        <v>13</v>
      </c>
      <c r="G1823" t="s">
        <v>202</v>
      </c>
      <c r="H1823">
        <v>2</v>
      </c>
      <c r="I1823">
        <v>2003</v>
      </c>
      <c r="J1823" t="s">
        <v>22</v>
      </c>
      <c r="K1823" t="s">
        <v>125</v>
      </c>
    </row>
    <row r="1824" spans="1:11">
      <c r="A1824" t="s">
        <v>103</v>
      </c>
      <c r="B1824">
        <v>10142</v>
      </c>
      <c r="C1824">
        <v>49</v>
      </c>
      <c r="D1824" s="21">
        <v>98.25</v>
      </c>
      <c r="E1824" s="22">
        <v>37841</v>
      </c>
      <c r="F1824" t="s">
        <v>13</v>
      </c>
      <c r="G1824" t="s">
        <v>202</v>
      </c>
      <c r="H1824">
        <v>3</v>
      </c>
      <c r="I1824">
        <v>2003</v>
      </c>
      <c r="J1824" t="s">
        <v>22</v>
      </c>
      <c r="K1824" t="s">
        <v>104</v>
      </c>
    </row>
    <row r="1825" spans="1:11">
      <c r="A1825" t="s">
        <v>190</v>
      </c>
      <c r="B1825">
        <v>10154</v>
      </c>
      <c r="C1825">
        <v>31</v>
      </c>
      <c r="D1825" s="21">
        <v>91.17</v>
      </c>
      <c r="E1825" s="22">
        <v>37896</v>
      </c>
      <c r="F1825" t="s">
        <v>13</v>
      </c>
      <c r="G1825" t="s">
        <v>202</v>
      </c>
      <c r="H1825">
        <v>4</v>
      </c>
      <c r="I1825">
        <v>2003</v>
      </c>
      <c r="J1825" t="s">
        <v>15</v>
      </c>
      <c r="K1825" t="s">
        <v>191</v>
      </c>
    </row>
    <row r="1826" spans="1:11">
      <c r="A1826" t="s">
        <v>99</v>
      </c>
      <c r="B1826">
        <v>10167</v>
      </c>
      <c r="C1826">
        <v>20</v>
      </c>
      <c r="D1826" s="21">
        <v>79.66</v>
      </c>
      <c r="E1826" s="22">
        <v>37917</v>
      </c>
      <c r="F1826" t="s">
        <v>128</v>
      </c>
      <c r="G1826" t="s">
        <v>202</v>
      </c>
      <c r="H1826">
        <v>4</v>
      </c>
      <c r="I1826">
        <v>2003</v>
      </c>
      <c r="J1826" t="s">
        <v>15</v>
      </c>
      <c r="K1826" t="s">
        <v>100</v>
      </c>
    </row>
    <row r="1827" spans="1:11">
      <c r="A1827" t="s">
        <v>181</v>
      </c>
      <c r="B1827">
        <v>10177</v>
      </c>
      <c r="C1827">
        <v>45</v>
      </c>
      <c r="D1827" s="21">
        <v>72.58</v>
      </c>
      <c r="E1827" s="22">
        <v>37932</v>
      </c>
      <c r="F1827" t="s">
        <v>13</v>
      </c>
      <c r="G1827" t="s">
        <v>202</v>
      </c>
      <c r="H1827">
        <v>4</v>
      </c>
      <c r="I1827">
        <v>2003</v>
      </c>
      <c r="J1827" t="s">
        <v>22</v>
      </c>
      <c r="K1827" t="s">
        <v>182</v>
      </c>
    </row>
    <row r="1828" spans="1:11">
      <c r="A1828" t="s">
        <v>126</v>
      </c>
      <c r="B1828">
        <v>10185</v>
      </c>
      <c r="C1828">
        <v>33</v>
      </c>
      <c r="D1828" s="21">
        <v>74.35</v>
      </c>
      <c r="E1828" s="22">
        <v>37939</v>
      </c>
      <c r="F1828" t="s">
        <v>13</v>
      </c>
      <c r="G1828" t="s">
        <v>202</v>
      </c>
      <c r="H1828">
        <v>4</v>
      </c>
      <c r="I1828">
        <v>2003</v>
      </c>
      <c r="J1828" t="s">
        <v>15</v>
      </c>
      <c r="K1828" t="s">
        <v>127</v>
      </c>
    </row>
    <row r="1829" spans="1:11">
      <c r="A1829" t="s">
        <v>133</v>
      </c>
      <c r="B1829">
        <v>10197</v>
      </c>
      <c r="C1829">
        <v>47</v>
      </c>
      <c r="D1829" s="21">
        <v>83.2</v>
      </c>
      <c r="E1829" s="22">
        <v>37951</v>
      </c>
      <c r="F1829" t="s">
        <v>13</v>
      </c>
      <c r="G1829" t="s">
        <v>202</v>
      </c>
      <c r="H1829">
        <v>4</v>
      </c>
      <c r="I1829">
        <v>2003</v>
      </c>
      <c r="J1829" t="s">
        <v>22</v>
      </c>
      <c r="K1829" t="s">
        <v>134</v>
      </c>
    </row>
    <row r="1830" spans="1:11">
      <c r="A1830" t="s">
        <v>85</v>
      </c>
      <c r="B1830">
        <v>10208</v>
      </c>
      <c r="C1830">
        <v>20</v>
      </c>
      <c r="D1830" s="21">
        <v>89.4</v>
      </c>
      <c r="E1830" s="22">
        <v>37988</v>
      </c>
      <c r="F1830" t="s">
        <v>13</v>
      </c>
      <c r="G1830" t="s">
        <v>202</v>
      </c>
      <c r="H1830">
        <v>1</v>
      </c>
      <c r="I1830">
        <v>2004</v>
      </c>
      <c r="J1830" t="s">
        <v>15</v>
      </c>
      <c r="K1830" t="s">
        <v>86</v>
      </c>
    </row>
    <row r="1831" spans="1:11">
      <c r="A1831" t="s">
        <v>137</v>
      </c>
      <c r="B1831">
        <v>10222</v>
      </c>
      <c r="C1831">
        <v>47</v>
      </c>
      <c r="D1831" s="21">
        <v>70.81</v>
      </c>
      <c r="E1831" s="22">
        <v>38036</v>
      </c>
      <c r="F1831" t="s">
        <v>13</v>
      </c>
      <c r="G1831" t="s">
        <v>202</v>
      </c>
      <c r="H1831">
        <v>1</v>
      </c>
      <c r="I1831">
        <v>2004</v>
      </c>
      <c r="J1831" t="s">
        <v>22</v>
      </c>
      <c r="K1831" t="s">
        <v>138</v>
      </c>
    </row>
    <row r="1832" spans="1:11">
      <c r="A1832" t="s">
        <v>46</v>
      </c>
      <c r="B1832">
        <v>10233</v>
      </c>
      <c r="C1832">
        <v>40</v>
      </c>
      <c r="D1832" s="21">
        <v>94.71</v>
      </c>
      <c r="E1832" s="22">
        <v>38075</v>
      </c>
      <c r="F1832" t="s">
        <v>13</v>
      </c>
      <c r="G1832" t="s">
        <v>202</v>
      </c>
      <c r="H1832">
        <v>1</v>
      </c>
      <c r="I1832">
        <v>2004</v>
      </c>
      <c r="J1832" t="s">
        <v>22</v>
      </c>
      <c r="K1832" t="s">
        <v>47</v>
      </c>
    </row>
    <row r="1833" spans="1:11">
      <c r="A1833" t="s">
        <v>12</v>
      </c>
      <c r="B1833">
        <v>10248</v>
      </c>
      <c r="C1833">
        <v>30</v>
      </c>
      <c r="D1833" s="21">
        <v>100</v>
      </c>
      <c r="E1833" s="22">
        <v>38114</v>
      </c>
      <c r="F1833" t="s">
        <v>128</v>
      </c>
      <c r="G1833" t="s">
        <v>202</v>
      </c>
      <c r="H1833">
        <v>2</v>
      </c>
      <c r="I1833">
        <v>2004</v>
      </c>
      <c r="J1833" t="s">
        <v>22</v>
      </c>
      <c r="K1833" t="s">
        <v>16</v>
      </c>
    </row>
    <row r="1834" spans="1:11">
      <c r="A1834" t="s">
        <v>111</v>
      </c>
      <c r="B1834">
        <v>10261</v>
      </c>
      <c r="C1834">
        <v>22</v>
      </c>
      <c r="D1834" s="21">
        <v>91.17</v>
      </c>
      <c r="E1834" s="22">
        <v>38155</v>
      </c>
      <c r="F1834" t="s">
        <v>13</v>
      </c>
      <c r="G1834" t="s">
        <v>202</v>
      </c>
      <c r="H1834">
        <v>2</v>
      </c>
      <c r="I1834">
        <v>2004</v>
      </c>
      <c r="J1834" t="s">
        <v>15</v>
      </c>
      <c r="K1834" t="s">
        <v>112</v>
      </c>
    </row>
    <row r="1835" spans="1:11">
      <c r="A1835" t="s">
        <v>139</v>
      </c>
      <c r="B1835">
        <v>10273</v>
      </c>
      <c r="C1835">
        <v>27</v>
      </c>
      <c r="D1835" s="21">
        <v>100</v>
      </c>
      <c r="E1835" s="22">
        <v>38189</v>
      </c>
      <c r="F1835" t="s">
        <v>13</v>
      </c>
      <c r="G1835" t="s">
        <v>202</v>
      </c>
      <c r="H1835">
        <v>3</v>
      </c>
      <c r="I1835">
        <v>2004</v>
      </c>
      <c r="J1835" t="s">
        <v>15</v>
      </c>
      <c r="K1835" t="s">
        <v>140</v>
      </c>
    </row>
    <row r="1836" spans="1:11">
      <c r="A1836" t="s">
        <v>141</v>
      </c>
      <c r="B1836">
        <v>10283</v>
      </c>
      <c r="C1836">
        <v>34</v>
      </c>
      <c r="D1836" s="21">
        <v>92.94</v>
      </c>
      <c r="E1836" s="22">
        <v>38219</v>
      </c>
      <c r="F1836" t="s">
        <v>13</v>
      </c>
      <c r="G1836" t="s">
        <v>202</v>
      </c>
      <c r="H1836">
        <v>3</v>
      </c>
      <c r="I1836">
        <v>2004</v>
      </c>
      <c r="J1836" t="s">
        <v>22</v>
      </c>
      <c r="K1836" t="s">
        <v>142</v>
      </c>
    </row>
    <row r="1837" spans="1:11">
      <c r="A1837" t="s">
        <v>143</v>
      </c>
      <c r="B1837">
        <v>10295</v>
      </c>
      <c r="C1837">
        <v>46</v>
      </c>
      <c r="D1837" s="21">
        <v>84.97</v>
      </c>
      <c r="E1837" s="22">
        <v>38240</v>
      </c>
      <c r="F1837" t="s">
        <v>13</v>
      </c>
      <c r="G1837" t="s">
        <v>202</v>
      </c>
      <c r="H1837">
        <v>3</v>
      </c>
      <c r="I1837">
        <v>2004</v>
      </c>
      <c r="J1837" t="s">
        <v>22</v>
      </c>
      <c r="K1837" t="s">
        <v>144</v>
      </c>
    </row>
    <row r="1838" spans="1:11">
      <c r="A1838" t="s">
        <v>183</v>
      </c>
      <c r="B1838">
        <v>10306</v>
      </c>
      <c r="C1838">
        <v>31</v>
      </c>
      <c r="D1838" s="21">
        <v>84.08</v>
      </c>
      <c r="E1838" s="22">
        <v>38274</v>
      </c>
      <c r="F1838" t="s">
        <v>13</v>
      </c>
      <c r="G1838" t="s">
        <v>202</v>
      </c>
      <c r="H1838">
        <v>4</v>
      </c>
      <c r="I1838">
        <v>2004</v>
      </c>
      <c r="J1838" t="s">
        <v>15</v>
      </c>
      <c r="K1838" t="s">
        <v>184</v>
      </c>
    </row>
    <row r="1839" spans="1:11">
      <c r="A1839" t="s">
        <v>50</v>
      </c>
      <c r="B1839">
        <v>10315</v>
      </c>
      <c r="C1839">
        <v>24</v>
      </c>
      <c r="D1839" s="21">
        <v>86.74</v>
      </c>
      <c r="E1839" s="22">
        <v>38289</v>
      </c>
      <c r="F1839" t="s">
        <v>13</v>
      </c>
      <c r="G1839" t="s">
        <v>202</v>
      </c>
      <c r="H1839">
        <v>4</v>
      </c>
      <c r="I1839">
        <v>2004</v>
      </c>
      <c r="J1839" t="s">
        <v>15</v>
      </c>
      <c r="K1839" t="s">
        <v>51</v>
      </c>
    </row>
    <row r="1840" spans="1:11">
      <c r="A1840" t="s">
        <v>73</v>
      </c>
      <c r="B1840">
        <v>10326</v>
      </c>
      <c r="C1840">
        <v>41</v>
      </c>
      <c r="D1840" s="21">
        <v>85.85</v>
      </c>
      <c r="E1840" s="22">
        <v>38300</v>
      </c>
      <c r="F1840" t="s">
        <v>13</v>
      </c>
      <c r="G1840" t="s">
        <v>202</v>
      </c>
      <c r="H1840">
        <v>4</v>
      </c>
      <c r="I1840">
        <v>2004</v>
      </c>
      <c r="J1840" t="s">
        <v>22</v>
      </c>
      <c r="K1840" t="s">
        <v>74</v>
      </c>
    </row>
    <row r="1841" spans="1:11">
      <c r="A1841" t="s">
        <v>95</v>
      </c>
      <c r="B1841">
        <v>10339</v>
      </c>
      <c r="C1841">
        <v>55</v>
      </c>
      <c r="D1841" s="21">
        <v>100</v>
      </c>
      <c r="E1841" s="22">
        <v>38314</v>
      </c>
      <c r="F1841" t="s">
        <v>13</v>
      </c>
      <c r="G1841" t="s">
        <v>202</v>
      </c>
      <c r="H1841">
        <v>4</v>
      </c>
      <c r="I1841">
        <v>2004</v>
      </c>
      <c r="J1841" t="s">
        <v>61</v>
      </c>
      <c r="K1841" t="s">
        <v>96</v>
      </c>
    </row>
    <row r="1842" spans="1:11">
      <c r="A1842" t="s">
        <v>69</v>
      </c>
      <c r="B1842">
        <v>10350</v>
      </c>
      <c r="C1842">
        <v>30</v>
      </c>
      <c r="D1842" s="21">
        <v>100</v>
      </c>
      <c r="E1842" s="22">
        <v>38323</v>
      </c>
      <c r="F1842" t="s">
        <v>13</v>
      </c>
      <c r="G1842" t="s">
        <v>202</v>
      </c>
      <c r="H1842">
        <v>4</v>
      </c>
      <c r="I1842">
        <v>2004</v>
      </c>
      <c r="J1842" t="s">
        <v>22</v>
      </c>
      <c r="K1842" t="s">
        <v>71</v>
      </c>
    </row>
    <row r="1843" spans="1:11">
      <c r="A1843" t="s">
        <v>147</v>
      </c>
      <c r="B1843">
        <v>10373</v>
      </c>
      <c r="C1843">
        <v>33</v>
      </c>
      <c r="D1843" s="21">
        <v>57.32</v>
      </c>
      <c r="E1843" s="22">
        <v>38383</v>
      </c>
      <c r="F1843" t="s">
        <v>13</v>
      </c>
      <c r="G1843" t="s">
        <v>202</v>
      </c>
      <c r="H1843">
        <v>1</v>
      </c>
      <c r="I1843">
        <v>2005</v>
      </c>
      <c r="J1843" t="s">
        <v>15</v>
      </c>
      <c r="K1843" t="s">
        <v>148</v>
      </c>
    </row>
    <row r="1844" spans="1:11">
      <c r="A1844" t="s">
        <v>28</v>
      </c>
      <c r="B1844">
        <v>10384</v>
      </c>
      <c r="C1844">
        <v>43</v>
      </c>
      <c r="D1844" s="21">
        <v>97.87</v>
      </c>
      <c r="E1844" s="22">
        <v>38406</v>
      </c>
      <c r="F1844" t="s">
        <v>13</v>
      </c>
      <c r="G1844" t="s">
        <v>202</v>
      </c>
      <c r="H1844">
        <v>1</v>
      </c>
      <c r="I1844">
        <v>2005</v>
      </c>
      <c r="J1844" t="s">
        <v>22</v>
      </c>
      <c r="K1844" t="s">
        <v>29</v>
      </c>
    </row>
    <row r="1845" spans="1:11">
      <c r="A1845" t="s">
        <v>103</v>
      </c>
      <c r="B1845">
        <v>10396</v>
      </c>
      <c r="C1845">
        <v>27</v>
      </c>
      <c r="D1845" s="21">
        <v>83.2</v>
      </c>
      <c r="E1845" s="22">
        <v>38434</v>
      </c>
      <c r="F1845" t="s">
        <v>13</v>
      </c>
      <c r="G1845" t="s">
        <v>202</v>
      </c>
      <c r="H1845">
        <v>1</v>
      </c>
      <c r="I1845">
        <v>2005</v>
      </c>
      <c r="J1845" t="s">
        <v>15</v>
      </c>
      <c r="K1845" t="s">
        <v>104</v>
      </c>
    </row>
    <row r="1846" spans="1:11">
      <c r="A1846" t="s">
        <v>143</v>
      </c>
      <c r="B1846">
        <v>10414</v>
      </c>
      <c r="C1846">
        <v>60</v>
      </c>
      <c r="D1846" s="21">
        <v>100</v>
      </c>
      <c r="E1846" s="22">
        <v>38478</v>
      </c>
      <c r="F1846" t="s">
        <v>151</v>
      </c>
      <c r="G1846" t="s">
        <v>202</v>
      </c>
      <c r="H1846">
        <v>2</v>
      </c>
      <c r="I1846">
        <v>2005</v>
      </c>
      <c r="J1846" t="s">
        <v>22</v>
      </c>
      <c r="K1846" t="s">
        <v>144</v>
      </c>
    </row>
    <row r="1847" spans="1:11">
      <c r="A1847" t="s">
        <v>183</v>
      </c>
      <c r="B1847">
        <v>10110</v>
      </c>
      <c r="C1847">
        <v>27</v>
      </c>
      <c r="D1847" s="21">
        <v>73.62</v>
      </c>
      <c r="E1847" s="22">
        <v>37698</v>
      </c>
      <c r="F1847" t="s">
        <v>13</v>
      </c>
      <c r="G1847" t="s">
        <v>72</v>
      </c>
      <c r="H1847">
        <v>1</v>
      </c>
      <c r="I1847">
        <v>2003</v>
      </c>
      <c r="J1847" t="s">
        <v>15</v>
      </c>
      <c r="K1847" t="s">
        <v>184</v>
      </c>
    </row>
    <row r="1848" spans="1:11">
      <c r="A1848" t="s">
        <v>198</v>
      </c>
      <c r="B1848">
        <v>10124</v>
      </c>
      <c r="C1848">
        <v>49</v>
      </c>
      <c r="D1848" s="21">
        <v>83.04</v>
      </c>
      <c r="E1848" s="22">
        <v>37762</v>
      </c>
      <c r="F1848" t="s">
        <v>13</v>
      </c>
      <c r="G1848" t="s">
        <v>72</v>
      </c>
      <c r="H1848">
        <v>2</v>
      </c>
      <c r="I1848">
        <v>2003</v>
      </c>
      <c r="J1848" t="s">
        <v>22</v>
      </c>
      <c r="K1848" t="s">
        <v>199</v>
      </c>
    </row>
    <row r="1849" spans="1:11">
      <c r="A1849" t="s">
        <v>109</v>
      </c>
      <c r="B1849">
        <v>10148</v>
      </c>
      <c r="C1849">
        <v>31</v>
      </c>
      <c r="D1849" s="21">
        <v>73.62</v>
      </c>
      <c r="E1849" s="22">
        <v>37875</v>
      </c>
      <c r="F1849" t="s">
        <v>13</v>
      </c>
      <c r="G1849" t="s">
        <v>72</v>
      </c>
      <c r="H1849">
        <v>3</v>
      </c>
      <c r="I1849">
        <v>2003</v>
      </c>
      <c r="J1849" t="s">
        <v>15</v>
      </c>
      <c r="K1849" t="s">
        <v>110</v>
      </c>
    </row>
    <row r="1850" spans="1:11">
      <c r="A1850" t="s">
        <v>185</v>
      </c>
      <c r="B1850">
        <v>10161</v>
      </c>
      <c r="C1850">
        <v>20</v>
      </c>
      <c r="D1850" s="21">
        <v>77.05</v>
      </c>
      <c r="E1850" s="22">
        <v>37911</v>
      </c>
      <c r="F1850" t="s">
        <v>13</v>
      </c>
      <c r="G1850" t="s">
        <v>72</v>
      </c>
      <c r="H1850">
        <v>4</v>
      </c>
      <c r="I1850">
        <v>2003</v>
      </c>
      <c r="J1850" t="s">
        <v>15</v>
      </c>
      <c r="K1850" t="s">
        <v>186</v>
      </c>
    </row>
    <row r="1851" spans="1:11">
      <c r="A1851" t="s">
        <v>48</v>
      </c>
      <c r="B1851">
        <v>10172</v>
      </c>
      <c r="C1851">
        <v>24</v>
      </c>
      <c r="D1851" s="21">
        <v>81.33</v>
      </c>
      <c r="E1851" s="22">
        <v>37930</v>
      </c>
      <c r="F1851" t="s">
        <v>13</v>
      </c>
      <c r="G1851" t="s">
        <v>72</v>
      </c>
      <c r="H1851">
        <v>4</v>
      </c>
      <c r="I1851">
        <v>2003</v>
      </c>
      <c r="J1851" t="s">
        <v>15</v>
      </c>
      <c r="K1851" t="s">
        <v>49</v>
      </c>
    </row>
    <row r="1852" spans="1:11">
      <c r="A1852" t="s">
        <v>103</v>
      </c>
      <c r="B1852">
        <v>10182</v>
      </c>
      <c r="C1852">
        <v>33</v>
      </c>
      <c r="D1852" s="21">
        <v>94.17</v>
      </c>
      <c r="E1852" s="22">
        <v>37937</v>
      </c>
      <c r="F1852" t="s">
        <v>13</v>
      </c>
      <c r="G1852" t="s">
        <v>72</v>
      </c>
      <c r="H1852">
        <v>4</v>
      </c>
      <c r="I1852">
        <v>2003</v>
      </c>
      <c r="J1852" t="s">
        <v>22</v>
      </c>
      <c r="K1852" t="s">
        <v>104</v>
      </c>
    </row>
    <row r="1853" spans="1:11">
      <c r="A1853" t="s">
        <v>105</v>
      </c>
      <c r="B1853">
        <v>10192</v>
      </c>
      <c r="C1853">
        <v>32</v>
      </c>
      <c r="D1853" s="21">
        <v>72.77</v>
      </c>
      <c r="E1853" s="22">
        <v>37945</v>
      </c>
      <c r="F1853" t="s">
        <v>13</v>
      </c>
      <c r="G1853" t="s">
        <v>72</v>
      </c>
      <c r="H1853">
        <v>4</v>
      </c>
      <c r="I1853">
        <v>2003</v>
      </c>
      <c r="J1853" t="s">
        <v>15</v>
      </c>
      <c r="K1853" t="s">
        <v>106</v>
      </c>
    </row>
    <row r="1854" spans="1:11">
      <c r="A1854" t="s">
        <v>177</v>
      </c>
      <c r="B1854">
        <v>10204</v>
      </c>
      <c r="C1854">
        <v>40</v>
      </c>
      <c r="D1854" s="21">
        <v>79.62</v>
      </c>
      <c r="E1854" s="22">
        <v>37957</v>
      </c>
      <c r="F1854" t="s">
        <v>13</v>
      </c>
      <c r="G1854" t="s">
        <v>72</v>
      </c>
      <c r="H1854">
        <v>4</v>
      </c>
      <c r="I1854">
        <v>2003</v>
      </c>
      <c r="J1854" t="s">
        <v>22</v>
      </c>
      <c r="K1854" t="s">
        <v>178</v>
      </c>
    </row>
    <row r="1855" spans="1:11">
      <c r="A1855" t="s">
        <v>69</v>
      </c>
      <c r="B1855">
        <v>10212</v>
      </c>
      <c r="C1855">
        <v>27</v>
      </c>
      <c r="D1855" s="21">
        <v>79.62</v>
      </c>
      <c r="E1855" s="22">
        <v>38002</v>
      </c>
      <c r="F1855" t="s">
        <v>13</v>
      </c>
      <c r="G1855" t="s">
        <v>72</v>
      </c>
      <c r="H1855">
        <v>1</v>
      </c>
      <c r="I1855">
        <v>2004</v>
      </c>
      <c r="J1855" t="s">
        <v>15</v>
      </c>
      <c r="K1855" t="s">
        <v>71</v>
      </c>
    </row>
    <row r="1856" spans="1:11">
      <c r="A1856" t="s">
        <v>85</v>
      </c>
      <c r="B1856">
        <v>10227</v>
      </c>
      <c r="C1856">
        <v>40</v>
      </c>
      <c r="D1856" s="21">
        <v>79.62</v>
      </c>
      <c r="E1856" s="22">
        <v>38048</v>
      </c>
      <c r="F1856" t="s">
        <v>13</v>
      </c>
      <c r="G1856" t="s">
        <v>72</v>
      </c>
      <c r="H1856">
        <v>1</v>
      </c>
      <c r="I1856">
        <v>2004</v>
      </c>
      <c r="J1856" t="s">
        <v>22</v>
      </c>
      <c r="K1856" t="s">
        <v>86</v>
      </c>
    </row>
    <row r="1857" spans="1:11">
      <c r="A1857" t="s">
        <v>196</v>
      </c>
      <c r="B1857">
        <v>10241</v>
      </c>
      <c r="C1857">
        <v>26</v>
      </c>
      <c r="D1857" s="21">
        <v>81.33</v>
      </c>
      <c r="E1857" s="22">
        <v>38090</v>
      </c>
      <c r="F1857" t="s">
        <v>13</v>
      </c>
      <c r="G1857" t="s">
        <v>72</v>
      </c>
      <c r="H1857">
        <v>2</v>
      </c>
      <c r="I1857">
        <v>2004</v>
      </c>
      <c r="J1857" t="s">
        <v>15</v>
      </c>
      <c r="K1857" t="s">
        <v>197</v>
      </c>
    </row>
    <row r="1858" spans="1:11">
      <c r="A1858" t="s">
        <v>177</v>
      </c>
      <c r="B1858">
        <v>10267</v>
      </c>
      <c r="C1858">
        <v>44</v>
      </c>
      <c r="D1858" s="21">
        <v>96.74</v>
      </c>
      <c r="E1858" s="22">
        <v>38175</v>
      </c>
      <c r="F1858" t="s">
        <v>13</v>
      </c>
      <c r="G1858" t="s">
        <v>72</v>
      </c>
      <c r="H1858">
        <v>3</v>
      </c>
      <c r="I1858">
        <v>2004</v>
      </c>
      <c r="J1858" t="s">
        <v>22</v>
      </c>
      <c r="K1858" t="s">
        <v>178</v>
      </c>
    </row>
    <row r="1859" spans="1:11">
      <c r="A1859" t="s">
        <v>69</v>
      </c>
      <c r="B1859">
        <v>10279</v>
      </c>
      <c r="C1859">
        <v>33</v>
      </c>
      <c r="D1859" s="21">
        <v>71.06</v>
      </c>
      <c r="E1859" s="22">
        <v>38208</v>
      </c>
      <c r="F1859" t="s">
        <v>13</v>
      </c>
      <c r="G1859" t="s">
        <v>72</v>
      </c>
      <c r="H1859">
        <v>3</v>
      </c>
      <c r="I1859">
        <v>2004</v>
      </c>
      <c r="J1859" t="s">
        <v>15</v>
      </c>
      <c r="K1859" t="s">
        <v>71</v>
      </c>
    </row>
    <row r="1860" spans="1:11">
      <c r="A1860" t="s">
        <v>159</v>
      </c>
      <c r="B1860">
        <v>10288</v>
      </c>
      <c r="C1860">
        <v>34</v>
      </c>
      <c r="D1860" s="21">
        <v>68.49</v>
      </c>
      <c r="E1860" s="22">
        <v>38231</v>
      </c>
      <c r="F1860" t="s">
        <v>13</v>
      </c>
      <c r="G1860" t="s">
        <v>72</v>
      </c>
      <c r="H1860">
        <v>3</v>
      </c>
      <c r="I1860">
        <v>2004</v>
      </c>
      <c r="J1860" t="s">
        <v>15</v>
      </c>
      <c r="K1860" t="s">
        <v>160</v>
      </c>
    </row>
    <row r="1861" spans="1:11">
      <c r="A1861" t="s">
        <v>67</v>
      </c>
      <c r="B1861">
        <v>10302</v>
      </c>
      <c r="C1861">
        <v>48</v>
      </c>
      <c r="D1861" s="21">
        <v>74.48</v>
      </c>
      <c r="E1861" s="22">
        <v>37900</v>
      </c>
      <c r="F1861" t="s">
        <v>13</v>
      </c>
      <c r="G1861" t="s">
        <v>72</v>
      </c>
      <c r="H1861">
        <v>4</v>
      </c>
      <c r="I1861">
        <v>2003</v>
      </c>
      <c r="J1861" t="s">
        <v>22</v>
      </c>
      <c r="K1861" t="s">
        <v>68</v>
      </c>
    </row>
    <row r="1862" spans="1:11">
      <c r="A1862" t="s">
        <v>69</v>
      </c>
      <c r="B1862">
        <v>10311</v>
      </c>
      <c r="C1862">
        <v>25</v>
      </c>
      <c r="D1862" s="21">
        <v>83.04</v>
      </c>
      <c r="E1862" s="22">
        <v>38276</v>
      </c>
      <c r="F1862" t="s">
        <v>13</v>
      </c>
      <c r="G1862" t="s">
        <v>72</v>
      </c>
      <c r="H1862">
        <v>4</v>
      </c>
      <c r="I1862">
        <v>2004</v>
      </c>
      <c r="J1862" t="s">
        <v>15</v>
      </c>
      <c r="K1862" t="s">
        <v>71</v>
      </c>
    </row>
    <row r="1863" spans="1:11">
      <c r="A1863" t="s">
        <v>65</v>
      </c>
      <c r="B1863">
        <v>10321</v>
      </c>
      <c r="C1863">
        <v>39</v>
      </c>
      <c r="D1863" s="21">
        <v>84.75</v>
      </c>
      <c r="E1863" s="22">
        <v>38295</v>
      </c>
      <c r="F1863" t="s">
        <v>13</v>
      </c>
      <c r="G1863" t="s">
        <v>72</v>
      </c>
      <c r="H1863">
        <v>4</v>
      </c>
      <c r="I1863">
        <v>2004</v>
      </c>
      <c r="J1863" t="s">
        <v>22</v>
      </c>
      <c r="K1863" t="s">
        <v>66</v>
      </c>
    </row>
    <row r="1864" spans="1:11">
      <c r="A1864" t="s">
        <v>183</v>
      </c>
      <c r="B1864">
        <v>10332</v>
      </c>
      <c r="C1864">
        <v>45</v>
      </c>
      <c r="D1864" s="21">
        <v>34.19</v>
      </c>
      <c r="E1864" s="22">
        <v>38308</v>
      </c>
      <c r="F1864" t="s">
        <v>13</v>
      </c>
      <c r="G1864" t="s">
        <v>72</v>
      </c>
      <c r="H1864">
        <v>4</v>
      </c>
      <c r="I1864">
        <v>2004</v>
      </c>
      <c r="J1864" t="s">
        <v>15</v>
      </c>
      <c r="K1864" t="s">
        <v>184</v>
      </c>
    </row>
    <row r="1865" spans="1:11">
      <c r="A1865" t="s">
        <v>198</v>
      </c>
      <c r="B1865">
        <v>10346</v>
      </c>
      <c r="C1865">
        <v>24</v>
      </c>
      <c r="D1865" s="21">
        <v>100</v>
      </c>
      <c r="E1865" s="22">
        <v>38320</v>
      </c>
      <c r="F1865" t="s">
        <v>13</v>
      </c>
      <c r="G1865" t="s">
        <v>72</v>
      </c>
      <c r="H1865">
        <v>4</v>
      </c>
      <c r="I1865">
        <v>2004</v>
      </c>
      <c r="J1865" t="s">
        <v>22</v>
      </c>
      <c r="K1865" t="s">
        <v>199</v>
      </c>
    </row>
    <row r="1866" spans="1:11">
      <c r="A1866" t="s">
        <v>103</v>
      </c>
      <c r="B1866">
        <v>10368</v>
      </c>
      <c r="C1866">
        <v>46</v>
      </c>
      <c r="D1866" s="21">
        <v>79.62</v>
      </c>
      <c r="E1866" s="22">
        <v>38371</v>
      </c>
      <c r="F1866" t="s">
        <v>13</v>
      </c>
      <c r="G1866" t="s">
        <v>72</v>
      </c>
      <c r="H1866">
        <v>1</v>
      </c>
      <c r="I1866">
        <v>2005</v>
      </c>
      <c r="J1866" t="s">
        <v>22</v>
      </c>
      <c r="K1866" t="s">
        <v>104</v>
      </c>
    </row>
    <row r="1867" spans="1:11">
      <c r="A1867" t="s">
        <v>69</v>
      </c>
      <c r="B1867">
        <v>10380</v>
      </c>
      <c r="C1867">
        <v>44</v>
      </c>
      <c r="D1867" s="21">
        <v>79.06</v>
      </c>
      <c r="E1867" s="22">
        <v>38399</v>
      </c>
      <c r="F1867" t="s">
        <v>13</v>
      </c>
      <c r="G1867" t="s">
        <v>72</v>
      </c>
      <c r="H1867">
        <v>1</v>
      </c>
      <c r="I1867">
        <v>2005</v>
      </c>
      <c r="J1867" t="s">
        <v>22</v>
      </c>
      <c r="K1867" t="s">
        <v>71</v>
      </c>
    </row>
    <row r="1868" spans="1:11">
      <c r="A1868" t="s">
        <v>149</v>
      </c>
      <c r="B1868">
        <v>10407</v>
      </c>
      <c r="C1868">
        <v>13</v>
      </c>
      <c r="D1868" s="21">
        <v>81.33</v>
      </c>
      <c r="E1868" s="22">
        <v>38464</v>
      </c>
      <c r="F1868" t="s">
        <v>151</v>
      </c>
      <c r="G1868" t="s">
        <v>72</v>
      </c>
      <c r="H1868">
        <v>2</v>
      </c>
      <c r="I1868">
        <v>2005</v>
      </c>
      <c r="J1868" t="s">
        <v>15</v>
      </c>
      <c r="K1868" t="s">
        <v>150</v>
      </c>
    </row>
    <row r="1869" spans="1:11">
      <c r="A1869" t="s">
        <v>63</v>
      </c>
      <c r="B1869">
        <v>10420</v>
      </c>
      <c r="C1869">
        <v>35</v>
      </c>
      <c r="D1869" s="21">
        <v>96.74</v>
      </c>
      <c r="E1869" s="22">
        <v>38501</v>
      </c>
      <c r="F1869" t="s">
        <v>113</v>
      </c>
      <c r="G1869" t="s">
        <v>72</v>
      </c>
      <c r="H1869">
        <v>2</v>
      </c>
      <c r="I1869">
        <v>2005</v>
      </c>
      <c r="J1869" t="s">
        <v>22</v>
      </c>
      <c r="K1869" t="s">
        <v>64</v>
      </c>
    </row>
    <row r="1870" spans="1:11">
      <c r="A1870" t="s">
        <v>161</v>
      </c>
      <c r="B1870">
        <v>10108</v>
      </c>
      <c r="C1870">
        <v>30</v>
      </c>
      <c r="D1870" s="21">
        <v>63.07</v>
      </c>
      <c r="E1870" s="22">
        <v>37683</v>
      </c>
      <c r="F1870" t="s">
        <v>13</v>
      </c>
      <c r="G1870" t="s">
        <v>72</v>
      </c>
      <c r="H1870">
        <v>1</v>
      </c>
      <c r="I1870">
        <v>2003</v>
      </c>
      <c r="J1870" t="s">
        <v>15</v>
      </c>
      <c r="K1870" t="s">
        <v>162</v>
      </c>
    </row>
    <row r="1871" spans="1:11">
      <c r="A1871" t="s">
        <v>163</v>
      </c>
      <c r="B1871">
        <v>10122</v>
      </c>
      <c r="C1871">
        <v>34</v>
      </c>
      <c r="D1871" s="21">
        <v>50.21</v>
      </c>
      <c r="E1871" s="22">
        <v>37749</v>
      </c>
      <c r="F1871" t="s">
        <v>13</v>
      </c>
      <c r="G1871" t="s">
        <v>72</v>
      </c>
      <c r="H1871">
        <v>2</v>
      </c>
      <c r="I1871">
        <v>2003</v>
      </c>
      <c r="J1871" t="s">
        <v>15</v>
      </c>
      <c r="K1871" t="s">
        <v>164</v>
      </c>
    </row>
    <row r="1872" spans="1:11">
      <c r="A1872" t="s">
        <v>103</v>
      </c>
      <c r="B1872">
        <v>10135</v>
      </c>
      <c r="C1872">
        <v>27</v>
      </c>
      <c r="D1872" s="21">
        <v>66.13</v>
      </c>
      <c r="E1872" s="22">
        <v>37804</v>
      </c>
      <c r="F1872" t="s">
        <v>13</v>
      </c>
      <c r="G1872" t="s">
        <v>72</v>
      </c>
      <c r="H1872">
        <v>3</v>
      </c>
      <c r="I1872">
        <v>2003</v>
      </c>
      <c r="J1872" t="s">
        <v>15</v>
      </c>
      <c r="K1872" t="s">
        <v>104</v>
      </c>
    </row>
    <row r="1873" spans="1:11">
      <c r="A1873" t="s">
        <v>107</v>
      </c>
      <c r="B1873">
        <v>10147</v>
      </c>
      <c r="C1873">
        <v>30</v>
      </c>
      <c r="D1873" s="21">
        <v>68.58</v>
      </c>
      <c r="E1873" s="22">
        <v>37869</v>
      </c>
      <c r="F1873" t="s">
        <v>13</v>
      </c>
      <c r="G1873" t="s">
        <v>72</v>
      </c>
      <c r="H1873">
        <v>3</v>
      </c>
      <c r="I1873">
        <v>2003</v>
      </c>
      <c r="J1873" t="s">
        <v>15</v>
      </c>
      <c r="K1873" t="s">
        <v>108</v>
      </c>
    </row>
    <row r="1874" spans="1:11">
      <c r="A1874" t="s">
        <v>28</v>
      </c>
      <c r="B1874">
        <v>10159</v>
      </c>
      <c r="C1874">
        <v>50</v>
      </c>
      <c r="D1874" s="21">
        <v>69.8</v>
      </c>
      <c r="E1874" s="22">
        <v>37904</v>
      </c>
      <c r="F1874" t="s">
        <v>13</v>
      </c>
      <c r="G1874" t="s">
        <v>72</v>
      </c>
      <c r="H1874">
        <v>4</v>
      </c>
      <c r="I1874">
        <v>2003</v>
      </c>
      <c r="J1874" t="s">
        <v>22</v>
      </c>
      <c r="K1874" t="s">
        <v>29</v>
      </c>
    </row>
    <row r="1875" spans="1:11">
      <c r="A1875" t="s">
        <v>109</v>
      </c>
      <c r="B1875">
        <v>10169</v>
      </c>
      <c r="C1875">
        <v>34</v>
      </c>
      <c r="D1875" s="21">
        <v>50.21</v>
      </c>
      <c r="E1875" s="22">
        <v>37929</v>
      </c>
      <c r="F1875" t="s">
        <v>13</v>
      </c>
      <c r="G1875" t="s">
        <v>72</v>
      </c>
      <c r="H1875">
        <v>4</v>
      </c>
      <c r="I1875">
        <v>2003</v>
      </c>
      <c r="J1875" t="s">
        <v>15</v>
      </c>
      <c r="K1875" t="s">
        <v>110</v>
      </c>
    </row>
    <row r="1876" spans="1:11">
      <c r="A1876" t="s">
        <v>36</v>
      </c>
      <c r="B1876">
        <v>10181</v>
      </c>
      <c r="C1876">
        <v>23</v>
      </c>
      <c r="D1876" s="21">
        <v>65.52</v>
      </c>
      <c r="E1876" s="22">
        <v>37937</v>
      </c>
      <c r="F1876" t="s">
        <v>13</v>
      </c>
      <c r="G1876" t="s">
        <v>72</v>
      </c>
      <c r="H1876">
        <v>4</v>
      </c>
      <c r="I1876">
        <v>2003</v>
      </c>
      <c r="J1876" t="s">
        <v>15</v>
      </c>
      <c r="K1876" t="s">
        <v>37</v>
      </c>
    </row>
    <row r="1877" spans="1:11">
      <c r="A1877" t="s">
        <v>165</v>
      </c>
      <c r="B1877">
        <v>10191</v>
      </c>
      <c r="C1877">
        <v>48</v>
      </c>
      <c r="D1877" s="21">
        <v>60.01</v>
      </c>
      <c r="E1877" s="22">
        <v>37945</v>
      </c>
      <c r="F1877" t="s">
        <v>13</v>
      </c>
      <c r="G1877" t="s">
        <v>72</v>
      </c>
      <c r="H1877">
        <v>4</v>
      </c>
      <c r="I1877">
        <v>2003</v>
      </c>
      <c r="J1877" t="s">
        <v>15</v>
      </c>
      <c r="K1877" t="s">
        <v>166</v>
      </c>
    </row>
    <row r="1878" spans="1:11">
      <c r="A1878" t="s">
        <v>69</v>
      </c>
      <c r="B1878">
        <v>10203</v>
      </c>
      <c r="C1878">
        <v>34</v>
      </c>
      <c r="D1878" s="21">
        <v>64.9</v>
      </c>
      <c r="E1878" s="22">
        <v>37957</v>
      </c>
      <c r="F1878" t="s">
        <v>13</v>
      </c>
      <c r="G1878" t="s">
        <v>72</v>
      </c>
      <c r="H1878">
        <v>4</v>
      </c>
      <c r="I1878">
        <v>2003</v>
      </c>
      <c r="J1878" t="s">
        <v>15</v>
      </c>
      <c r="K1878" t="s">
        <v>71</v>
      </c>
    </row>
    <row r="1879" spans="1:11">
      <c r="A1879" t="s">
        <v>40</v>
      </c>
      <c r="B1879">
        <v>10211</v>
      </c>
      <c r="C1879">
        <v>48</v>
      </c>
      <c r="D1879" s="21">
        <v>48.98</v>
      </c>
      <c r="E1879" s="22">
        <v>38001</v>
      </c>
      <c r="F1879" t="s">
        <v>13</v>
      </c>
      <c r="G1879" t="s">
        <v>72</v>
      </c>
      <c r="H1879">
        <v>1</v>
      </c>
      <c r="I1879">
        <v>2004</v>
      </c>
      <c r="J1879" t="s">
        <v>15</v>
      </c>
      <c r="K1879" t="s">
        <v>41</v>
      </c>
    </row>
    <row r="1880" spans="1:11">
      <c r="A1880" t="s">
        <v>167</v>
      </c>
      <c r="B1880">
        <v>10225</v>
      </c>
      <c r="C1880">
        <v>24</v>
      </c>
      <c r="D1880" s="21">
        <v>50.21</v>
      </c>
      <c r="E1880" s="22">
        <v>38039</v>
      </c>
      <c r="F1880" t="s">
        <v>13</v>
      </c>
      <c r="G1880" t="s">
        <v>72</v>
      </c>
      <c r="H1880">
        <v>1</v>
      </c>
      <c r="I1880">
        <v>2004</v>
      </c>
      <c r="J1880" t="s">
        <v>15</v>
      </c>
      <c r="K1880" t="s">
        <v>168</v>
      </c>
    </row>
    <row r="1881" spans="1:11">
      <c r="A1881" t="s">
        <v>122</v>
      </c>
      <c r="B1881">
        <v>10238</v>
      </c>
      <c r="C1881">
        <v>47</v>
      </c>
      <c r="D1881" s="21">
        <v>62.45</v>
      </c>
      <c r="E1881" s="22">
        <v>38086</v>
      </c>
      <c r="F1881" t="s">
        <v>13</v>
      </c>
      <c r="G1881" t="s">
        <v>72</v>
      </c>
      <c r="H1881">
        <v>2</v>
      </c>
      <c r="I1881">
        <v>2004</v>
      </c>
      <c r="J1881" t="s">
        <v>15</v>
      </c>
      <c r="K1881" t="s">
        <v>123</v>
      </c>
    </row>
    <row r="1882" spans="1:11">
      <c r="A1882" t="s">
        <v>67</v>
      </c>
      <c r="B1882">
        <v>10253</v>
      </c>
      <c r="C1882">
        <v>24</v>
      </c>
      <c r="D1882" s="21">
        <v>52.66</v>
      </c>
      <c r="E1882" s="22">
        <v>38139</v>
      </c>
      <c r="F1882" t="s">
        <v>128</v>
      </c>
      <c r="G1882" t="s">
        <v>72</v>
      </c>
      <c r="H1882">
        <v>2</v>
      </c>
      <c r="I1882">
        <v>2004</v>
      </c>
      <c r="J1882" t="s">
        <v>15</v>
      </c>
      <c r="K1882" t="s">
        <v>68</v>
      </c>
    </row>
    <row r="1883" spans="1:11">
      <c r="A1883" t="s">
        <v>169</v>
      </c>
      <c r="B1883">
        <v>10266</v>
      </c>
      <c r="C1883">
        <v>47</v>
      </c>
      <c r="D1883" s="21">
        <v>62.45</v>
      </c>
      <c r="E1883" s="22">
        <v>38174</v>
      </c>
      <c r="F1883" t="s">
        <v>13</v>
      </c>
      <c r="G1883" t="s">
        <v>72</v>
      </c>
      <c r="H1883">
        <v>3</v>
      </c>
      <c r="I1883">
        <v>2004</v>
      </c>
      <c r="J1883" t="s">
        <v>15</v>
      </c>
      <c r="K1883" t="s">
        <v>170</v>
      </c>
    </row>
    <row r="1884" spans="1:11">
      <c r="A1884" t="s">
        <v>171</v>
      </c>
      <c r="B1884">
        <v>10276</v>
      </c>
      <c r="C1884">
        <v>20</v>
      </c>
      <c r="D1884" s="21">
        <v>61.23</v>
      </c>
      <c r="E1884" s="22">
        <v>38201</v>
      </c>
      <c r="F1884" t="s">
        <v>13</v>
      </c>
      <c r="G1884" t="s">
        <v>72</v>
      </c>
      <c r="H1884">
        <v>3</v>
      </c>
      <c r="I1884">
        <v>2004</v>
      </c>
      <c r="J1884" t="s">
        <v>15</v>
      </c>
      <c r="K1884" t="s">
        <v>172</v>
      </c>
    </row>
    <row r="1885" spans="1:11">
      <c r="A1885" t="s">
        <v>167</v>
      </c>
      <c r="B1885">
        <v>10287</v>
      </c>
      <c r="C1885">
        <v>20</v>
      </c>
      <c r="D1885" s="21">
        <v>67.97</v>
      </c>
      <c r="E1885" s="22">
        <v>38229</v>
      </c>
      <c r="F1885" t="s">
        <v>13</v>
      </c>
      <c r="G1885" t="s">
        <v>72</v>
      </c>
      <c r="H1885">
        <v>3</v>
      </c>
      <c r="I1885">
        <v>2004</v>
      </c>
      <c r="J1885" t="s">
        <v>15</v>
      </c>
      <c r="K1885" t="s">
        <v>168</v>
      </c>
    </row>
    <row r="1886" spans="1:11">
      <c r="A1886" t="s">
        <v>173</v>
      </c>
      <c r="B1886">
        <v>10300</v>
      </c>
      <c r="C1886">
        <v>31</v>
      </c>
      <c r="D1886" s="21">
        <v>58.78</v>
      </c>
      <c r="E1886" s="22">
        <v>37898</v>
      </c>
      <c r="F1886" t="s">
        <v>13</v>
      </c>
      <c r="G1886" t="s">
        <v>72</v>
      </c>
      <c r="H1886">
        <v>4</v>
      </c>
      <c r="I1886">
        <v>2003</v>
      </c>
      <c r="J1886" t="s">
        <v>15</v>
      </c>
      <c r="K1886" t="s">
        <v>174</v>
      </c>
    </row>
    <row r="1887" spans="1:11">
      <c r="A1887" t="s">
        <v>165</v>
      </c>
      <c r="B1887">
        <v>10310</v>
      </c>
      <c r="C1887">
        <v>38</v>
      </c>
      <c r="D1887" s="21">
        <v>56.94</v>
      </c>
      <c r="E1887" s="22">
        <v>38276</v>
      </c>
      <c r="F1887" t="s">
        <v>13</v>
      </c>
      <c r="G1887" t="s">
        <v>72</v>
      </c>
      <c r="H1887">
        <v>4</v>
      </c>
      <c r="I1887">
        <v>2004</v>
      </c>
      <c r="J1887" t="s">
        <v>15</v>
      </c>
      <c r="K1887" t="s">
        <v>166</v>
      </c>
    </row>
    <row r="1888" spans="1:11">
      <c r="A1888" t="s">
        <v>73</v>
      </c>
      <c r="B1888">
        <v>10320</v>
      </c>
      <c r="C1888">
        <v>26</v>
      </c>
      <c r="D1888" s="21">
        <v>61.23</v>
      </c>
      <c r="E1888" s="22">
        <v>38294</v>
      </c>
      <c r="F1888" t="s">
        <v>13</v>
      </c>
      <c r="G1888" t="s">
        <v>72</v>
      </c>
      <c r="H1888">
        <v>4</v>
      </c>
      <c r="I1888">
        <v>2004</v>
      </c>
      <c r="J1888" t="s">
        <v>15</v>
      </c>
      <c r="K1888" t="s">
        <v>74</v>
      </c>
    </row>
    <row r="1889" spans="1:11">
      <c r="A1889" t="s">
        <v>116</v>
      </c>
      <c r="B1889">
        <v>10331</v>
      </c>
      <c r="C1889">
        <v>25</v>
      </c>
      <c r="D1889" s="21">
        <v>100</v>
      </c>
      <c r="E1889" s="22">
        <v>38308</v>
      </c>
      <c r="F1889" t="s">
        <v>13</v>
      </c>
      <c r="G1889" t="s">
        <v>72</v>
      </c>
      <c r="H1889">
        <v>4</v>
      </c>
      <c r="I1889">
        <v>2004</v>
      </c>
      <c r="J1889" t="s">
        <v>22</v>
      </c>
      <c r="K1889" t="s">
        <v>117</v>
      </c>
    </row>
    <row r="1890" spans="1:11">
      <c r="A1890" t="s">
        <v>42</v>
      </c>
      <c r="B1890">
        <v>10342</v>
      </c>
      <c r="C1890">
        <v>48</v>
      </c>
      <c r="D1890" s="21">
        <v>62.45</v>
      </c>
      <c r="E1890" s="22">
        <v>38315</v>
      </c>
      <c r="F1890" t="s">
        <v>13</v>
      </c>
      <c r="G1890" t="s">
        <v>72</v>
      </c>
      <c r="H1890">
        <v>4</v>
      </c>
      <c r="I1890">
        <v>2004</v>
      </c>
      <c r="J1890" t="s">
        <v>15</v>
      </c>
      <c r="K1890" t="s">
        <v>43</v>
      </c>
    </row>
    <row r="1891" spans="1:11">
      <c r="A1891" t="s">
        <v>69</v>
      </c>
      <c r="B1891">
        <v>10355</v>
      </c>
      <c r="C1891">
        <v>44</v>
      </c>
      <c r="D1891" s="21">
        <v>62.45</v>
      </c>
      <c r="E1891" s="22">
        <v>38328</v>
      </c>
      <c r="F1891" t="s">
        <v>13</v>
      </c>
      <c r="G1891" t="s">
        <v>72</v>
      </c>
      <c r="H1891">
        <v>4</v>
      </c>
      <c r="I1891">
        <v>2004</v>
      </c>
      <c r="J1891" t="s">
        <v>15</v>
      </c>
      <c r="K1891" t="s">
        <v>71</v>
      </c>
    </row>
    <row r="1892" spans="1:11">
      <c r="A1892" t="s">
        <v>175</v>
      </c>
      <c r="B1892">
        <v>10363</v>
      </c>
      <c r="C1892">
        <v>21</v>
      </c>
      <c r="D1892" s="21">
        <v>100</v>
      </c>
      <c r="E1892" s="22">
        <v>38358</v>
      </c>
      <c r="F1892" t="s">
        <v>13</v>
      </c>
      <c r="G1892" t="s">
        <v>72</v>
      </c>
      <c r="H1892">
        <v>1</v>
      </c>
      <c r="I1892">
        <v>2005</v>
      </c>
      <c r="J1892" t="s">
        <v>15</v>
      </c>
      <c r="K1892" t="s">
        <v>176</v>
      </c>
    </row>
    <row r="1893" spans="1:11">
      <c r="A1893" t="s">
        <v>69</v>
      </c>
      <c r="B1893">
        <v>10378</v>
      </c>
      <c r="C1893">
        <v>46</v>
      </c>
      <c r="D1893" s="21">
        <v>41.54</v>
      </c>
      <c r="E1893" s="22">
        <v>38393</v>
      </c>
      <c r="F1893" t="s">
        <v>13</v>
      </c>
      <c r="G1893" t="s">
        <v>72</v>
      </c>
      <c r="H1893">
        <v>1</v>
      </c>
      <c r="I1893">
        <v>2005</v>
      </c>
      <c r="J1893" t="s">
        <v>15</v>
      </c>
      <c r="K1893" t="s">
        <v>71</v>
      </c>
    </row>
    <row r="1894" spans="1:11">
      <c r="A1894" t="s">
        <v>103</v>
      </c>
      <c r="B1894">
        <v>10390</v>
      </c>
      <c r="C1894">
        <v>46</v>
      </c>
      <c r="D1894" s="21">
        <v>52.84</v>
      </c>
      <c r="E1894" s="22">
        <v>38415</v>
      </c>
      <c r="F1894" t="s">
        <v>13</v>
      </c>
      <c r="G1894" t="s">
        <v>72</v>
      </c>
      <c r="H1894">
        <v>1</v>
      </c>
      <c r="I1894">
        <v>2005</v>
      </c>
      <c r="J1894" t="s">
        <v>15</v>
      </c>
      <c r="K1894" t="s">
        <v>104</v>
      </c>
    </row>
    <row r="1895" spans="1:11">
      <c r="A1895" t="s">
        <v>60</v>
      </c>
      <c r="B1895">
        <v>10419</v>
      </c>
      <c r="C1895">
        <v>55</v>
      </c>
      <c r="D1895" s="21">
        <v>52.66</v>
      </c>
      <c r="E1895" s="22">
        <v>38489</v>
      </c>
      <c r="F1895" t="s">
        <v>13</v>
      </c>
      <c r="G1895" t="s">
        <v>72</v>
      </c>
      <c r="H1895">
        <v>2</v>
      </c>
      <c r="I1895">
        <v>2005</v>
      </c>
      <c r="J1895" t="s">
        <v>15</v>
      </c>
      <c r="K1895" t="s">
        <v>62</v>
      </c>
    </row>
    <row r="1896" spans="1:11">
      <c r="A1896" t="s">
        <v>203</v>
      </c>
      <c r="B1896">
        <v>10106</v>
      </c>
      <c r="C1896">
        <v>31</v>
      </c>
      <c r="D1896" s="21">
        <v>52.6</v>
      </c>
      <c r="E1896" s="22">
        <v>37669</v>
      </c>
      <c r="F1896" t="s">
        <v>13</v>
      </c>
      <c r="G1896" t="s">
        <v>202</v>
      </c>
      <c r="H1896">
        <v>1</v>
      </c>
      <c r="I1896">
        <v>2003</v>
      </c>
      <c r="J1896" t="s">
        <v>15</v>
      </c>
      <c r="K1896" t="s">
        <v>204</v>
      </c>
    </row>
    <row r="1897" spans="1:11">
      <c r="A1897" t="s">
        <v>60</v>
      </c>
      <c r="B1897">
        <v>10119</v>
      </c>
      <c r="C1897">
        <v>20</v>
      </c>
      <c r="D1897" s="21">
        <v>72.98</v>
      </c>
      <c r="E1897" s="22">
        <v>37739</v>
      </c>
      <c r="F1897" t="s">
        <v>13</v>
      </c>
      <c r="G1897" t="s">
        <v>202</v>
      </c>
      <c r="H1897">
        <v>2</v>
      </c>
      <c r="I1897">
        <v>2003</v>
      </c>
      <c r="J1897" t="s">
        <v>15</v>
      </c>
      <c r="K1897" t="s">
        <v>62</v>
      </c>
    </row>
    <row r="1898" spans="1:11">
      <c r="A1898" t="s">
        <v>208</v>
      </c>
      <c r="B1898">
        <v>10131</v>
      </c>
      <c r="C1898">
        <v>29</v>
      </c>
      <c r="D1898" s="21">
        <v>59.18</v>
      </c>
      <c r="E1898" s="22">
        <v>37788</v>
      </c>
      <c r="F1898" t="s">
        <v>13</v>
      </c>
      <c r="G1898" t="s">
        <v>202</v>
      </c>
      <c r="H1898">
        <v>2</v>
      </c>
      <c r="I1898">
        <v>2003</v>
      </c>
      <c r="J1898" t="s">
        <v>15</v>
      </c>
      <c r="K1898" t="s">
        <v>209</v>
      </c>
    </row>
    <row r="1899" spans="1:11">
      <c r="A1899" t="s">
        <v>126</v>
      </c>
      <c r="B1899">
        <v>10143</v>
      </c>
      <c r="C1899">
        <v>33</v>
      </c>
      <c r="D1899" s="21">
        <v>77.59</v>
      </c>
      <c r="E1899" s="22">
        <v>37843</v>
      </c>
      <c r="F1899" t="s">
        <v>13</v>
      </c>
      <c r="G1899" t="s">
        <v>202</v>
      </c>
      <c r="H1899">
        <v>3</v>
      </c>
      <c r="I1899">
        <v>2003</v>
      </c>
      <c r="J1899" t="s">
        <v>15</v>
      </c>
      <c r="K1899" t="s">
        <v>127</v>
      </c>
    </row>
    <row r="1900" spans="1:11">
      <c r="A1900" t="s">
        <v>54</v>
      </c>
      <c r="B1900">
        <v>10155</v>
      </c>
      <c r="C1900">
        <v>34</v>
      </c>
      <c r="D1900" s="21">
        <v>55.89</v>
      </c>
      <c r="E1900" s="22">
        <v>37900</v>
      </c>
      <c r="F1900" t="s">
        <v>13</v>
      </c>
      <c r="G1900" t="s">
        <v>202</v>
      </c>
      <c r="H1900">
        <v>4</v>
      </c>
      <c r="I1900">
        <v>2003</v>
      </c>
      <c r="J1900" t="s">
        <v>15</v>
      </c>
      <c r="K1900" t="s">
        <v>55</v>
      </c>
    </row>
    <row r="1901" spans="1:11">
      <c r="A1901" t="s">
        <v>99</v>
      </c>
      <c r="B1901">
        <v>10167</v>
      </c>
      <c r="C1901">
        <v>32</v>
      </c>
      <c r="D1901" s="21">
        <v>63.12</v>
      </c>
      <c r="E1901" s="22">
        <v>37917</v>
      </c>
      <c r="F1901" t="s">
        <v>128</v>
      </c>
      <c r="G1901" t="s">
        <v>202</v>
      </c>
      <c r="H1901">
        <v>4</v>
      </c>
      <c r="I1901">
        <v>2003</v>
      </c>
      <c r="J1901" t="s">
        <v>15</v>
      </c>
      <c r="K1901" t="s">
        <v>100</v>
      </c>
    </row>
    <row r="1902" spans="1:11">
      <c r="A1902" t="s">
        <v>129</v>
      </c>
      <c r="B1902">
        <v>10178</v>
      </c>
      <c r="C1902">
        <v>27</v>
      </c>
      <c r="D1902" s="21">
        <v>73.64</v>
      </c>
      <c r="E1902" s="22">
        <v>37933</v>
      </c>
      <c r="F1902" t="s">
        <v>13</v>
      </c>
      <c r="G1902" t="s">
        <v>202</v>
      </c>
      <c r="H1902">
        <v>4</v>
      </c>
      <c r="I1902">
        <v>2003</v>
      </c>
      <c r="J1902" t="s">
        <v>15</v>
      </c>
      <c r="K1902" t="s">
        <v>130</v>
      </c>
    </row>
    <row r="1903" spans="1:11">
      <c r="A1903" t="s">
        <v>131</v>
      </c>
      <c r="B1903">
        <v>10186</v>
      </c>
      <c r="C1903">
        <v>21</v>
      </c>
      <c r="D1903" s="21">
        <v>69.04</v>
      </c>
      <c r="E1903" s="22">
        <v>37939</v>
      </c>
      <c r="F1903" t="s">
        <v>13</v>
      </c>
      <c r="G1903" t="s">
        <v>202</v>
      </c>
      <c r="H1903">
        <v>4</v>
      </c>
      <c r="I1903">
        <v>2003</v>
      </c>
      <c r="J1903" t="s">
        <v>15</v>
      </c>
      <c r="K1903" t="s">
        <v>132</v>
      </c>
    </row>
    <row r="1904" spans="1:11">
      <c r="A1904" t="s">
        <v>161</v>
      </c>
      <c r="B1904">
        <v>10198</v>
      </c>
      <c r="C1904">
        <v>27</v>
      </c>
      <c r="D1904" s="21">
        <v>71.67</v>
      </c>
      <c r="E1904" s="22">
        <v>37952</v>
      </c>
      <c r="F1904" t="s">
        <v>13</v>
      </c>
      <c r="G1904" t="s">
        <v>202</v>
      </c>
      <c r="H1904">
        <v>4</v>
      </c>
      <c r="I1904">
        <v>2003</v>
      </c>
      <c r="J1904" t="s">
        <v>15</v>
      </c>
      <c r="K1904" t="s">
        <v>162</v>
      </c>
    </row>
    <row r="1905" spans="1:11">
      <c r="A1905" t="s">
        <v>135</v>
      </c>
      <c r="B1905">
        <v>10209</v>
      </c>
      <c r="C1905">
        <v>36</v>
      </c>
      <c r="D1905" s="21">
        <v>77.59</v>
      </c>
      <c r="E1905" s="22">
        <v>37995</v>
      </c>
      <c r="F1905" t="s">
        <v>13</v>
      </c>
      <c r="G1905" t="s">
        <v>202</v>
      </c>
      <c r="H1905">
        <v>1</v>
      </c>
      <c r="I1905">
        <v>2004</v>
      </c>
      <c r="J1905" t="s">
        <v>15</v>
      </c>
      <c r="K1905" t="s">
        <v>136</v>
      </c>
    </row>
    <row r="1906" spans="1:11">
      <c r="A1906" t="s">
        <v>137</v>
      </c>
      <c r="B1906">
        <v>10222</v>
      </c>
      <c r="C1906">
        <v>43</v>
      </c>
      <c r="D1906" s="21">
        <v>70.35</v>
      </c>
      <c r="E1906" s="22">
        <v>38036</v>
      </c>
      <c r="F1906" t="s">
        <v>13</v>
      </c>
      <c r="G1906" t="s">
        <v>202</v>
      </c>
      <c r="H1906">
        <v>1</v>
      </c>
      <c r="I1906">
        <v>2004</v>
      </c>
      <c r="J1906" t="s">
        <v>22</v>
      </c>
      <c r="K1906" t="s">
        <v>138</v>
      </c>
    </row>
    <row r="1907" spans="1:11">
      <c r="A1907" t="s">
        <v>91</v>
      </c>
      <c r="B1907">
        <v>10249</v>
      </c>
      <c r="C1907">
        <v>25</v>
      </c>
      <c r="D1907" s="21">
        <v>69.7</v>
      </c>
      <c r="E1907" s="22">
        <v>38115</v>
      </c>
      <c r="F1907" t="s">
        <v>13</v>
      </c>
      <c r="G1907" t="s">
        <v>202</v>
      </c>
      <c r="H1907">
        <v>2</v>
      </c>
      <c r="I1907">
        <v>2004</v>
      </c>
      <c r="J1907" t="s">
        <v>15</v>
      </c>
      <c r="K1907" t="s">
        <v>92</v>
      </c>
    </row>
    <row r="1908" spans="1:11">
      <c r="A1908" t="s">
        <v>69</v>
      </c>
      <c r="B1908">
        <v>10262</v>
      </c>
      <c r="C1908">
        <v>46</v>
      </c>
      <c r="D1908" s="21">
        <v>70.35</v>
      </c>
      <c r="E1908" s="22">
        <v>38162</v>
      </c>
      <c r="F1908" t="s">
        <v>128</v>
      </c>
      <c r="G1908" t="s">
        <v>202</v>
      </c>
      <c r="H1908">
        <v>2</v>
      </c>
      <c r="I1908">
        <v>2004</v>
      </c>
      <c r="J1908" t="s">
        <v>22</v>
      </c>
      <c r="K1908" t="s">
        <v>71</v>
      </c>
    </row>
    <row r="1909" spans="1:11">
      <c r="A1909" t="s">
        <v>107</v>
      </c>
      <c r="B1909">
        <v>10274</v>
      </c>
      <c r="C1909">
        <v>24</v>
      </c>
      <c r="D1909" s="21">
        <v>72.33</v>
      </c>
      <c r="E1909" s="22">
        <v>38189</v>
      </c>
      <c r="F1909" t="s">
        <v>13</v>
      </c>
      <c r="G1909" t="s">
        <v>202</v>
      </c>
      <c r="H1909">
        <v>3</v>
      </c>
      <c r="I1909">
        <v>2004</v>
      </c>
      <c r="J1909" t="s">
        <v>15</v>
      </c>
      <c r="K1909" t="s">
        <v>108</v>
      </c>
    </row>
    <row r="1910" spans="1:11">
      <c r="A1910" t="s">
        <v>200</v>
      </c>
      <c r="B1910">
        <v>10284</v>
      </c>
      <c r="C1910">
        <v>39</v>
      </c>
      <c r="D1910" s="21">
        <v>71.67</v>
      </c>
      <c r="E1910" s="22">
        <v>38220</v>
      </c>
      <c r="F1910" t="s">
        <v>13</v>
      </c>
      <c r="G1910" t="s">
        <v>202</v>
      </c>
      <c r="H1910">
        <v>3</v>
      </c>
      <c r="I1910">
        <v>2004</v>
      </c>
      <c r="J1910" t="s">
        <v>15</v>
      </c>
      <c r="K1910" t="s">
        <v>201</v>
      </c>
    </row>
    <row r="1911" spans="1:11">
      <c r="A1911" t="s">
        <v>210</v>
      </c>
      <c r="B1911">
        <v>10296</v>
      </c>
      <c r="C1911">
        <v>31</v>
      </c>
      <c r="D1911" s="21">
        <v>53.92</v>
      </c>
      <c r="E1911" s="22">
        <v>38245</v>
      </c>
      <c r="F1911" t="s">
        <v>13</v>
      </c>
      <c r="G1911" t="s">
        <v>202</v>
      </c>
      <c r="H1911">
        <v>3</v>
      </c>
      <c r="I1911">
        <v>2004</v>
      </c>
      <c r="J1911" t="s">
        <v>15</v>
      </c>
      <c r="K1911" t="s">
        <v>211</v>
      </c>
    </row>
    <row r="1912" spans="1:11">
      <c r="A1912" t="s">
        <v>83</v>
      </c>
      <c r="B1912">
        <v>10307</v>
      </c>
      <c r="C1912">
        <v>22</v>
      </c>
      <c r="D1912" s="21">
        <v>71.67</v>
      </c>
      <c r="E1912" s="22">
        <v>38274</v>
      </c>
      <c r="F1912" t="s">
        <v>13</v>
      </c>
      <c r="G1912" t="s">
        <v>202</v>
      </c>
      <c r="H1912">
        <v>4</v>
      </c>
      <c r="I1912">
        <v>2004</v>
      </c>
      <c r="J1912" t="s">
        <v>15</v>
      </c>
      <c r="K1912" t="s">
        <v>84</v>
      </c>
    </row>
    <row r="1913" spans="1:11">
      <c r="A1913" t="s">
        <v>145</v>
      </c>
      <c r="B1913">
        <v>10316</v>
      </c>
      <c r="C1913">
        <v>47</v>
      </c>
      <c r="D1913" s="21">
        <v>76.93</v>
      </c>
      <c r="E1913" s="22">
        <v>38292</v>
      </c>
      <c r="F1913" t="s">
        <v>13</v>
      </c>
      <c r="G1913" t="s">
        <v>202</v>
      </c>
      <c r="H1913">
        <v>4</v>
      </c>
      <c r="I1913">
        <v>2004</v>
      </c>
      <c r="J1913" t="s">
        <v>22</v>
      </c>
      <c r="K1913" t="s">
        <v>146</v>
      </c>
    </row>
    <row r="1914" spans="1:11">
      <c r="A1914" t="s">
        <v>203</v>
      </c>
      <c r="B1914">
        <v>10328</v>
      </c>
      <c r="C1914">
        <v>20</v>
      </c>
      <c r="D1914" s="21">
        <v>72.98</v>
      </c>
      <c r="E1914" s="22">
        <v>38303</v>
      </c>
      <c r="F1914" t="s">
        <v>13</v>
      </c>
      <c r="G1914" t="s">
        <v>202</v>
      </c>
      <c r="H1914">
        <v>4</v>
      </c>
      <c r="I1914">
        <v>2004</v>
      </c>
      <c r="J1914" t="s">
        <v>15</v>
      </c>
      <c r="K1914" t="s">
        <v>204</v>
      </c>
    </row>
    <row r="1915" spans="1:11">
      <c r="A1915" t="s">
        <v>95</v>
      </c>
      <c r="B1915">
        <v>10339</v>
      </c>
      <c r="C1915">
        <v>29</v>
      </c>
      <c r="D1915" s="21">
        <v>99.69</v>
      </c>
      <c r="E1915" s="22">
        <v>38314</v>
      </c>
      <c r="F1915" t="s">
        <v>13</v>
      </c>
      <c r="G1915" t="s">
        <v>202</v>
      </c>
      <c r="H1915">
        <v>4</v>
      </c>
      <c r="I1915">
        <v>2004</v>
      </c>
      <c r="J1915" t="s">
        <v>15</v>
      </c>
      <c r="K1915" t="s">
        <v>96</v>
      </c>
    </row>
    <row r="1916" spans="1:11">
      <c r="A1916" t="s">
        <v>124</v>
      </c>
      <c r="B1916">
        <v>10351</v>
      </c>
      <c r="C1916">
        <v>38</v>
      </c>
      <c r="D1916" s="21">
        <v>68.38</v>
      </c>
      <c r="E1916" s="22">
        <v>38324</v>
      </c>
      <c r="F1916" t="s">
        <v>13</v>
      </c>
      <c r="G1916" t="s">
        <v>202</v>
      </c>
      <c r="H1916">
        <v>4</v>
      </c>
      <c r="I1916">
        <v>2004</v>
      </c>
      <c r="J1916" t="s">
        <v>15</v>
      </c>
      <c r="K1916" t="s">
        <v>125</v>
      </c>
    </row>
    <row r="1917" spans="1:11">
      <c r="A1917" t="s">
        <v>63</v>
      </c>
      <c r="B1917">
        <v>10361</v>
      </c>
      <c r="C1917">
        <v>34</v>
      </c>
      <c r="D1917" s="21">
        <v>100</v>
      </c>
      <c r="E1917" s="22">
        <v>38338</v>
      </c>
      <c r="F1917" t="s">
        <v>13</v>
      </c>
      <c r="G1917" t="s">
        <v>202</v>
      </c>
      <c r="H1917">
        <v>4</v>
      </c>
      <c r="I1917">
        <v>2004</v>
      </c>
      <c r="J1917" t="s">
        <v>22</v>
      </c>
      <c r="K1917" t="s">
        <v>64</v>
      </c>
    </row>
    <row r="1918" spans="1:11">
      <c r="A1918" t="s">
        <v>147</v>
      </c>
      <c r="B1918">
        <v>10373</v>
      </c>
      <c r="C1918">
        <v>46</v>
      </c>
      <c r="D1918" s="21">
        <v>66</v>
      </c>
      <c r="E1918" s="22">
        <v>38383</v>
      </c>
      <c r="F1918" t="s">
        <v>13</v>
      </c>
      <c r="G1918" t="s">
        <v>202</v>
      </c>
      <c r="H1918">
        <v>1</v>
      </c>
      <c r="I1918">
        <v>2005</v>
      </c>
      <c r="J1918" t="s">
        <v>22</v>
      </c>
      <c r="K1918" t="s">
        <v>148</v>
      </c>
    </row>
    <row r="1919" spans="1:11">
      <c r="A1919" t="s">
        <v>69</v>
      </c>
      <c r="B1919">
        <v>10386</v>
      </c>
      <c r="C1919">
        <v>35</v>
      </c>
      <c r="D1919" s="21">
        <v>63.76</v>
      </c>
      <c r="E1919" s="22">
        <v>38412</v>
      </c>
      <c r="F1919" t="s">
        <v>155</v>
      </c>
      <c r="G1919" t="s">
        <v>202</v>
      </c>
      <c r="H1919">
        <v>1</v>
      </c>
      <c r="I1919">
        <v>2005</v>
      </c>
      <c r="J1919" t="s">
        <v>15</v>
      </c>
      <c r="K1919" t="s">
        <v>71</v>
      </c>
    </row>
    <row r="1920" spans="1:11">
      <c r="A1920" t="s">
        <v>18</v>
      </c>
      <c r="B1920">
        <v>10398</v>
      </c>
      <c r="C1920">
        <v>34</v>
      </c>
      <c r="D1920" s="21">
        <v>71.67</v>
      </c>
      <c r="E1920" s="22">
        <v>38441</v>
      </c>
      <c r="F1920" t="s">
        <v>13</v>
      </c>
      <c r="G1920" t="s">
        <v>202</v>
      </c>
      <c r="H1920">
        <v>1</v>
      </c>
      <c r="I1920">
        <v>2005</v>
      </c>
      <c r="J1920" t="s">
        <v>15</v>
      </c>
      <c r="K1920" t="s">
        <v>19</v>
      </c>
    </row>
    <row r="1921" spans="1:11">
      <c r="A1921" t="s">
        <v>149</v>
      </c>
      <c r="B1921">
        <v>10400</v>
      </c>
      <c r="C1921">
        <v>38</v>
      </c>
      <c r="D1921" s="21">
        <v>57.2</v>
      </c>
      <c r="E1921" s="22">
        <v>38443</v>
      </c>
      <c r="F1921" t="s">
        <v>13</v>
      </c>
      <c r="G1921" t="s">
        <v>202</v>
      </c>
      <c r="H1921">
        <v>2</v>
      </c>
      <c r="I1921">
        <v>2005</v>
      </c>
      <c r="J1921" t="s">
        <v>15</v>
      </c>
      <c r="K1921" t="s">
        <v>150</v>
      </c>
    </row>
    <row r="1922" spans="1:11">
      <c r="A1922" t="s">
        <v>205</v>
      </c>
      <c r="B1922">
        <v>10415</v>
      </c>
      <c r="C1922">
        <v>18</v>
      </c>
      <c r="D1922" s="21">
        <v>69.7</v>
      </c>
      <c r="E1922" s="22">
        <v>38481</v>
      </c>
      <c r="F1922" t="s">
        <v>70</v>
      </c>
      <c r="G1922" t="s">
        <v>202</v>
      </c>
      <c r="H1922">
        <v>2</v>
      </c>
      <c r="I1922">
        <v>2005</v>
      </c>
      <c r="J1922" t="s">
        <v>15</v>
      </c>
      <c r="K1922" t="s">
        <v>206</v>
      </c>
    </row>
    <row r="1923" spans="1:11">
      <c r="A1923" t="s">
        <v>183</v>
      </c>
      <c r="B1923">
        <v>10110</v>
      </c>
      <c r="C1923">
        <v>37</v>
      </c>
      <c r="D1923" s="21">
        <v>100</v>
      </c>
      <c r="E1923" s="22">
        <v>37698</v>
      </c>
      <c r="F1923" t="s">
        <v>13</v>
      </c>
      <c r="G1923" t="s">
        <v>72</v>
      </c>
      <c r="H1923">
        <v>1</v>
      </c>
      <c r="I1923">
        <v>2003</v>
      </c>
      <c r="J1923" t="s">
        <v>22</v>
      </c>
      <c r="K1923" t="s">
        <v>184</v>
      </c>
    </row>
    <row r="1924" spans="1:11">
      <c r="A1924" t="s">
        <v>198</v>
      </c>
      <c r="B1924">
        <v>10124</v>
      </c>
      <c r="C1924">
        <v>43</v>
      </c>
      <c r="D1924" s="21">
        <v>100</v>
      </c>
      <c r="E1924" s="22">
        <v>37762</v>
      </c>
      <c r="F1924" t="s">
        <v>13</v>
      </c>
      <c r="G1924" t="s">
        <v>72</v>
      </c>
      <c r="H1924">
        <v>2</v>
      </c>
      <c r="I1924">
        <v>2003</v>
      </c>
      <c r="J1924" t="s">
        <v>22</v>
      </c>
      <c r="K1924" t="s">
        <v>199</v>
      </c>
    </row>
    <row r="1925" spans="1:11">
      <c r="A1925" t="s">
        <v>109</v>
      </c>
      <c r="B1925">
        <v>10148</v>
      </c>
      <c r="C1925">
        <v>27</v>
      </c>
      <c r="D1925" s="21">
        <v>100</v>
      </c>
      <c r="E1925" s="22">
        <v>37875</v>
      </c>
      <c r="F1925" t="s">
        <v>13</v>
      </c>
      <c r="G1925" t="s">
        <v>72</v>
      </c>
      <c r="H1925">
        <v>3</v>
      </c>
      <c r="I1925">
        <v>2003</v>
      </c>
      <c r="J1925" t="s">
        <v>22</v>
      </c>
      <c r="K1925" t="s">
        <v>110</v>
      </c>
    </row>
    <row r="1926" spans="1:11">
      <c r="A1926" t="s">
        <v>185</v>
      </c>
      <c r="B1926">
        <v>10161</v>
      </c>
      <c r="C1926">
        <v>30</v>
      </c>
      <c r="D1926" s="21">
        <v>100</v>
      </c>
      <c r="E1926" s="22">
        <v>37911</v>
      </c>
      <c r="F1926" t="s">
        <v>13</v>
      </c>
      <c r="G1926" t="s">
        <v>72</v>
      </c>
      <c r="H1926">
        <v>4</v>
      </c>
      <c r="I1926">
        <v>2003</v>
      </c>
      <c r="J1926" t="s">
        <v>22</v>
      </c>
      <c r="K1926" t="s">
        <v>186</v>
      </c>
    </row>
    <row r="1927" spans="1:11">
      <c r="A1927" t="s">
        <v>48</v>
      </c>
      <c r="B1927">
        <v>10172</v>
      </c>
      <c r="C1927">
        <v>22</v>
      </c>
      <c r="D1927" s="21">
        <v>98.51</v>
      </c>
      <c r="E1927" s="22">
        <v>37930</v>
      </c>
      <c r="F1927" t="s">
        <v>13</v>
      </c>
      <c r="G1927" t="s">
        <v>72</v>
      </c>
      <c r="H1927">
        <v>4</v>
      </c>
      <c r="I1927">
        <v>2003</v>
      </c>
      <c r="J1927" t="s">
        <v>15</v>
      </c>
      <c r="K1927" t="s">
        <v>49</v>
      </c>
    </row>
    <row r="1928" spans="1:11">
      <c r="A1928" t="s">
        <v>103</v>
      </c>
      <c r="B1928">
        <v>10182</v>
      </c>
      <c r="C1928">
        <v>49</v>
      </c>
      <c r="D1928" s="21">
        <v>100</v>
      </c>
      <c r="E1928" s="22">
        <v>37937</v>
      </c>
      <c r="F1928" t="s">
        <v>13</v>
      </c>
      <c r="G1928" t="s">
        <v>72</v>
      </c>
      <c r="H1928">
        <v>4</v>
      </c>
      <c r="I1928">
        <v>2003</v>
      </c>
      <c r="J1928" t="s">
        <v>22</v>
      </c>
      <c r="K1928" t="s">
        <v>104</v>
      </c>
    </row>
    <row r="1929" spans="1:11">
      <c r="A1929" t="s">
        <v>105</v>
      </c>
      <c r="B1929">
        <v>10192</v>
      </c>
      <c r="C1929">
        <v>46</v>
      </c>
      <c r="D1929" s="21">
        <v>100</v>
      </c>
      <c r="E1929" s="22">
        <v>37945</v>
      </c>
      <c r="F1929" t="s">
        <v>13</v>
      </c>
      <c r="G1929" t="s">
        <v>72</v>
      </c>
      <c r="H1929">
        <v>4</v>
      </c>
      <c r="I1929">
        <v>2003</v>
      </c>
      <c r="J1929" t="s">
        <v>22</v>
      </c>
      <c r="K1929" t="s">
        <v>106</v>
      </c>
    </row>
    <row r="1930" spans="1:11">
      <c r="A1930" t="s">
        <v>177</v>
      </c>
      <c r="B1930">
        <v>10204</v>
      </c>
      <c r="C1930">
        <v>48</v>
      </c>
      <c r="D1930" s="21">
        <v>91.02</v>
      </c>
      <c r="E1930" s="22">
        <v>37957</v>
      </c>
      <c r="F1930" t="s">
        <v>13</v>
      </c>
      <c r="G1930" t="s">
        <v>72</v>
      </c>
      <c r="H1930">
        <v>4</v>
      </c>
      <c r="I1930">
        <v>2003</v>
      </c>
      <c r="J1930" t="s">
        <v>22</v>
      </c>
      <c r="K1930" t="s">
        <v>178</v>
      </c>
    </row>
    <row r="1931" spans="1:11">
      <c r="A1931" t="s">
        <v>69</v>
      </c>
      <c r="B1931">
        <v>10212</v>
      </c>
      <c r="C1931">
        <v>46</v>
      </c>
      <c r="D1931" s="21">
        <v>87.81</v>
      </c>
      <c r="E1931" s="22">
        <v>38002</v>
      </c>
      <c r="F1931" t="s">
        <v>13</v>
      </c>
      <c r="G1931" t="s">
        <v>72</v>
      </c>
      <c r="H1931">
        <v>1</v>
      </c>
      <c r="I1931">
        <v>2004</v>
      </c>
      <c r="J1931" t="s">
        <v>22</v>
      </c>
      <c r="K1931" t="s">
        <v>71</v>
      </c>
    </row>
    <row r="1932" spans="1:11">
      <c r="A1932" t="s">
        <v>137</v>
      </c>
      <c r="B1932">
        <v>10226</v>
      </c>
      <c r="C1932">
        <v>48</v>
      </c>
      <c r="D1932" s="21">
        <v>92.09</v>
      </c>
      <c r="E1932" s="22">
        <v>38043</v>
      </c>
      <c r="F1932" t="s">
        <v>13</v>
      </c>
      <c r="G1932" t="s">
        <v>72</v>
      </c>
      <c r="H1932">
        <v>1</v>
      </c>
      <c r="I1932">
        <v>2004</v>
      </c>
      <c r="J1932" t="s">
        <v>22</v>
      </c>
      <c r="K1932" t="s">
        <v>138</v>
      </c>
    </row>
    <row r="1933" spans="1:11">
      <c r="A1933" t="s">
        <v>196</v>
      </c>
      <c r="B1933">
        <v>10241</v>
      </c>
      <c r="C1933">
        <v>27</v>
      </c>
      <c r="D1933" s="21">
        <v>86.73</v>
      </c>
      <c r="E1933" s="22">
        <v>38090</v>
      </c>
      <c r="F1933" t="s">
        <v>13</v>
      </c>
      <c r="G1933" t="s">
        <v>72</v>
      </c>
      <c r="H1933">
        <v>2</v>
      </c>
      <c r="I1933">
        <v>2004</v>
      </c>
      <c r="J1933" t="s">
        <v>15</v>
      </c>
      <c r="K1933" t="s">
        <v>197</v>
      </c>
    </row>
    <row r="1934" spans="1:11">
      <c r="A1934" t="s">
        <v>177</v>
      </c>
      <c r="B1934">
        <v>10267</v>
      </c>
      <c r="C1934">
        <v>43</v>
      </c>
      <c r="D1934" s="21">
        <v>100</v>
      </c>
      <c r="E1934" s="22">
        <v>38175</v>
      </c>
      <c r="F1934" t="s">
        <v>13</v>
      </c>
      <c r="G1934" t="s">
        <v>72</v>
      </c>
      <c r="H1934">
        <v>3</v>
      </c>
      <c r="I1934">
        <v>2004</v>
      </c>
      <c r="J1934" t="s">
        <v>22</v>
      </c>
      <c r="K1934" t="s">
        <v>178</v>
      </c>
    </row>
    <row r="1935" spans="1:11">
      <c r="A1935" t="s">
        <v>69</v>
      </c>
      <c r="B1935">
        <v>10279</v>
      </c>
      <c r="C1935">
        <v>48</v>
      </c>
      <c r="D1935" s="21">
        <v>100</v>
      </c>
      <c r="E1935" s="22">
        <v>38208</v>
      </c>
      <c r="F1935" t="s">
        <v>13</v>
      </c>
      <c r="G1935" t="s">
        <v>72</v>
      </c>
      <c r="H1935">
        <v>3</v>
      </c>
      <c r="I1935">
        <v>2004</v>
      </c>
      <c r="J1935" t="s">
        <v>22</v>
      </c>
      <c r="K1935" t="s">
        <v>71</v>
      </c>
    </row>
    <row r="1936" spans="1:11">
      <c r="A1936" t="s">
        <v>159</v>
      </c>
      <c r="B1936">
        <v>10288</v>
      </c>
      <c r="C1936">
        <v>41</v>
      </c>
      <c r="D1936" s="21">
        <v>100</v>
      </c>
      <c r="E1936" s="22">
        <v>38231</v>
      </c>
      <c r="F1936" t="s">
        <v>13</v>
      </c>
      <c r="G1936" t="s">
        <v>72</v>
      </c>
      <c r="H1936">
        <v>3</v>
      </c>
      <c r="I1936">
        <v>2004</v>
      </c>
      <c r="J1936" t="s">
        <v>22</v>
      </c>
      <c r="K1936" t="s">
        <v>160</v>
      </c>
    </row>
    <row r="1937" spans="1:11">
      <c r="A1937" t="s">
        <v>200</v>
      </c>
      <c r="B1937">
        <v>10301</v>
      </c>
      <c r="C1937">
        <v>22</v>
      </c>
      <c r="D1937" s="21">
        <v>96.37</v>
      </c>
      <c r="E1937" s="22">
        <v>37899</v>
      </c>
      <c r="F1937" t="s">
        <v>13</v>
      </c>
      <c r="G1937" t="s">
        <v>72</v>
      </c>
      <c r="H1937">
        <v>4</v>
      </c>
      <c r="I1937">
        <v>2003</v>
      </c>
      <c r="J1937" t="s">
        <v>15</v>
      </c>
      <c r="K1937" t="s">
        <v>201</v>
      </c>
    </row>
    <row r="1938" spans="1:11">
      <c r="A1938" t="s">
        <v>69</v>
      </c>
      <c r="B1938">
        <v>10311</v>
      </c>
      <c r="C1938">
        <v>46</v>
      </c>
      <c r="D1938" s="21">
        <v>92.09</v>
      </c>
      <c r="E1938" s="22">
        <v>38276</v>
      </c>
      <c r="F1938" t="s">
        <v>13</v>
      </c>
      <c r="G1938" t="s">
        <v>72</v>
      </c>
      <c r="H1938">
        <v>4</v>
      </c>
      <c r="I1938">
        <v>2004</v>
      </c>
      <c r="J1938" t="s">
        <v>22</v>
      </c>
      <c r="K1938" t="s">
        <v>71</v>
      </c>
    </row>
    <row r="1939" spans="1:11">
      <c r="A1939" t="s">
        <v>65</v>
      </c>
      <c r="B1939">
        <v>10321</v>
      </c>
      <c r="C1939">
        <v>21</v>
      </c>
      <c r="D1939" s="21">
        <v>89.95</v>
      </c>
      <c r="E1939" s="22">
        <v>38295</v>
      </c>
      <c r="F1939" t="s">
        <v>13</v>
      </c>
      <c r="G1939" t="s">
        <v>72</v>
      </c>
      <c r="H1939">
        <v>4</v>
      </c>
      <c r="I1939">
        <v>2004</v>
      </c>
      <c r="J1939" t="s">
        <v>15</v>
      </c>
      <c r="K1939" t="s">
        <v>66</v>
      </c>
    </row>
    <row r="1940" spans="1:11">
      <c r="A1940" t="s">
        <v>183</v>
      </c>
      <c r="B1940">
        <v>10332</v>
      </c>
      <c r="C1940">
        <v>31</v>
      </c>
      <c r="D1940" s="21">
        <v>37.18</v>
      </c>
      <c r="E1940" s="22">
        <v>38308</v>
      </c>
      <c r="F1940" t="s">
        <v>13</v>
      </c>
      <c r="G1940" t="s">
        <v>72</v>
      </c>
      <c r="H1940">
        <v>4</v>
      </c>
      <c r="I1940">
        <v>2004</v>
      </c>
      <c r="J1940" t="s">
        <v>15</v>
      </c>
      <c r="K1940" t="s">
        <v>184</v>
      </c>
    </row>
    <row r="1941" spans="1:11">
      <c r="A1941" t="s">
        <v>198</v>
      </c>
      <c r="B1941">
        <v>10346</v>
      </c>
      <c r="C1941">
        <v>26</v>
      </c>
      <c r="D1941" s="21">
        <v>95.88</v>
      </c>
      <c r="E1941" s="22">
        <v>38320</v>
      </c>
      <c r="F1941" t="s">
        <v>13</v>
      </c>
      <c r="G1941" t="s">
        <v>72</v>
      </c>
      <c r="H1941">
        <v>4</v>
      </c>
      <c r="I1941">
        <v>2004</v>
      </c>
      <c r="J1941" t="s">
        <v>15</v>
      </c>
      <c r="K1941" t="s">
        <v>199</v>
      </c>
    </row>
    <row r="1942" spans="1:11">
      <c r="A1942" t="s">
        <v>103</v>
      </c>
      <c r="B1942">
        <v>10368</v>
      </c>
      <c r="C1942">
        <v>20</v>
      </c>
      <c r="D1942" s="21">
        <v>99.58</v>
      </c>
      <c r="E1942" s="22">
        <v>38371</v>
      </c>
      <c r="F1942" t="s">
        <v>13</v>
      </c>
      <c r="G1942" t="s">
        <v>72</v>
      </c>
      <c r="H1942">
        <v>1</v>
      </c>
      <c r="I1942">
        <v>2005</v>
      </c>
      <c r="J1942" t="s">
        <v>15</v>
      </c>
      <c r="K1942" t="s">
        <v>104</v>
      </c>
    </row>
    <row r="1943" spans="1:11">
      <c r="A1943" t="s">
        <v>69</v>
      </c>
      <c r="B1943">
        <v>10380</v>
      </c>
      <c r="C1943">
        <v>34</v>
      </c>
      <c r="D1943" s="21">
        <v>100</v>
      </c>
      <c r="E1943" s="22">
        <v>38399</v>
      </c>
      <c r="F1943" t="s">
        <v>13</v>
      </c>
      <c r="G1943" t="s">
        <v>72</v>
      </c>
      <c r="H1943">
        <v>1</v>
      </c>
      <c r="I1943">
        <v>2005</v>
      </c>
      <c r="J1943" t="s">
        <v>22</v>
      </c>
      <c r="K1943" t="s">
        <v>71</v>
      </c>
    </row>
    <row r="1944" spans="1:11">
      <c r="A1944" t="s">
        <v>149</v>
      </c>
      <c r="B1944">
        <v>10407</v>
      </c>
      <c r="C1944">
        <v>43</v>
      </c>
      <c r="D1944" s="21">
        <v>86.73</v>
      </c>
      <c r="E1944" s="22">
        <v>38464</v>
      </c>
      <c r="F1944" t="s">
        <v>151</v>
      </c>
      <c r="G1944" t="s">
        <v>72</v>
      </c>
      <c r="H1944">
        <v>2</v>
      </c>
      <c r="I1944">
        <v>2005</v>
      </c>
      <c r="J1944" t="s">
        <v>22</v>
      </c>
      <c r="K1944" t="s">
        <v>150</v>
      </c>
    </row>
    <row r="1945" spans="1:11">
      <c r="A1945" t="s">
        <v>63</v>
      </c>
      <c r="B1945">
        <v>10420</v>
      </c>
      <c r="C1945">
        <v>26</v>
      </c>
      <c r="D1945" s="21">
        <v>100</v>
      </c>
      <c r="E1945" s="22">
        <v>38501</v>
      </c>
      <c r="F1945" t="s">
        <v>113</v>
      </c>
      <c r="G1945" t="s">
        <v>72</v>
      </c>
      <c r="H1945">
        <v>2</v>
      </c>
      <c r="I1945">
        <v>2005</v>
      </c>
      <c r="J1945" t="s">
        <v>15</v>
      </c>
      <c r="K1945" t="s">
        <v>64</v>
      </c>
    </row>
    <row r="1946" spans="1:11">
      <c r="A1946" t="s">
        <v>122</v>
      </c>
      <c r="B1946">
        <v>10105</v>
      </c>
      <c r="C1946">
        <v>50</v>
      </c>
      <c r="D1946" s="21">
        <v>79.67</v>
      </c>
      <c r="E1946" s="22">
        <v>37663</v>
      </c>
      <c r="F1946" t="s">
        <v>13</v>
      </c>
      <c r="G1946" t="s">
        <v>202</v>
      </c>
      <c r="H1946">
        <v>1</v>
      </c>
      <c r="I1946">
        <v>2003</v>
      </c>
      <c r="J1946" t="s">
        <v>22</v>
      </c>
      <c r="K1946" t="s">
        <v>123</v>
      </c>
    </row>
    <row r="1947" spans="1:11">
      <c r="A1947" t="s">
        <v>60</v>
      </c>
      <c r="B1947">
        <v>10119</v>
      </c>
      <c r="C1947">
        <v>35</v>
      </c>
      <c r="D1947" s="21">
        <v>90.57</v>
      </c>
      <c r="E1947" s="22">
        <v>37739</v>
      </c>
      <c r="F1947" t="s">
        <v>13</v>
      </c>
      <c r="G1947" t="s">
        <v>202</v>
      </c>
      <c r="H1947">
        <v>2</v>
      </c>
      <c r="I1947">
        <v>2003</v>
      </c>
      <c r="J1947" t="s">
        <v>22</v>
      </c>
      <c r="K1947" t="s">
        <v>62</v>
      </c>
    </row>
    <row r="1948" spans="1:11">
      <c r="A1948" t="s">
        <v>124</v>
      </c>
      <c r="B1948">
        <v>10129</v>
      </c>
      <c r="C1948">
        <v>50</v>
      </c>
      <c r="D1948" s="21">
        <v>77.99</v>
      </c>
      <c r="E1948" s="22">
        <v>37784</v>
      </c>
      <c r="F1948" t="s">
        <v>13</v>
      </c>
      <c r="G1948" t="s">
        <v>202</v>
      </c>
      <c r="H1948">
        <v>2</v>
      </c>
      <c r="I1948">
        <v>2003</v>
      </c>
      <c r="J1948" t="s">
        <v>22</v>
      </c>
      <c r="K1948" t="s">
        <v>125</v>
      </c>
    </row>
    <row r="1949" spans="1:11">
      <c r="A1949" t="s">
        <v>126</v>
      </c>
      <c r="B1949">
        <v>10143</v>
      </c>
      <c r="C1949">
        <v>23</v>
      </c>
      <c r="D1949" s="21">
        <v>80.51</v>
      </c>
      <c r="E1949" s="22">
        <v>37843</v>
      </c>
      <c r="F1949" t="s">
        <v>13</v>
      </c>
      <c r="G1949" t="s">
        <v>202</v>
      </c>
      <c r="H1949">
        <v>3</v>
      </c>
      <c r="I1949">
        <v>2003</v>
      </c>
      <c r="J1949" t="s">
        <v>15</v>
      </c>
      <c r="K1949" t="s">
        <v>127</v>
      </c>
    </row>
    <row r="1950" spans="1:11">
      <c r="A1950" t="s">
        <v>54</v>
      </c>
      <c r="B1950">
        <v>10155</v>
      </c>
      <c r="C1950">
        <v>37</v>
      </c>
      <c r="D1950" s="21">
        <v>67.93</v>
      </c>
      <c r="E1950" s="22">
        <v>37900</v>
      </c>
      <c r="F1950" t="s">
        <v>13</v>
      </c>
      <c r="G1950" t="s">
        <v>202</v>
      </c>
      <c r="H1950">
        <v>4</v>
      </c>
      <c r="I1950">
        <v>2003</v>
      </c>
      <c r="J1950" t="s">
        <v>15</v>
      </c>
      <c r="K1950" t="s">
        <v>55</v>
      </c>
    </row>
    <row r="1951" spans="1:11">
      <c r="A1951" t="s">
        <v>99</v>
      </c>
      <c r="B1951">
        <v>10167</v>
      </c>
      <c r="C1951">
        <v>29</v>
      </c>
      <c r="D1951" s="21">
        <v>83.86</v>
      </c>
      <c r="E1951" s="22">
        <v>37917</v>
      </c>
      <c r="F1951" t="s">
        <v>128</v>
      </c>
      <c r="G1951" t="s">
        <v>202</v>
      </c>
      <c r="H1951">
        <v>4</v>
      </c>
      <c r="I1951">
        <v>2003</v>
      </c>
      <c r="J1951" t="s">
        <v>15</v>
      </c>
      <c r="K1951" t="s">
        <v>100</v>
      </c>
    </row>
    <row r="1952" spans="1:11">
      <c r="A1952" t="s">
        <v>129</v>
      </c>
      <c r="B1952">
        <v>10178</v>
      </c>
      <c r="C1952">
        <v>21</v>
      </c>
      <c r="D1952" s="21">
        <v>72.12</v>
      </c>
      <c r="E1952" s="22">
        <v>37933</v>
      </c>
      <c r="F1952" t="s">
        <v>13</v>
      </c>
      <c r="G1952" t="s">
        <v>202</v>
      </c>
      <c r="H1952">
        <v>4</v>
      </c>
      <c r="I1952">
        <v>2003</v>
      </c>
      <c r="J1952" t="s">
        <v>15</v>
      </c>
      <c r="K1952" t="s">
        <v>130</v>
      </c>
    </row>
    <row r="1953" spans="1:11">
      <c r="A1953" t="s">
        <v>131</v>
      </c>
      <c r="B1953">
        <v>10186</v>
      </c>
      <c r="C1953">
        <v>36</v>
      </c>
      <c r="D1953" s="21">
        <v>85.54</v>
      </c>
      <c r="E1953" s="22">
        <v>37939</v>
      </c>
      <c r="F1953" t="s">
        <v>13</v>
      </c>
      <c r="G1953" t="s">
        <v>202</v>
      </c>
      <c r="H1953">
        <v>4</v>
      </c>
      <c r="I1953">
        <v>2003</v>
      </c>
      <c r="J1953" t="s">
        <v>22</v>
      </c>
      <c r="K1953" t="s">
        <v>132</v>
      </c>
    </row>
    <row r="1954" spans="1:11">
      <c r="A1954" t="s">
        <v>133</v>
      </c>
      <c r="B1954">
        <v>10197</v>
      </c>
      <c r="C1954">
        <v>22</v>
      </c>
      <c r="D1954" s="21">
        <v>86.38</v>
      </c>
      <c r="E1954" s="22">
        <v>37951</v>
      </c>
      <c r="F1954" t="s">
        <v>13</v>
      </c>
      <c r="G1954" t="s">
        <v>202</v>
      </c>
      <c r="H1954">
        <v>4</v>
      </c>
      <c r="I1954">
        <v>2003</v>
      </c>
      <c r="J1954" t="s">
        <v>15</v>
      </c>
      <c r="K1954" t="s">
        <v>134</v>
      </c>
    </row>
    <row r="1955" spans="1:11">
      <c r="A1955" t="s">
        <v>135</v>
      </c>
      <c r="B1955">
        <v>10209</v>
      </c>
      <c r="C1955">
        <v>22</v>
      </c>
      <c r="D1955" s="21">
        <v>89.73</v>
      </c>
      <c r="E1955" s="22">
        <v>37995</v>
      </c>
      <c r="F1955" t="s">
        <v>13</v>
      </c>
      <c r="G1955" t="s">
        <v>202</v>
      </c>
      <c r="H1955">
        <v>1</v>
      </c>
      <c r="I1955">
        <v>2004</v>
      </c>
      <c r="J1955" t="s">
        <v>15</v>
      </c>
      <c r="K1955" t="s">
        <v>136</v>
      </c>
    </row>
    <row r="1956" spans="1:11">
      <c r="A1956" t="s">
        <v>137</v>
      </c>
      <c r="B1956">
        <v>10222</v>
      </c>
      <c r="C1956">
        <v>46</v>
      </c>
      <c r="D1956" s="21">
        <v>80.51</v>
      </c>
      <c r="E1956" s="22">
        <v>38036</v>
      </c>
      <c r="F1956" t="s">
        <v>13</v>
      </c>
      <c r="G1956" t="s">
        <v>202</v>
      </c>
      <c r="H1956">
        <v>1</v>
      </c>
      <c r="I1956">
        <v>2004</v>
      </c>
      <c r="J1956" t="s">
        <v>22</v>
      </c>
      <c r="K1956" t="s">
        <v>138</v>
      </c>
    </row>
    <row r="1957" spans="1:11">
      <c r="A1957" t="s">
        <v>12</v>
      </c>
      <c r="B1957">
        <v>10248</v>
      </c>
      <c r="C1957">
        <v>23</v>
      </c>
      <c r="D1957" s="21">
        <v>76.31</v>
      </c>
      <c r="E1957" s="22">
        <v>38114</v>
      </c>
      <c r="F1957" t="s">
        <v>128</v>
      </c>
      <c r="G1957" t="s">
        <v>202</v>
      </c>
      <c r="H1957">
        <v>2</v>
      </c>
      <c r="I1957">
        <v>2004</v>
      </c>
      <c r="J1957" t="s">
        <v>15</v>
      </c>
      <c r="K1957" t="s">
        <v>16</v>
      </c>
    </row>
    <row r="1958" spans="1:11">
      <c r="A1958" t="s">
        <v>69</v>
      </c>
      <c r="B1958">
        <v>10262</v>
      </c>
      <c r="C1958">
        <v>49</v>
      </c>
      <c r="D1958" s="21">
        <v>87.21</v>
      </c>
      <c r="E1958" s="22">
        <v>38162</v>
      </c>
      <c r="F1958" t="s">
        <v>128</v>
      </c>
      <c r="G1958" t="s">
        <v>202</v>
      </c>
      <c r="H1958">
        <v>2</v>
      </c>
      <c r="I1958">
        <v>2004</v>
      </c>
      <c r="J1958" t="s">
        <v>22</v>
      </c>
      <c r="K1958" t="s">
        <v>71</v>
      </c>
    </row>
    <row r="1959" spans="1:11">
      <c r="A1959" t="s">
        <v>139</v>
      </c>
      <c r="B1959">
        <v>10273</v>
      </c>
      <c r="C1959">
        <v>48</v>
      </c>
      <c r="D1959" s="21">
        <v>83.02</v>
      </c>
      <c r="E1959" s="22">
        <v>38189</v>
      </c>
      <c r="F1959" t="s">
        <v>13</v>
      </c>
      <c r="G1959" t="s">
        <v>202</v>
      </c>
      <c r="H1959">
        <v>3</v>
      </c>
      <c r="I1959">
        <v>2004</v>
      </c>
      <c r="J1959" t="s">
        <v>22</v>
      </c>
      <c r="K1959" t="s">
        <v>140</v>
      </c>
    </row>
    <row r="1960" spans="1:11">
      <c r="A1960" t="s">
        <v>141</v>
      </c>
      <c r="B1960">
        <v>10283</v>
      </c>
      <c r="C1960">
        <v>33</v>
      </c>
      <c r="D1960" s="21">
        <v>72.96</v>
      </c>
      <c r="E1960" s="22">
        <v>38219</v>
      </c>
      <c r="F1960" t="s">
        <v>13</v>
      </c>
      <c r="G1960" t="s">
        <v>202</v>
      </c>
      <c r="H1960">
        <v>3</v>
      </c>
      <c r="I1960">
        <v>2004</v>
      </c>
      <c r="J1960" t="s">
        <v>15</v>
      </c>
      <c r="K1960" t="s">
        <v>142</v>
      </c>
    </row>
    <row r="1961" spans="1:11">
      <c r="A1961" t="s">
        <v>210</v>
      </c>
      <c r="B1961">
        <v>10296</v>
      </c>
      <c r="C1961">
        <v>22</v>
      </c>
      <c r="D1961" s="21">
        <v>77.15</v>
      </c>
      <c r="E1961" s="22">
        <v>38245</v>
      </c>
      <c r="F1961" t="s">
        <v>13</v>
      </c>
      <c r="G1961" t="s">
        <v>202</v>
      </c>
      <c r="H1961">
        <v>3</v>
      </c>
      <c r="I1961">
        <v>2004</v>
      </c>
      <c r="J1961" t="s">
        <v>15</v>
      </c>
      <c r="K1961" t="s">
        <v>211</v>
      </c>
    </row>
    <row r="1962" spans="1:11">
      <c r="A1962" t="s">
        <v>83</v>
      </c>
      <c r="B1962">
        <v>10307</v>
      </c>
      <c r="C1962">
        <v>22</v>
      </c>
      <c r="D1962" s="21">
        <v>91.41</v>
      </c>
      <c r="E1962" s="22">
        <v>38274</v>
      </c>
      <c r="F1962" t="s">
        <v>13</v>
      </c>
      <c r="G1962" t="s">
        <v>202</v>
      </c>
      <c r="H1962">
        <v>4</v>
      </c>
      <c r="I1962">
        <v>2004</v>
      </c>
      <c r="J1962" t="s">
        <v>15</v>
      </c>
      <c r="K1962" t="s">
        <v>84</v>
      </c>
    </row>
    <row r="1963" spans="1:11">
      <c r="A1963" t="s">
        <v>145</v>
      </c>
      <c r="B1963">
        <v>10316</v>
      </c>
      <c r="C1963">
        <v>25</v>
      </c>
      <c r="D1963" s="21">
        <v>92.25</v>
      </c>
      <c r="E1963" s="22">
        <v>38292</v>
      </c>
      <c r="F1963" t="s">
        <v>13</v>
      </c>
      <c r="G1963" t="s">
        <v>202</v>
      </c>
      <c r="H1963">
        <v>4</v>
      </c>
      <c r="I1963">
        <v>2004</v>
      </c>
      <c r="J1963" t="s">
        <v>15</v>
      </c>
      <c r="K1963" t="s">
        <v>146</v>
      </c>
    </row>
    <row r="1964" spans="1:11">
      <c r="A1964" t="s">
        <v>73</v>
      </c>
      <c r="B1964">
        <v>10326</v>
      </c>
      <c r="C1964">
        <v>20</v>
      </c>
      <c r="D1964" s="21">
        <v>92.25</v>
      </c>
      <c r="E1964" s="22">
        <v>38300</v>
      </c>
      <c r="F1964" t="s">
        <v>13</v>
      </c>
      <c r="G1964" t="s">
        <v>202</v>
      </c>
      <c r="H1964">
        <v>4</v>
      </c>
      <c r="I1964">
        <v>2004</v>
      </c>
      <c r="J1964" t="s">
        <v>15</v>
      </c>
      <c r="K1964" t="s">
        <v>74</v>
      </c>
    </row>
    <row r="1965" spans="1:11">
      <c r="A1965" t="s">
        <v>95</v>
      </c>
      <c r="B1965">
        <v>10339</v>
      </c>
      <c r="C1965">
        <v>42</v>
      </c>
      <c r="D1965" s="21">
        <v>59.36</v>
      </c>
      <c r="E1965" s="22">
        <v>38314</v>
      </c>
      <c r="F1965" t="s">
        <v>13</v>
      </c>
      <c r="G1965" t="s">
        <v>202</v>
      </c>
      <c r="H1965">
        <v>4</v>
      </c>
      <c r="I1965">
        <v>2004</v>
      </c>
      <c r="J1965" t="s">
        <v>15</v>
      </c>
      <c r="K1965" t="s">
        <v>96</v>
      </c>
    </row>
    <row r="1966" spans="1:11">
      <c r="A1966" t="s">
        <v>69</v>
      </c>
      <c r="B1966">
        <v>10350</v>
      </c>
      <c r="C1966">
        <v>25</v>
      </c>
      <c r="D1966" s="21">
        <v>60.34</v>
      </c>
      <c r="E1966" s="22">
        <v>38323</v>
      </c>
      <c r="F1966" t="s">
        <v>13</v>
      </c>
      <c r="G1966" t="s">
        <v>202</v>
      </c>
      <c r="H1966">
        <v>4</v>
      </c>
      <c r="I1966">
        <v>2004</v>
      </c>
      <c r="J1966" t="s">
        <v>15</v>
      </c>
      <c r="K1966" t="s">
        <v>71</v>
      </c>
    </row>
    <row r="1967" spans="1:11">
      <c r="A1967" t="s">
        <v>147</v>
      </c>
      <c r="B1967">
        <v>10373</v>
      </c>
      <c r="C1967">
        <v>23</v>
      </c>
      <c r="D1967" s="21">
        <v>100</v>
      </c>
      <c r="E1967" s="22">
        <v>38383</v>
      </c>
      <c r="F1967" t="s">
        <v>13</v>
      </c>
      <c r="G1967" t="s">
        <v>202</v>
      </c>
      <c r="H1967">
        <v>1</v>
      </c>
      <c r="I1967">
        <v>2005</v>
      </c>
      <c r="J1967" t="s">
        <v>15</v>
      </c>
      <c r="K1967" t="s">
        <v>148</v>
      </c>
    </row>
    <row r="1968" spans="1:11">
      <c r="A1968" t="s">
        <v>103</v>
      </c>
      <c r="B1968">
        <v>10385</v>
      </c>
      <c r="C1968">
        <v>37</v>
      </c>
      <c r="D1968" s="21">
        <v>85.54</v>
      </c>
      <c r="E1968" s="22">
        <v>38411</v>
      </c>
      <c r="F1968" t="s">
        <v>13</v>
      </c>
      <c r="G1968" t="s">
        <v>202</v>
      </c>
      <c r="H1968">
        <v>1</v>
      </c>
      <c r="I1968">
        <v>2005</v>
      </c>
      <c r="J1968" t="s">
        <v>22</v>
      </c>
      <c r="K1968" t="s">
        <v>104</v>
      </c>
    </row>
    <row r="1969" spans="1:11">
      <c r="A1969" t="s">
        <v>103</v>
      </c>
      <c r="B1969">
        <v>10396</v>
      </c>
      <c r="C1969">
        <v>37</v>
      </c>
      <c r="D1969" s="21">
        <v>90.57</v>
      </c>
      <c r="E1969" s="22">
        <v>38434</v>
      </c>
      <c r="F1969" t="s">
        <v>13</v>
      </c>
      <c r="G1969" t="s">
        <v>202</v>
      </c>
      <c r="H1969">
        <v>1</v>
      </c>
      <c r="I1969">
        <v>2005</v>
      </c>
      <c r="J1969" t="s">
        <v>22</v>
      </c>
      <c r="K1969" t="s">
        <v>104</v>
      </c>
    </row>
    <row r="1970" spans="1:11">
      <c r="A1970" t="s">
        <v>149</v>
      </c>
      <c r="B1970">
        <v>10400</v>
      </c>
      <c r="C1970">
        <v>42</v>
      </c>
      <c r="D1970" s="21">
        <v>72.96</v>
      </c>
      <c r="E1970" s="22">
        <v>38443</v>
      </c>
      <c r="F1970" t="s">
        <v>13</v>
      </c>
      <c r="G1970" t="s">
        <v>202</v>
      </c>
      <c r="H1970">
        <v>2</v>
      </c>
      <c r="I1970">
        <v>2005</v>
      </c>
      <c r="J1970" t="s">
        <v>22</v>
      </c>
      <c r="K1970" t="s">
        <v>150</v>
      </c>
    </row>
    <row r="1971" spans="1:11">
      <c r="A1971" t="s">
        <v>143</v>
      </c>
      <c r="B1971">
        <v>10414</v>
      </c>
      <c r="C1971">
        <v>51</v>
      </c>
      <c r="D1971" s="21">
        <v>76.31</v>
      </c>
      <c r="E1971" s="22">
        <v>38478</v>
      </c>
      <c r="F1971" t="s">
        <v>151</v>
      </c>
      <c r="G1971" t="s">
        <v>202</v>
      </c>
      <c r="H1971">
        <v>2</v>
      </c>
      <c r="I1971">
        <v>2005</v>
      </c>
      <c r="J1971" t="s">
        <v>22</v>
      </c>
      <c r="K1971" t="s">
        <v>144</v>
      </c>
    </row>
    <row r="1972" spans="1:11">
      <c r="A1972" t="s">
        <v>161</v>
      </c>
      <c r="B1972">
        <v>10108</v>
      </c>
      <c r="C1972">
        <v>40</v>
      </c>
      <c r="D1972" s="21">
        <v>100</v>
      </c>
      <c r="E1972" s="22">
        <v>37683</v>
      </c>
      <c r="F1972" t="s">
        <v>13</v>
      </c>
      <c r="G1972" t="s">
        <v>72</v>
      </c>
      <c r="H1972">
        <v>1</v>
      </c>
      <c r="I1972">
        <v>2003</v>
      </c>
      <c r="J1972" t="s">
        <v>22</v>
      </c>
      <c r="K1972" t="s">
        <v>162</v>
      </c>
    </row>
    <row r="1973" spans="1:11">
      <c r="A1973" t="s">
        <v>163</v>
      </c>
      <c r="B1973">
        <v>10122</v>
      </c>
      <c r="C1973">
        <v>43</v>
      </c>
      <c r="D1973" s="21">
        <v>100</v>
      </c>
      <c r="E1973" s="22">
        <v>37749</v>
      </c>
      <c r="F1973" t="s">
        <v>13</v>
      </c>
      <c r="G1973" t="s">
        <v>72</v>
      </c>
      <c r="H1973">
        <v>2</v>
      </c>
      <c r="I1973">
        <v>2003</v>
      </c>
      <c r="J1973" t="s">
        <v>22</v>
      </c>
      <c r="K1973" t="s">
        <v>164</v>
      </c>
    </row>
    <row r="1974" spans="1:11">
      <c r="A1974" t="s">
        <v>103</v>
      </c>
      <c r="B1974">
        <v>10135</v>
      </c>
      <c r="C1974">
        <v>47</v>
      </c>
      <c r="D1974" s="21">
        <v>100</v>
      </c>
      <c r="E1974" s="22">
        <v>37804</v>
      </c>
      <c r="F1974" t="s">
        <v>13</v>
      </c>
      <c r="G1974" t="s">
        <v>72</v>
      </c>
      <c r="H1974">
        <v>3</v>
      </c>
      <c r="I1974">
        <v>2003</v>
      </c>
      <c r="J1974" t="s">
        <v>22</v>
      </c>
      <c r="K1974" t="s">
        <v>104</v>
      </c>
    </row>
    <row r="1975" spans="1:11">
      <c r="A1975" t="s">
        <v>107</v>
      </c>
      <c r="B1975">
        <v>10147</v>
      </c>
      <c r="C1975">
        <v>23</v>
      </c>
      <c r="D1975" s="21">
        <v>100</v>
      </c>
      <c r="E1975" s="22">
        <v>37869</v>
      </c>
      <c r="F1975" t="s">
        <v>13</v>
      </c>
      <c r="G1975" t="s">
        <v>72</v>
      </c>
      <c r="H1975">
        <v>3</v>
      </c>
      <c r="I1975">
        <v>2003</v>
      </c>
      <c r="J1975" t="s">
        <v>15</v>
      </c>
      <c r="K1975" t="s">
        <v>108</v>
      </c>
    </row>
    <row r="1976" spans="1:11">
      <c r="A1976" t="s">
        <v>135</v>
      </c>
      <c r="B1976">
        <v>10160</v>
      </c>
      <c r="C1976">
        <v>35</v>
      </c>
      <c r="D1976" s="21">
        <v>100</v>
      </c>
      <c r="E1976" s="22">
        <v>37905</v>
      </c>
      <c r="F1976" t="s">
        <v>13</v>
      </c>
      <c r="G1976" t="s">
        <v>72</v>
      </c>
      <c r="H1976">
        <v>4</v>
      </c>
      <c r="I1976">
        <v>2003</v>
      </c>
      <c r="J1976" t="s">
        <v>22</v>
      </c>
      <c r="K1976" t="s">
        <v>136</v>
      </c>
    </row>
    <row r="1977" spans="1:11">
      <c r="A1977" t="s">
        <v>154</v>
      </c>
      <c r="B1977">
        <v>10170</v>
      </c>
      <c r="C1977">
        <v>34</v>
      </c>
      <c r="D1977" s="21">
        <v>100</v>
      </c>
      <c r="E1977" s="22">
        <v>37929</v>
      </c>
      <c r="F1977" t="s">
        <v>13</v>
      </c>
      <c r="G1977" t="s">
        <v>72</v>
      </c>
      <c r="H1977">
        <v>4</v>
      </c>
      <c r="I1977">
        <v>2003</v>
      </c>
      <c r="J1977" t="s">
        <v>22</v>
      </c>
      <c r="K1977" t="s">
        <v>156</v>
      </c>
    </row>
    <row r="1978" spans="1:11">
      <c r="A1978" t="s">
        <v>36</v>
      </c>
      <c r="B1978">
        <v>10181</v>
      </c>
      <c r="C1978">
        <v>25</v>
      </c>
      <c r="D1978" s="21">
        <v>100</v>
      </c>
      <c r="E1978" s="22">
        <v>37937</v>
      </c>
      <c r="F1978" t="s">
        <v>13</v>
      </c>
      <c r="G1978" t="s">
        <v>72</v>
      </c>
      <c r="H1978">
        <v>4</v>
      </c>
      <c r="I1978">
        <v>2003</v>
      </c>
      <c r="J1978" t="s">
        <v>22</v>
      </c>
      <c r="K1978" t="s">
        <v>37</v>
      </c>
    </row>
    <row r="1979" spans="1:11">
      <c r="A1979" t="s">
        <v>105</v>
      </c>
      <c r="B1979">
        <v>10192</v>
      </c>
      <c r="C1979">
        <v>45</v>
      </c>
      <c r="D1979" s="21">
        <v>100</v>
      </c>
      <c r="E1979" s="22">
        <v>37945</v>
      </c>
      <c r="F1979" t="s">
        <v>13</v>
      </c>
      <c r="G1979" t="s">
        <v>72</v>
      </c>
      <c r="H1979">
        <v>4</v>
      </c>
      <c r="I1979">
        <v>2003</v>
      </c>
      <c r="J1979" t="s">
        <v>22</v>
      </c>
      <c r="K1979" t="s">
        <v>106</v>
      </c>
    </row>
    <row r="1980" spans="1:11">
      <c r="A1980" t="s">
        <v>69</v>
      </c>
      <c r="B1980">
        <v>10203</v>
      </c>
      <c r="C1980">
        <v>47</v>
      </c>
      <c r="D1980" s="21">
        <v>100</v>
      </c>
      <c r="E1980" s="22">
        <v>37957</v>
      </c>
      <c r="F1980" t="s">
        <v>13</v>
      </c>
      <c r="G1980" t="s">
        <v>72</v>
      </c>
      <c r="H1980">
        <v>4</v>
      </c>
      <c r="I1980">
        <v>2003</v>
      </c>
      <c r="J1980" t="s">
        <v>22</v>
      </c>
      <c r="K1980" t="s">
        <v>71</v>
      </c>
    </row>
    <row r="1981" spans="1:11">
      <c r="A1981" t="s">
        <v>69</v>
      </c>
      <c r="B1981">
        <v>10212</v>
      </c>
      <c r="C1981">
        <v>49</v>
      </c>
      <c r="D1981" s="21">
        <v>100</v>
      </c>
      <c r="E1981" s="22">
        <v>38002</v>
      </c>
      <c r="F1981" t="s">
        <v>13</v>
      </c>
      <c r="G1981" t="s">
        <v>72</v>
      </c>
      <c r="H1981">
        <v>1</v>
      </c>
      <c r="I1981">
        <v>2004</v>
      </c>
      <c r="J1981" t="s">
        <v>22</v>
      </c>
      <c r="K1981" t="s">
        <v>71</v>
      </c>
    </row>
    <row r="1982" spans="1:11">
      <c r="A1982" t="s">
        <v>167</v>
      </c>
      <c r="B1982">
        <v>10225</v>
      </c>
      <c r="C1982">
        <v>40</v>
      </c>
      <c r="D1982" s="21">
        <v>100</v>
      </c>
      <c r="E1982" s="22">
        <v>38039</v>
      </c>
      <c r="F1982" t="s">
        <v>13</v>
      </c>
      <c r="G1982" t="s">
        <v>72</v>
      </c>
      <c r="H1982">
        <v>1</v>
      </c>
      <c r="I1982">
        <v>2004</v>
      </c>
      <c r="J1982" t="s">
        <v>22</v>
      </c>
      <c r="K1982" t="s">
        <v>168</v>
      </c>
    </row>
    <row r="1983" spans="1:11">
      <c r="A1983" t="s">
        <v>147</v>
      </c>
      <c r="B1983">
        <v>10239</v>
      </c>
      <c r="C1983">
        <v>29</v>
      </c>
      <c r="D1983" s="21">
        <v>100</v>
      </c>
      <c r="E1983" s="22">
        <v>38089</v>
      </c>
      <c r="F1983" t="s">
        <v>13</v>
      </c>
      <c r="G1983" t="s">
        <v>72</v>
      </c>
      <c r="H1983">
        <v>2</v>
      </c>
      <c r="I1983">
        <v>2004</v>
      </c>
      <c r="J1983" t="s">
        <v>22</v>
      </c>
      <c r="K1983" t="s">
        <v>148</v>
      </c>
    </row>
    <row r="1984" spans="1:11">
      <c r="A1984" t="s">
        <v>67</v>
      </c>
      <c r="B1984">
        <v>10253</v>
      </c>
      <c r="C1984">
        <v>39</v>
      </c>
      <c r="D1984" s="21">
        <v>100</v>
      </c>
      <c r="E1984" s="22">
        <v>38139</v>
      </c>
      <c r="F1984" t="s">
        <v>128</v>
      </c>
      <c r="G1984" t="s">
        <v>72</v>
      </c>
      <c r="H1984">
        <v>2</v>
      </c>
      <c r="I1984">
        <v>2004</v>
      </c>
      <c r="J1984" t="s">
        <v>22</v>
      </c>
      <c r="K1984" t="s">
        <v>68</v>
      </c>
    </row>
    <row r="1985" spans="1:11">
      <c r="A1985" t="s">
        <v>169</v>
      </c>
      <c r="B1985">
        <v>10266</v>
      </c>
      <c r="C1985">
        <v>24</v>
      </c>
      <c r="D1985" s="21">
        <v>100</v>
      </c>
      <c r="E1985" s="22">
        <v>38174</v>
      </c>
      <c r="F1985" t="s">
        <v>13</v>
      </c>
      <c r="G1985" t="s">
        <v>72</v>
      </c>
      <c r="H1985">
        <v>3</v>
      </c>
      <c r="I1985">
        <v>2004</v>
      </c>
      <c r="J1985" t="s">
        <v>15</v>
      </c>
      <c r="K1985" t="s">
        <v>170</v>
      </c>
    </row>
    <row r="1986" spans="1:11">
      <c r="A1986" t="s">
        <v>198</v>
      </c>
      <c r="B1986">
        <v>10278</v>
      </c>
      <c r="C1986">
        <v>25</v>
      </c>
      <c r="D1986" s="21">
        <v>100</v>
      </c>
      <c r="E1986" s="22">
        <v>38205</v>
      </c>
      <c r="F1986" t="s">
        <v>13</v>
      </c>
      <c r="G1986" t="s">
        <v>72</v>
      </c>
      <c r="H1986">
        <v>3</v>
      </c>
      <c r="I1986">
        <v>2004</v>
      </c>
      <c r="J1986" t="s">
        <v>22</v>
      </c>
      <c r="K1986" t="s">
        <v>199</v>
      </c>
    </row>
    <row r="1987" spans="1:11">
      <c r="A1987" t="s">
        <v>167</v>
      </c>
      <c r="B1987">
        <v>10287</v>
      </c>
      <c r="C1987">
        <v>36</v>
      </c>
      <c r="D1987" s="21">
        <v>100</v>
      </c>
      <c r="E1987" s="22">
        <v>38229</v>
      </c>
      <c r="F1987" t="s">
        <v>13</v>
      </c>
      <c r="G1987" t="s">
        <v>72</v>
      </c>
      <c r="H1987">
        <v>3</v>
      </c>
      <c r="I1987">
        <v>2004</v>
      </c>
      <c r="J1987" t="s">
        <v>22</v>
      </c>
      <c r="K1987" t="s">
        <v>168</v>
      </c>
    </row>
    <row r="1988" spans="1:11">
      <c r="A1988" t="s">
        <v>200</v>
      </c>
      <c r="B1988">
        <v>10301</v>
      </c>
      <c r="C1988">
        <v>50</v>
      </c>
      <c r="D1988" s="21">
        <v>100</v>
      </c>
      <c r="E1988" s="22">
        <v>37899</v>
      </c>
      <c r="F1988" t="s">
        <v>13</v>
      </c>
      <c r="G1988" t="s">
        <v>72</v>
      </c>
      <c r="H1988">
        <v>4</v>
      </c>
      <c r="I1988">
        <v>2003</v>
      </c>
      <c r="J1988" t="s">
        <v>61</v>
      </c>
      <c r="K1988" t="s">
        <v>201</v>
      </c>
    </row>
    <row r="1989" spans="1:11">
      <c r="A1989" t="s">
        <v>165</v>
      </c>
      <c r="B1989">
        <v>10310</v>
      </c>
      <c r="C1989">
        <v>45</v>
      </c>
      <c r="D1989" s="21">
        <v>100</v>
      </c>
      <c r="E1989" s="22">
        <v>38276</v>
      </c>
      <c r="F1989" t="s">
        <v>13</v>
      </c>
      <c r="G1989" t="s">
        <v>72</v>
      </c>
      <c r="H1989">
        <v>4</v>
      </c>
      <c r="I1989">
        <v>2004</v>
      </c>
      <c r="J1989" t="s">
        <v>22</v>
      </c>
      <c r="K1989" t="s">
        <v>166</v>
      </c>
    </row>
    <row r="1990" spans="1:11">
      <c r="A1990" t="s">
        <v>65</v>
      </c>
      <c r="B1990">
        <v>10321</v>
      </c>
      <c r="C1990">
        <v>26</v>
      </c>
      <c r="D1990" s="21">
        <v>100</v>
      </c>
      <c r="E1990" s="22">
        <v>38295</v>
      </c>
      <c r="F1990" t="s">
        <v>13</v>
      </c>
      <c r="G1990" t="s">
        <v>72</v>
      </c>
      <c r="H1990">
        <v>4</v>
      </c>
      <c r="I1990">
        <v>2004</v>
      </c>
      <c r="J1990" t="s">
        <v>22</v>
      </c>
      <c r="K1990" t="s">
        <v>66</v>
      </c>
    </row>
    <row r="1991" spans="1:11">
      <c r="A1991" t="s">
        <v>116</v>
      </c>
      <c r="B1991">
        <v>10331</v>
      </c>
      <c r="C1991">
        <v>21</v>
      </c>
      <c r="D1991" s="21">
        <v>100</v>
      </c>
      <c r="E1991" s="22">
        <v>38308</v>
      </c>
      <c r="F1991" t="s">
        <v>13</v>
      </c>
      <c r="G1991" t="s">
        <v>72</v>
      </c>
      <c r="H1991">
        <v>4</v>
      </c>
      <c r="I1991">
        <v>2004</v>
      </c>
      <c r="J1991" t="s">
        <v>22</v>
      </c>
      <c r="K1991" t="s">
        <v>117</v>
      </c>
    </row>
    <row r="1992" spans="1:11">
      <c r="A1992" t="s">
        <v>42</v>
      </c>
      <c r="B1992">
        <v>10342</v>
      </c>
      <c r="C1992">
        <v>42</v>
      </c>
      <c r="D1992" s="21">
        <v>100</v>
      </c>
      <c r="E1992" s="22">
        <v>38315</v>
      </c>
      <c r="F1992" t="s">
        <v>13</v>
      </c>
      <c r="G1992" t="s">
        <v>72</v>
      </c>
      <c r="H1992">
        <v>4</v>
      </c>
      <c r="I1992">
        <v>2004</v>
      </c>
      <c r="J1992" t="s">
        <v>22</v>
      </c>
      <c r="K1992" t="s">
        <v>43</v>
      </c>
    </row>
    <row r="1993" spans="1:11">
      <c r="A1993" t="s">
        <v>69</v>
      </c>
      <c r="B1993">
        <v>10355</v>
      </c>
      <c r="C1993">
        <v>32</v>
      </c>
      <c r="D1993" s="21">
        <v>100</v>
      </c>
      <c r="E1993" s="22">
        <v>38328</v>
      </c>
      <c r="F1993" t="s">
        <v>13</v>
      </c>
      <c r="G1993" t="s">
        <v>72</v>
      </c>
      <c r="H1993">
        <v>4</v>
      </c>
      <c r="I1993">
        <v>2004</v>
      </c>
      <c r="J1993" t="s">
        <v>22</v>
      </c>
      <c r="K1993" t="s">
        <v>71</v>
      </c>
    </row>
    <row r="1994" spans="1:11">
      <c r="A1994" t="s">
        <v>175</v>
      </c>
      <c r="B1994">
        <v>10363</v>
      </c>
      <c r="C1994">
        <v>31</v>
      </c>
      <c r="D1994" s="21">
        <v>94.58</v>
      </c>
      <c r="E1994" s="22">
        <v>38358</v>
      </c>
      <c r="F1994" t="s">
        <v>13</v>
      </c>
      <c r="G1994" t="s">
        <v>72</v>
      </c>
      <c r="H1994">
        <v>1</v>
      </c>
      <c r="I1994">
        <v>2005</v>
      </c>
      <c r="J1994" t="s">
        <v>15</v>
      </c>
      <c r="K1994" t="s">
        <v>176</v>
      </c>
    </row>
    <row r="1995" spans="1:11">
      <c r="A1995" t="s">
        <v>69</v>
      </c>
      <c r="B1995">
        <v>10378</v>
      </c>
      <c r="C1995">
        <v>33</v>
      </c>
      <c r="D1995" s="21">
        <v>53.27</v>
      </c>
      <c r="E1995" s="22">
        <v>38393</v>
      </c>
      <c r="F1995" t="s">
        <v>13</v>
      </c>
      <c r="G1995" t="s">
        <v>72</v>
      </c>
      <c r="H1995">
        <v>1</v>
      </c>
      <c r="I1995">
        <v>2005</v>
      </c>
      <c r="J1995" t="s">
        <v>15</v>
      </c>
      <c r="K1995" t="s">
        <v>71</v>
      </c>
    </row>
    <row r="1996" spans="1:11">
      <c r="A1996" t="s">
        <v>103</v>
      </c>
      <c r="B1996">
        <v>10390</v>
      </c>
      <c r="C1996">
        <v>45</v>
      </c>
      <c r="D1996" s="21">
        <v>100</v>
      </c>
      <c r="E1996" s="22">
        <v>38415</v>
      </c>
      <c r="F1996" t="s">
        <v>13</v>
      </c>
      <c r="G1996" t="s">
        <v>72</v>
      </c>
      <c r="H1996">
        <v>1</v>
      </c>
      <c r="I1996">
        <v>2005</v>
      </c>
      <c r="J1996" t="s">
        <v>22</v>
      </c>
      <c r="K1996" t="s">
        <v>104</v>
      </c>
    </row>
    <row r="1997" spans="1:11">
      <c r="A1997" t="s">
        <v>196</v>
      </c>
      <c r="B1997">
        <v>10405</v>
      </c>
      <c r="C1997">
        <v>76</v>
      </c>
      <c r="D1997" s="21">
        <v>100</v>
      </c>
      <c r="E1997" s="22">
        <v>38456</v>
      </c>
      <c r="F1997" t="s">
        <v>13</v>
      </c>
      <c r="G1997" t="s">
        <v>72</v>
      </c>
      <c r="H1997">
        <v>2</v>
      </c>
      <c r="I1997">
        <v>2005</v>
      </c>
      <c r="J1997" t="s">
        <v>61</v>
      </c>
      <c r="K1997" t="s">
        <v>197</v>
      </c>
    </row>
    <row r="1998" spans="1:11">
      <c r="A1998" t="s">
        <v>60</v>
      </c>
      <c r="B1998">
        <v>10419</v>
      </c>
      <c r="C1998">
        <v>70</v>
      </c>
      <c r="D1998" s="21">
        <v>100</v>
      </c>
      <c r="E1998" s="22">
        <v>38489</v>
      </c>
      <c r="F1998" t="s">
        <v>13</v>
      </c>
      <c r="G1998" t="s">
        <v>72</v>
      </c>
      <c r="H1998">
        <v>2</v>
      </c>
      <c r="I1998">
        <v>2005</v>
      </c>
      <c r="J1998" t="s">
        <v>61</v>
      </c>
      <c r="K1998" t="s">
        <v>62</v>
      </c>
    </row>
    <row r="1999" spans="1:11">
      <c r="A1999" t="s">
        <v>203</v>
      </c>
      <c r="B1999">
        <v>10106</v>
      </c>
      <c r="C1999">
        <v>50</v>
      </c>
      <c r="D1999" s="21">
        <v>64.83</v>
      </c>
      <c r="E1999" s="22">
        <v>37669</v>
      </c>
      <c r="F1999" t="s">
        <v>13</v>
      </c>
      <c r="G1999" t="s">
        <v>207</v>
      </c>
      <c r="H1999">
        <v>1</v>
      </c>
      <c r="I1999">
        <v>2003</v>
      </c>
      <c r="J1999" t="s">
        <v>22</v>
      </c>
      <c r="K1999" t="s">
        <v>204</v>
      </c>
    </row>
    <row r="2000" spans="1:11">
      <c r="A2000" t="s">
        <v>60</v>
      </c>
      <c r="B2000">
        <v>10119</v>
      </c>
      <c r="C2000">
        <v>28</v>
      </c>
      <c r="D2000" s="21">
        <v>70.29</v>
      </c>
      <c r="E2000" s="22">
        <v>37739</v>
      </c>
      <c r="F2000" t="s">
        <v>13</v>
      </c>
      <c r="G2000" t="s">
        <v>207</v>
      </c>
      <c r="H2000">
        <v>2</v>
      </c>
      <c r="I2000">
        <v>2003</v>
      </c>
      <c r="J2000" t="s">
        <v>15</v>
      </c>
      <c r="K2000" t="s">
        <v>62</v>
      </c>
    </row>
    <row r="2001" spans="1:11">
      <c r="A2001" t="s">
        <v>208</v>
      </c>
      <c r="B2001">
        <v>10131</v>
      </c>
      <c r="C2001">
        <v>50</v>
      </c>
      <c r="D2001" s="21">
        <v>81.89</v>
      </c>
      <c r="E2001" s="22">
        <v>37788</v>
      </c>
      <c r="F2001" t="s">
        <v>13</v>
      </c>
      <c r="G2001" t="s">
        <v>207</v>
      </c>
      <c r="H2001">
        <v>2</v>
      </c>
      <c r="I2001">
        <v>2003</v>
      </c>
      <c r="J2001" t="s">
        <v>22</v>
      </c>
      <c r="K2001" t="s">
        <v>209</v>
      </c>
    </row>
    <row r="2002" spans="1:11">
      <c r="A2002" t="s">
        <v>126</v>
      </c>
      <c r="B2002">
        <v>10143</v>
      </c>
      <c r="C2002">
        <v>28</v>
      </c>
      <c r="D2002" s="21">
        <v>66.19</v>
      </c>
      <c r="E2002" s="22">
        <v>37843</v>
      </c>
      <c r="F2002" t="s">
        <v>13</v>
      </c>
      <c r="G2002" t="s">
        <v>207</v>
      </c>
      <c r="H2002">
        <v>3</v>
      </c>
      <c r="I2002">
        <v>2003</v>
      </c>
      <c r="J2002" t="s">
        <v>15</v>
      </c>
      <c r="K2002" t="s">
        <v>127</v>
      </c>
    </row>
    <row r="2003" spans="1:11">
      <c r="A2003" t="s">
        <v>54</v>
      </c>
      <c r="B2003">
        <v>10155</v>
      </c>
      <c r="C2003">
        <v>44</v>
      </c>
      <c r="D2003" s="21">
        <v>77.11</v>
      </c>
      <c r="E2003" s="22">
        <v>37900</v>
      </c>
      <c r="F2003" t="s">
        <v>13</v>
      </c>
      <c r="G2003" t="s">
        <v>207</v>
      </c>
      <c r="H2003">
        <v>4</v>
      </c>
      <c r="I2003">
        <v>2003</v>
      </c>
      <c r="J2003" t="s">
        <v>22</v>
      </c>
      <c r="K2003" t="s">
        <v>55</v>
      </c>
    </row>
    <row r="2004" spans="1:11">
      <c r="A2004" t="s">
        <v>31</v>
      </c>
      <c r="B2004">
        <v>10168</v>
      </c>
      <c r="C2004">
        <v>27</v>
      </c>
      <c r="D2004" s="21">
        <v>73.02</v>
      </c>
      <c r="E2004" s="22">
        <v>37922</v>
      </c>
      <c r="F2004" t="s">
        <v>13</v>
      </c>
      <c r="G2004" t="s">
        <v>207</v>
      </c>
      <c r="H2004">
        <v>4</v>
      </c>
      <c r="I2004">
        <v>2003</v>
      </c>
      <c r="J2004" t="s">
        <v>15</v>
      </c>
      <c r="K2004" t="s">
        <v>32</v>
      </c>
    </row>
    <row r="2005" spans="1:11">
      <c r="A2005" t="s">
        <v>129</v>
      </c>
      <c r="B2005">
        <v>10178</v>
      </c>
      <c r="C2005">
        <v>30</v>
      </c>
      <c r="D2005" s="21">
        <v>72.33</v>
      </c>
      <c r="E2005" s="22">
        <v>37933</v>
      </c>
      <c r="F2005" t="s">
        <v>13</v>
      </c>
      <c r="G2005" t="s">
        <v>207</v>
      </c>
      <c r="H2005">
        <v>4</v>
      </c>
      <c r="I2005">
        <v>2003</v>
      </c>
      <c r="J2005" t="s">
        <v>15</v>
      </c>
      <c r="K2005" t="s">
        <v>130</v>
      </c>
    </row>
    <row r="2006" spans="1:11">
      <c r="A2006" t="s">
        <v>161</v>
      </c>
      <c r="B2006">
        <v>10198</v>
      </c>
      <c r="C2006">
        <v>43</v>
      </c>
      <c r="D2006" s="21">
        <v>66.19</v>
      </c>
      <c r="E2006" s="22">
        <v>37952</v>
      </c>
      <c r="F2006" t="s">
        <v>13</v>
      </c>
      <c r="G2006" t="s">
        <v>207</v>
      </c>
      <c r="H2006">
        <v>4</v>
      </c>
      <c r="I2006">
        <v>2003</v>
      </c>
      <c r="J2006" t="s">
        <v>15</v>
      </c>
      <c r="K2006" t="s">
        <v>162</v>
      </c>
    </row>
    <row r="2007" spans="1:11">
      <c r="A2007" t="s">
        <v>114</v>
      </c>
      <c r="B2007">
        <v>10210</v>
      </c>
      <c r="C2007">
        <v>29</v>
      </c>
      <c r="D2007" s="21">
        <v>69.6</v>
      </c>
      <c r="E2007" s="22">
        <v>37998</v>
      </c>
      <c r="F2007" t="s">
        <v>13</v>
      </c>
      <c r="G2007" t="s">
        <v>207</v>
      </c>
      <c r="H2007">
        <v>1</v>
      </c>
      <c r="I2007">
        <v>2004</v>
      </c>
      <c r="J2007" t="s">
        <v>15</v>
      </c>
      <c r="K2007" t="s">
        <v>115</v>
      </c>
    </row>
    <row r="2008" spans="1:11">
      <c r="A2008" t="s">
        <v>137</v>
      </c>
      <c r="B2008">
        <v>10222</v>
      </c>
      <c r="C2008">
        <v>48</v>
      </c>
      <c r="D2008" s="21">
        <v>56.64</v>
      </c>
      <c r="E2008" s="22">
        <v>38036</v>
      </c>
      <c r="F2008" t="s">
        <v>13</v>
      </c>
      <c r="G2008" t="s">
        <v>207</v>
      </c>
      <c r="H2008">
        <v>1</v>
      </c>
      <c r="I2008">
        <v>2004</v>
      </c>
      <c r="J2008" t="s">
        <v>15</v>
      </c>
      <c r="K2008" t="s">
        <v>138</v>
      </c>
    </row>
    <row r="2009" spans="1:11">
      <c r="A2009" t="s">
        <v>141</v>
      </c>
      <c r="B2009">
        <v>10235</v>
      </c>
      <c r="C2009">
        <v>33</v>
      </c>
      <c r="D2009" s="21">
        <v>60.05</v>
      </c>
      <c r="E2009" s="22">
        <v>38079</v>
      </c>
      <c r="F2009" t="s">
        <v>13</v>
      </c>
      <c r="G2009" t="s">
        <v>207</v>
      </c>
      <c r="H2009">
        <v>2</v>
      </c>
      <c r="I2009">
        <v>2004</v>
      </c>
      <c r="J2009" t="s">
        <v>15</v>
      </c>
      <c r="K2009" t="s">
        <v>142</v>
      </c>
    </row>
    <row r="2010" spans="1:11">
      <c r="A2010" t="s">
        <v>149</v>
      </c>
      <c r="B2010">
        <v>10250</v>
      </c>
      <c r="C2010">
        <v>40</v>
      </c>
      <c r="D2010" s="21">
        <v>75.06</v>
      </c>
      <c r="E2010" s="22">
        <v>38118</v>
      </c>
      <c r="F2010" t="s">
        <v>13</v>
      </c>
      <c r="G2010" t="s">
        <v>207</v>
      </c>
      <c r="H2010">
        <v>2</v>
      </c>
      <c r="I2010">
        <v>2004</v>
      </c>
      <c r="J2010" t="s">
        <v>22</v>
      </c>
      <c r="K2010" t="s">
        <v>150</v>
      </c>
    </row>
    <row r="2011" spans="1:11">
      <c r="A2011" t="s">
        <v>69</v>
      </c>
      <c r="B2011">
        <v>10262</v>
      </c>
      <c r="C2011">
        <v>48</v>
      </c>
      <c r="D2011" s="21">
        <v>61.42</v>
      </c>
      <c r="E2011" s="22">
        <v>38162</v>
      </c>
      <c r="F2011" t="s">
        <v>128</v>
      </c>
      <c r="G2011" t="s">
        <v>207</v>
      </c>
      <c r="H2011">
        <v>2</v>
      </c>
      <c r="I2011">
        <v>2004</v>
      </c>
      <c r="J2011" t="s">
        <v>15</v>
      </c>
      <c r="K2011" t="s">
        <v>71</v>
      </c>
    </row>
    <row r="2012" spans="1:11">
      <c r="A2012" t="s">
        <v>50</v>
      </c>
      <c r="B2012">
        <v>10275</v>
      </c>
      <c r="C2012">
        <v>41</v>
      </c>
      <c r="D2012" s="21">
        <v>81.89</v>
      </c>
      <c r="E2012" s="22">
        <v>38191</v>
      </c>
      <c r="F2012" t="s">
        <v>13</v>
      </c>
      <c r="G2012" t="s">
        <v>207</v>
      </c>
      <c r="H2012">
        <v>3</v>
      </c>
      <c r="I2012">
        <v>2004</v>
      </c>
      <c r="J2012" t="s">
        <v>22</v>
      </c>
      <c r="K2012" t="s">
        <v>51</v>
      </c>
    </row>
    <row r="2013" spans="1:11">
      <c r="A2013" t="s">
        <v>200</v>
      </c>
      <c r="B2013">
        <v>10284</v>
      </c>
      <c r="C2013">
        <v>21</v>
      </c>
      <c r="D2013" s="21">
        <v>55.96</v>
      </c>
      <c r="E2013" s="22">
        <v>38220</v>
      </c>
      <c r="F2013" t="s">
        <v>13</v>
      </c>
      <c r="G2013" t="s">
        <v>207</v>
      </c>
      <c r="H2013">
        <v>3</v>
      </c>
      <c r="I2013">
        <v>2004</v>
      </c>
      <c r="J2013" t="s">
        <v>15</v>
      </c>
      <c r="K2013" t="s">
        <v>201</v>
      </c>
    </row>
    <row r="2014" spans="1:11">
      <c r="A2014" t="s">
        <v>210</v>
      </c>
      <c r="B2014">
        <v>10296</v>
      </c>
      <c r="C2014">
        <v>32</v>
      </c>
      <c r="D2014" s="21">
        <v>71.65</v>
      </c>
      <c r="E2014" s="22">
        <v>38245</v>
      </c>
      <c r="F2014" t="s">
        <v>13</v>
      </c>
      <c r="G2014" t="s">
        <v>207</v>
      </c>
      <c r="H2014">
        <v>3</v>
      </c>
      <c r="I2014">
        <v>2004</v>
      </c>
      <c r="J2014" t="s">
        <v>15</v>
      </c>
      <c r="K2014" t="s">
        <v>211</v>
      </c>
    </row>
    <row r="2015" spans="1:11">
      <c r="A2015" t="s">
        <v>120</v>
      </c>
      <c r="B2015">
        <v>10308</v>
      </c>
      <c r="C2015">
        <v>43</v>
      </c>
      <c r="D2015" s="21">
        <v>76.43</v>
      </c>
      <c r="E2015" s="22">
        <v>38275</v>
      </c>
      <c r="F2015" t="s">
        <v>13</v>
      </c>
      <c r="G2015" t="s">
        <v>207</v>
      </c>
      <c r="H2015">
        <v>4</v>
      </c>
      <c r="I2015">
        <v>2004</v>
      </c>
      <c r="J2015" t="s">
        <v>22</v>
      </c>
      <c r="K2015" t="s">
        <v>121</v>
      </c>
    </row>
    <row r="2016" spans="1:11">
      <c r="A2016" t="s">
        <v>145</v>
      </c>
      <c r="B2016">
        <v>10316</v>
      </c>
      <c r="C2016">
        <v>30</v>
      </c>
      <c r="D2016" s="21">
        <v>77.79</v>
      </c>
      <c r="E2016" s="22">
        <v>38292</v>
      </c>
      <c r="F2016" t="s">
        <v>13</v>
      </c>
      <c r="G2016" t="s">
        <v>207</v>
      </c>
      <c r="H2016">
        <v>4</v>
      </c>
      <c r="I2016">
        <v>2004</v>
      </c>
      <c r="J2016" t="s">
        <v>15</v>
      </c>
      <c r="K2016" t="s">
        <v>146</v>
      </c>
    </row>
    <row r="2017" spans="1:11">
      <c r="A2017" t="s">
        <v>203</v>
      </c>
      <c r="B2017">
        <v>10328</v>
      </c>
      <c r="C2017">
        <v>35</v>
      </c>
      <c r="D2017" s="21">
        <v>76.43</v>
      </c>
      <c r="E2017" s="22">
        <v>38303</v>
      </c>
      <c r="F2017" t="s">
        <v>13</v>
      </c>
      <c r="G2017" t="s">
        <v>207</v>
      </c>
      <c r="H2017">
        <v>4</v>
      </c>
      <c r="I2017">
        <v>2004</v>
      </c>
      <c r="J2017" t="s">
        <v>15</v>
      </c>
      <c r="K2017" t="s">
        <v>204</v>
      </c>
    </row>
    <row r="2018" spans="1:11">
      <c r="A2018" t="s">
        <v>95</v>
      </c>
      <c r="B2018">
        <v>10339</v>
      </c>
      <c r="C2018">
        <v>45</v>
      </c>
      <c r="D2018" s="21">
        <v>96.92</v>
      </c>
      <c r="E2018" s="22">
        <v>38314</v>
      </c>
      <c r="F2018" t="s">
        <v>13</v>
      </c>
      <c r="G2018" t="s">
        <v>207</v>
      </c>
      <c r="H2018">
        <v>4</v>
      </c>
      <c r="I2018">
        <v>2004</v>
      </c>
      <c r="J2018" t="s">
        <v>22</v>
      </c>
      <c r="K2018" t="s">
        <v>96</v>
      </c>
    </row>
    <row r="2019" spans="1:11">
      <c r="A2019" t="s">
        <v>124</v>
      </c>
      <c r="B2019">
        <v>10351</v>
      </c>
      <c r="C2019">
        <v>34</v>
      </c>
      <c r="D2019" s="21">
        <v>59.37</v>
      </c>
      <c r="E2019" s="22">
        <v>38324</v>
      </c>
      <c r="F2019" t="s">
        <v>13</v>
      </c>
      <c r="G2019" t="s">
        <v>207</v>
      </c>
      <c r="H2019">
        <v>4</v>
      </c>
      <c r="I2019">
        <v>2004</v>
      </c>
      <c r="J2019" t="s">
        <v>15</v>
      </c>
      <c r="K2019" t="s">
        <v>125</v>
      </c>
    </row>
    <row r="2020" spans="1:11">
      <c r="A2020" t="s">
        <v>63</v>
      </c>
      <c r="B2020">
        <v>10361</v>
      </c>
      <c r="C2020">
        <v>26</v>
      </c>
      <c r="D2020" s="21">
        <v>100</v>
      </c>
      <c r="E2020" s="22">
        <v>38338</v>
      </c>
      <c r="F2020" t="s">
        <v>13</v>
      </c>
      <c r="G2020" t="s">
        <v>207</v>
      </c>
      <c r="H2020">
        <v>4</v>
      </c>
      <c r="I2020">
        <v>2004</v>
      </c>
      <c r="J2020" t="s">
        <v>22</v>
      </c>
      <c r="K2020" t="s">
        <v>64</v>
      </c>
    </row>
    <row r="2021" spans="1:11">
      <c r="A2021" t="s">
        <v>147</v>
      </c>
      <c r="B2021">
        <v>10373</v>
      </c>
      <c r="C2021">
        <v>39</v>
      </c>
      <c r="D2021" s="21">
        <v>73</v>
      </c>
      <c r="E2021" s="22">
        <v>38383</v>
      </c>
      <c r="F2021" t="s">
        <v>13</v>
      </c>
      <c r="G2021" t="s">
        <v>207</v>
      </c>
      <c r="H2021">
        <v>1</v>
      </c>
      <c r="I2021">
        <v>2005</v>
      </c>
      <c r="J2021" t="s">
        <v>15</v>
      </c>
      <c r="K2021" t="s">
        <v>148</v>
      </c>
    </row>
    <row r="2022" spans="1:11">
      <c r="A2022" t="s">
        <v>69</v>
      </c>
      <c r="B2022">
        <v>10386</v>
      </c>
      <c r="C2022">
        <v>41</v>
      </c>
      <c r="D2022" s="21">
        <v>73.32</v>
      </c>
      <c r="E2022" s="22">
        <v>38412</v>
      </c>
      <c r="F2022" t="s">
        <v>155</v>
      </c>
      <c r="G2022" t="s">
        <v>207</v>
      </c>
      <c r="H2022">
        <v>1</v>
      </c>
      <c r="I2022">
        <v>2005</v>
      </c>
      <c r="J2022" t="s">
        <v>22</v>
      </c>
      <c r="K2022" t="s">
        <v>71</v>
      </c>
    </row>
    <row r="2023" spans="1:11">
      <c r="A2023" t="s">
        <v>18</v>
      </c>
      <c r="B2023">
        <v>10398</v>
      </c>
      <c r="C2023">
        <v>41</v>
      </c>
      <c r="D2023" s="21">
        <v>68.24</v>
      </c>
      <c r="E2023" s="22">
        <v>38441</v>
      </c>
      <c r="F2023" t="s">
        <v>13</v>
      </c>
      <c r="G2023" t="s">
        <v>207</v>
      </c>
      <c r="H2023">
        <v>1</v>
      </c>
      <c r="I2023">
        <v>2005</v>
      </c>
      <c r="J2023" t="s">
        <v>15</v>
      </c>
      <c r="K2023" t="s">
        <v>19</v>
      </c>
    </row>
    <row r="2024" spans="1:11">
      <c r="A2024" t="s">
        <v>46</v>
      </c>
      <c r="B2024">
        <v>10401</v>
      </c>
      <c r="C2024">
        <v>64</v>
      </c>
      <c r="D2024" s="21">
        <v>60.05</v>
      </c>
      <c r="E2024" s="22">
        <v>38445</v>
      </c>
      <c r="F2024" t="s">
        <v>151</v>
      </c>
      <c r="G2024" t="s">
        <v>207</v>
      </c>
      <c r="H2024">
        <v>2</v>
      </c>
      <c r="I2024">
        <v>2005</v>
      </c>
      <c r="J2024" t="s">
        <v>22</v>
      </c>
      <c r="K2024" t="s">
        <v>47</v>
      </c>
    </row>
    <row r="2025" spans="1:11">
      <c r="A2025" t="s">
        <v>169</v>
      </c>
      <c r="B2025">
        <v>10416</v>
      </c>
      <c r="C2025">
        <v>18</v>
      </c>
      <c r="D2025" s="21">
        <v>75.06</v>
      </c>
      <c r="E2025" s="22">
        <v>38482</v>
      </c>
      <c r="F2025" t="s">
        <v>13</v>
      </c>
      <c r="G2025" t="s">
        <v>207</v>
      </c>
      <c r="H2025">
        <v>2</v>
      </c>
      <c r="I2025">
        <v>2005</v>
      </c>
      <c r="J2025" t="s">
        <v>15</v>
      </c>
      <c r="K2025" t="s">
        <v>170</v>
      </c>
    </row>
    <row r="2026" spans="1:11">
      <c r="A2026" t="s">
        <v>105</v>
      </c>
      <c r="B2026">
        <v>10100</v>
      </c>
      <c r="C2026">
        <v>49</v>
      </c>
      <c r="D2026" s="21">
        <v>34.47</v>
      </c>
      <c r="E2026" s="22">
        <v>37627</v>
      </c>
      <c r="F2026" t="s">
        <v>13</v>
      </c>
      <c r="G2026" t="s">
        <v>202</v>
      </c>
      <c r="H2026">
        <v>1</v>
      </c>
      <c r="I2026">
        <v>2003</v>
      </c>
      <c r="J2026" t="s">
        <v>15</v>
      </c>
      <c r="K2026" t="s">
        <v>106</v>
      </c>
    </row>
    <row r="2027" spans="1:11">
      <c r="A2027" t="s">
        <v>183</v>
      </c>
      <c r="B2027">
        <v>10110</v>
      </c>
      <c r="C2027">
        <v>48</v>
      </c>
      <c r="D2027" s="21">
        <v>34.47</v>
      </c>
      <c r="E2027" s="22">
        <v>37698</v>
      </c>
      <c r="F2027" t="s">
        <v>13</v>
      </c>
      <c r="G2027" t="s">
        <v>202</v>
      </c>
      <c r="H2027">
        <v>1</v>
      </c>
      <c r="I2027">
        <v>2003</v>
      </c>
      <c r="J2027" t="s">
        <v>15</v>
      </c>
      <c r="K2027" t="s">
        <v>184</v>
      </c>
    </row>
    <row r="2028" spans="1:11">
      <c r="A2028" t="s">
        <v>198</v>
      </c>
      <c r="B2028">
        <v>10124</v>
      </c>
      <c r="C2028">
        <v>46</v>
      </c>
      <c r="D2028" s="21">
        <v>33.23</v>
      </c>
      <c r="E2028" s="22">
        <v>37762</v>
      </c>
      <c r="F2028" t="s">
        <v>13</v>
      </c>
      <c r="G2028" t="s">
        <v>202</v>
      </c>
      <c r="H2028">
        <v>2</v>
      </c>
      <c r="I2028">
        <v>2003</v>
      </c>
      <c r="J2028" t="s">
        <v>15</v>
      </c>
      <c r="K2028" t="s">
        <v>199</v>
      </c>
    </row>
    <row r="2029" spans="1:11">
      <c r="A2029" t="s">
        <v>194</v>
      </c>
      <c r="B2029">
        <v>10149</v>
      </c>
      <c r="C2029">
        <v>26</v>
      </c>
      <c r="D2029" s="21">
        <v>38.98</v>
      </c>
      <c r="E2029" s="22">
        <v>37876</v>
      </c>
      <c r="F2029" t="s">
        <v>13</v>
      </c>
      <c r="G2029" t="s">
        <v>202</v>
      </c>
      <c r="H2029">
        <v>3</v>
      </c>
      <c r="I2029">
        <v>2003</v>
      </c>
      <c r="J2029" t="s">
        <v>15</v>
      </c>
      <c r="K2029" t="s">
        <v>195</v>
      </c>
    </row>
    <row r="2030" spans="1:11">
      <c r="A2030" t="s">
        <v>28</v>
      </c>
      <c r="B2030">
        <v>10162</v>
      </c>
      <c r="C2030">
        <v>37</v>
      </c>
      <c r="D2030" s="21">
        <v>38.98</v>
      </c>
      <c r="E2030" s="22">
        <v>37912</v>
      </c>
      <c r="F2030" t="s">
        <v>13</v>
      </c>
      <c r="G2030" t="s">
        <v>202</v>
      </c>
      <c r="H2030">
        <v>4</v>
      </c>
      <c r="I2030">
        <v>2003</v>
      </c>
      <c r="J2030" t="s">
        <v>15</v>
      </c>
      <c r="K2030" t="s">
        <v>29</v>
      </c>
    </row>
    <row r="2031" spans="1:11">
      <c r="A2031" t="s">
        <v>203</v>
      </c>
      <c r="B2031">
        <v>10173</v>
      </c>
      <c r="C2031">
        <v>35</v>
      </c>
      <c r="D2031" s="21">
        <v>33.23</v>
      </c>
      <c r="E2031" s="22">
        <v>37930</v>
      </c>
      <c r="F2031" t="s">
        <v>13</v>
      </c>
      <c r="G2031" t="s">
        <v>202</v>
      </c>
      <c r="H2031">
        <v>4</v>
      </c>
      <c r="I2031">
        <v>2003</v>
      </c>
      <c r="J2031" t="s">
        <v>15</v>
      </c>
      <c r="K2031" t="s">
        <v>204</v>
      </c>
    </row>
    <row r="2032" spans="1:11">
      <c r="A2032" t="s">
        <v>103</v>
      </c>
      <c r="B2032">
        <v>10182</v>
      </c>
      <c r="C2032">
        <v>23</v>
      </c>
      <c r="D2032" s="21">
        <v>42.26</v>
      </c>
      <c r="E2032" s="22">
        <v>37937</v>
      </c>
      <c r="F2032" t="s">
        <v>13</v>
      </c>
      <c r="G2032" t="s">
        <v>202</v>
      </c>
      <c r="H2032">
        <v>4</v>
      </c>
      <c r="I2032">
        <v>2003</v>
      </c>
      <c r="J2032" t="s">
        <v>15</v>
      </c>
      <c r="K2032" t="s">
        <v>104</v>
      </c>
    </row>
    <row r="2033" spans="1:11">
      <c r="A2033" t="s">
        <v>205</v>
      </c>
      <c r="B2033">
        <v>10193</v>
      </c>
      <c r="C2033">
        <v>22</v>
      </c>
      <c r="D2033" s="21">
        <v>41.03</v>
      </c>
      <c r="E2033" s="22">
        <v>37946</v>
      </c>
      <c r="F2033" t="s">
        <v>13</v>
      </c>
      <c r="G2033" t="s">
        <v>202</v>
      </c>
      <c r="H2033">
        <v>4</v>
      </c>
      <c r="I2033">
        <v>2003</v>
      </c>
      <c r="J2033" t="s">
        <v>15</v>
      </c>
      <c r="K2033" t="s">
        <v>206</v>
      </c>
    </row>
    <row r="2034" spans="1:11">
      <c r="A2034" t="s">
        <v>177</v>
      </c>
      <c r="B2034">
        <v>10204</v>
      </c>
      <c r="C2034">
        <v>39</v>
      </c>
      <c r="D2034" s="21">
        <v>33.23</v>
      </c>
      <c r="E2034" s="22">
        <v>37957</v>
      </c>
      <c r="F2034" t="s">
        <v>13</v>
      </c>
      <c r="G2034" t="s">
        <v>202</v>
      </c>
      <c r="H2034">
        <v>4</v>
      </c>
      <c r="I2034">
        <v>2003</v>
      </c>
      <c r="J2034" t="s">
        <v>15</v>
      </c>
      <c r="K2034" t="s">
        <v>178</v>
      </c>
    </row>
    <row r="2035" spans="1:11">
      <c r="A2035" t="s">
        <v>75</v>
      </c>
      <c r="B2035">
        <v>10214</v>
      </c>
      <c r="C2035">
        <v>44</v>
      </c>
      <c r="D2035" s="21">
        <v>34.88</v>
      </c>
      <c r="E2035" s="22">
        <v>38012</v>
      </c>
      <c r="F2035" t="s">
        <v>13</v>
      </c>
      <c r="G2035" t="s">
        <v>202</v>
      </c>
      <c r="H2035">
        <v>1</v>
      </c>
      <c r="I2035">
        <v>2004</v>
      </c>
      <c r="J2035" t="s">
        <v>15</v>
      </c>
      <c r="K2035" t="s">
        <v>76</v>
      </c>
    </row>
    <row r="2036" spans="1:11">
      <c r="A2036" t="s">
        <v>85</v>
      </c>
      <c r="B2036">
        <v>10227</v>
      </c>
      <c r="C2036">
        <v>27</v>
      </c>
      <c r="D2036" s="21">
        <v>43.9</v>
      </c>
      <c r="E2036" s="22">
        <v>38048</v>
      </c>
      <c r="F2036" t="s">
        <v>13</v>
      </c>
      <c r="G2036" t="s">
        <v>202</v>
      </c>
      <c r="H2036">
        <v>1</v>
      </c>
      <c r="I2036">
        <v>2004</v>
      </c>
      <c r="J2036" t="s">
        <v>15</v>
      </c>
      <c r="K2036" t="s">
        <v>86</v>
      </c>
    </row>
    <row r="2037" spans="1:11">
      <c r="A2037" t="s">
        <v>188</v>
      </c>
      <c r="B2037">
        <v>10242</v>
      </c>
      <c r="C2037">
        <v>46</v>
      </c>
      <c r="D2037" s="21">
        <v>36.93</v>
      </c>
      <c r="E2037" s="22">
        <v>38097</v>
      </c>
      <c r="F2037" t="s">
        <v>13</v>
      </c>
      <c r="G2037" t="s">
        <v>202</v>
      </c>
      <c r="H2037">
        <v>2</v>
      </c>
      <c r="I2037">
        <v>2004</v>
      </c>
      <c r="J2037" t="s">
        <v>15</v>
      </c>
      <c r="K2037" t="s">
        <v>189</v>
      </c>
    </row>
    <row r="2038" spans="1:11">
      <c r="A2038" t="s">
        <v>97</v>
      </c>
      <c r="B2038">
        <v>10280</v>
      </c>
      <c r="C2038">
        <v>33</v>
      </c>
      <c r="D2038" s="21">
        <v>41.85</v>
      </c>
      <c r="E2038" s="22">
        <v>38216</v>
      </c>
      <c r="F2038" t="s">
        <v>13</v>
      </c>
      <c r="G2038" t="s">
        <v>202</v>
      </c>
      <c r="H2038">
        <v>3</v>
      </c>
      <c r="I2038">
        <v>2004</v>
      </c>
      <c r="J2038" t="s">
        <v>15</v>
      </c>
      <c r="K2038" t="s">
        <v>98</v>
      </c>
    </row>
    <row r="2039" spans="1:11">
      <c r="A2039" t="s">
        <v>159</v>
      </c>
      <c r="B2039">
        <v>10288</v>
      </c>
      <c r="C2039">
        <v>33</v>
      </c>
      <c r="D2039" s="21">
        <v>40.62</v>
      </c>
      <c r="E2039" s="22">
        <v>38231</v>
      </c>
      <c r="F2039" t="s">
        <v>13</v>
      </c>
      <c r="G2039" t="s">
        <v>202</v>
      </c>
      <c r="H2039">
        <v>3</v>
      </c>
      <c r="I2039">
        <v>2004</v>
      </c>
      <c r="J2039" t="s">
        <v>15</v>
      </c>
      <c r="K2039" t="s">
        <v>160</v>
      </c>
    </row>
    <row r="2040" spans="1:11">
      <c r="A2040" t="s">
        <v>192</v>
      </c>
      <c r="B2040">
        <v>10303</v>
      </c>
      <c r="C2040">
        <v>24</v>
      </c>
      <c r="D2040" s="21">
        <v>40.21</v>
      </c>
      <c r="E2040" s="22">
        <v>38266</v>
      </c>
      <c r="F2040" t="s">
        <v>13</v>
      </c>
      <c r="G2040" t="s">
        <v>202</v>
      </c>
      <c r="H2040">
        <v>4</v>
      </c>
      <c r="I2040">
        <v>2004</v>
      </c>
      <c r="J2040" t="s">
        <v>15</v>
      </c>
      <c r="K2040" t="s">
        <v>193</v>
      </c>
    </row>
    <row r="2041" spans="1:11">
      <c r="A2041" t="s">
        <v>103</v>
      </c>
      <c r="B2041">
        <v>10312</v>
      </c>
      <c r="C2041">
        <v>31</v>
      </c>
      <c r="D2041" s="21">
        <v>35.29</v>
      </c>
      <c r="E2041" s="22">
        <v>38281</v>
      </c>
      <c r="F2041" t="s">
        <v>13</v>
      </c>
      <c r="G2041" t="s">
        <v>202</v>
      </c>
      <c r="H2041">
        <v>4</v>
      </c>
      <c r="I2041">
        <v>2004</v>
      </c>
      <c r="J2041" t="s">
        <v>15</v>
      </c>
      <c r="K2041" t="s">
        <v>104</v>
      </c>
    </row>
    <row r="2042" spans="1:11">
      <c r="A2042" t="s">
        <v>183</v>
      </c>
      <c r="B2042">
        <v>10332</v>
      </c>
      <c r="C2042">
        <v>41</v>
      </c>
      <c r="D2042" s="21">
        <v>77.24</v>
      </c>
      <c r="E2042" s="22">
        <v>38308</v>
      </c>
      <c r="F2042" t="s">
        <v>13</v>
      </c>
      <c r="G2042" t="s">
        <v>202</v>
      </c>
      <c r="H2042">
        <v>4</v>
      </c>
      <c r="I2042">
        <v>2004</v>
      </c>
      <c r="J2042" t="s">
        <v>22</v>
      </c>
      <c r="K2042" t="s">
        <v>184</v>
      </c>
    </row>
    <row r="2043" spans="1:11">
      <c r="A2043" t="s">
        <v>198</v>
      </c>
      <c r="B2043">
        <v>10346</v>
      </c>
      <c r="C2043">
        <v>22</v>
      </c>
      <c r="D2043" s="21">
        <v>97.44</v>
      </c>
      <c r="E2043" s="22">
        <v>38320</v>
      </c>
      <c r="F2043" t="s">
        <v>13</v>
      </c>
      <c r="G2043" t="s">
        <v>202</v>
      </c>
      <c r="H2043">
        <v>4</v>
      </c>
      <c r="I2043">
        <v>2004</v>
      </c>
      <c r="J2043" t="s">
        <v>15</v>
      </c>
      <c r="K2043" t="s">
        <v>199</v>
      </c>
    </row>
    <row r="2044" spans="1:11">
      <c r="A2044" t="s">
        <v>103</v>
      </c>
      <c r="B2044">
        <v>10368</v>
      </c>
      <c r="C2044">
        <v>46</v>
      </c>
      <c r="D2044" s="21">
        <v>37.34</v>
      </c>
      <c r="E2044" s="22">
        <v>38371</v>
      </c>
      <c r="F2044" t="s">
        <v>13</v>
      </c>
      <c r="G2044" t="s">
        <v>202</v>
      </c>
      <c r="H2044">
        <v>1</v>
      </c>
      <c r="I2044">
        <v>2005</v>
      </c>
      <c r="J2044" t="s">
        <v>15</v>
      </c>
      <c r="K2044" t="s">
        <v>104</v>
      </c>
    </row>
    <row r="2045" spans="1:11">
      <c r="A2045" t="s">
        <v>69</v>
      </c>
      <c r="B2045">
        <v>10380</v>
      </c>
      <c r="C2045">
        <v>43</v>
      </c>
      <c r="D2045" s="21">
        <v>95.03</v>
      </c>
      <c r="E2045" s="22">
        <v>38399</v>
      </c>
      <c r="F2045" t="s">
        <v>13</v>
      </c>
      <c r="G2045" t="s">
        <v>202</v>
      </c>
      <c r="H2045">
        <v>1</v>
      </c>
      <c r="I2045">
        <v>2005</v>
      </c>
      <c r="J2045" t="s">
        <v>22</v>
      </c>
      <c r="K2045" t="s">
        <v>71</v>
      </c>
    </row>
    <row r="2046" spans="1:11">
      <c r="A2046" t="s">
        <v>95</v>
      </c>
      <c r="B2046">
        <v>10408</v>
      </c>
      <c r="C2046">
        <v>15</v>
      </c>
      <c r="D2046" s="21">
        <v>36.93</v>
      </c>
      <c r="E2046" s="22">
        <v>38464</v>
      </c>
      <c r="F2046" t="s">
        <v>13</v>
      </c>
      <c r="G2046" t="s">
        <v>202</v>
      </c>
      <c r="H2046">
        <v>2</v>
      </c>
      <c r="I2046">
        <v>2005</v>
      </c>
      <c r="J2046" t="s">
        <v>15</v>
      </c>
      <c r="K2046" t="s">
        <v>96</v>
      </c>
    </row>
    <row r="2047" spans="1:11">
      <c r="A2047" t="s">
        <v>63</v>
      </c>
      <c r="B2047">
        <v>10420</v>
      </c>
      <c r="C2047">
        <v>15</v>
      </c>
      <c r="D2047" s="21">
        <v>43.49</v>
      </c>
      <c r="E2047" s="22">
        <v>38501</v>
      </c>
      <c r="F2047" t="s">
        <v>113</v>
      </c>
      <c r="G2047" t="s">
        <v>202</v>
      </c>
      <c r="H2047">
        <v>2</v>
      </c>
      <c r="I2047">
        <v>2005</v>
      </c>
      <c r="J2047" t="s">
        <v>15</v>
      </c>
      <c r="K2047" t="s">
        <v>64</v>
      </c>
    </row>
    <row r="2048" spans="1:11">
      <c r="A2048" t="s">
        <v>69</v>
      </c>
      <c r="B2048">
        <v>10104</v>
      </c>
      <c r="C2048">
        <v>26</v>
      </c>
      <c r="D2048" s="21">
        <v>100</v>
      </c>
      <c r="E2048" s="22">
        <v>37652</v>
      </c>
      <c r="F2048" t="s">
        <v>13</v>
      </c>
      <c r="G2048" t="s">
        <v>72</v>
      </c>
      <c r="H2048">
        <v>1</v>
      </c>
      <c r="I2048">
        <v>2003</v>
      </c>
      <c r="J2048" t="s">
        <v>15</v>
      </c>
      <c r="K2048" t="s">
        <v>71</v>
      </c>
    </row>
    <row r="2049" spans="1:11">
      <c r="A2049" t="s">
        <v>79</v>
      </c>
      <c r="B2049">
        <v>10115</v>
      </c>
      <c r="C2049">
        <v>44</v>
      </c>
      <c r="D2049" s="21">
        <v>100</v>
      </c>
      <c r="E2049" s="22">
        <v>37715</v>
      </c>
      <c r="F2049" t="s">
        <v>13</v>
      </c>
      <c r="G2049" t="s">
        <v>72</v>
      </c>
      <c r="H2049">
        <v>2</v>
      </c>
      <c r="I2049">
        <v>2003</v>
      </c>
      <c r="J2049" t="s">
        <v>22</v>
      </c>
      <c r="K2049" t="s">
        <v>80</v>
      </c>
    </row>
    <row r="2050" spans="1:11">
      <c r="A2050" t="s">
        <v>177</v>
      </c>
      <c r="B2050">
        <v>10127</v>
      </c>
      <c r="C2050">
        <v>20</v>
      </c>
      <c r="D2050" s="21">
        <v>96.99</v>
      </c>
      <c r="E2050" s="22">
        <v>37775</v>
      </c>
      <c r="F2050" t="s">
        <v>13</v>
      </c>
      <c r="G2050" t="s">
        <v>72</v>
      </c>
      <c r="H2050">
        <v>2</v>
      </c>
      <c r="I2050">
        <v>2003</v>
      </c>
      <c r="J2050" t="s">
        <v>15</v>
      </c>
      <c r="K2050" t="s">
        <v>178</v>
      </c>
    </row>
    <row r="2051" spans="1:11">
      <c r="A2051" t="s">
        <v>175</v>
      </c>
      <c r="B2051">
        <v>10141</v>
      </c>
      <c r="C2051">
        <v>40</v>
      </c>
      <c r="D2051" s="21">
        <v>94.62</v>
      </c>
      <c r="E2051" s="22">
        <v>37834</v>
      </c>
      <c r="F2051" t="s">
        <v>13</v>
      </c>
      <c r="G2051" t="s">
        <v>72</v>
      </c>
      <c r="H2051">
        <v>3</v>
      </c>
      <c r="I2051">
        <v>2003</v>
      </c>
      <c r="J2051" t="s">
        <v>22</v>
      </c>
      <c r="K2051" t="s">
        <v>176</v>
      </c>
    </row>
    <row r="2052" spans="1:11">
      <c r="A2052" t="s">
        <v>81</v>
      </c>
      <c r="B2052">
        <v>10152</v>
      </c>
      <c r="C2052">
        <v>23</v>
      </c>
      <c r="D2052" s="21">
        <v>100</v>
      </c>
      <c r="E2052" s="22">
        <v>37889</v>
      </c>
      <c r="F2052" t="s">
        <v>13</v>
      </c>
      <c r="G2052" t="s">
        <v>72</v>
      </c>
      <c r="H2052">
        <v>3</v>
      </c>
      <c r="I2052">
        <v>2003</v>
      </c>
      <c r="J2052" t="s">
        <v>15</v>
      </c>
      <c r="K2052" t="s">
        <v>82</v>
      </c>
    </row>
    <row r="2053" spans="1:11">
      <c r="A2053" t="s">
        <v>77</v>
      </c>
      <c r="B2053">
        <v>10165</v>
      </c>
      <c r="C2053">
        <v>24</v>
      </c>
      <c r="D2053" s="21">
        <v>99.36</v>
      </c>
      <c r="E2053" s="22">
        <v>37916</v>
      </c>
      <c r="F2053" t="s">
        <v>13</v>
      </c>
      <c r="G2053" t="s">
        <v>72</v>
      </c>
      <c r="H2053">
        <v>4</v>
      </c>
      <c r="I2053">
        <v>2003</v>
      </c>
      <c r="J2053" t="s">
        <v>15</v>
      </c>
      <c r="K2053" t="s">
        <v>78</v>
      </c>
    </row>
    <row r="2054" spans="1:11">
      <c r="A2054" t="s">
        <v>169</v>
      </c>
      <c r="B2054">
        <v>10176</v>
      </c>
      <c r="C2054">
        <v>29</v>
      </c>
      <c r="D2054" s="21">
        <v>100</v>
      </c>
      <c r="E2054" s="22">
        <v>37931</v>
      </c>
      <c r="F2054" t="s">
        <v>13</v>
      </c>
      <c r="G2054" t="s">
        <v>72</v>
      </c>
      <c r="H2054">
        <v>4</v>
      </c>
      <c r="I2054">
        <v>2003</v>
      </c>
      <c r="J2054" t="s">
        <v>15</v>
      </c>
      <c r="K2054" t="s">
        <v>170</v>
      </c>
    </row>
    <row r="2055" spans="1:11">
      <c r="A2055" t="s">
        <v>192</v>
      </c>
      <c r="B2055">
        <v>10184</v>
      </c>
      <c r="C2055">
        <v>49</v>
      </c>
      <c r="D2055" s="21">
        <v>100</v>
      </c>
      <c r="E2055" s="22">
        <v>37939</v>
      </c>
      <c r="F2055" t="s">
        <v>13</v>
      </c>
      <c r="G2055" t="s">
        <v>72</v>
      </c>
      <c r="H2055">
        <v>4</v>
      </c>
      <c r="I2055">
        <v>2003</v>
      </c>
      <c r="J2055" t="s">
        <v>22</v>
      </c>
      <c r="K2055" t="s">
        <v>193</v>
      </c>
    </row>
    <row r="2056" spans="1:11">
      <c r="A2056" t="s">
        <v>120</v>
      </c>
      <c r="B2056">
        <v>10195</v>
      </c>
      <c r="C2056">
        <v>34</v>
      </c>
      <c r="D2056" s="21">
        <v>100</v>
      </c>
      <c r="E2056" s="22">
        <v>37950</v>
      </c>
      <c r="F2056" t="s">
        <v>13</v>
      </c>
      <c r="G2056" t="s">
        <v>72</v>
      </c>
      <c r="H2056">
        <v>4</v>
      </c>
      <c r="I2056">
        <v>2003</v>
      </c>
      <c r="J2056" t="s">
        <v>22</v>
      </c>
      <c r="K2056" t="s">
        <v>121</v>
      </c>
    </row>
    <row r="2057" spans="1:11">
      <c r="A2057" t="s">
        <v>157</v>
      </c>
      <c r="B2057">
        <v>10207</v>
      </c>
      <c r="C2057">
        <v>28</v>
      </c>
      <c r="D2057" s="21">
        <v>100</v>
      </c>
      <c r="E2057" s="22">
        <v>37964</v>
      </c>
      <c r="F2057" t="s">
        <v>13</v>
      </c>
      <c r="G2057" t="s">
        <v>72</v>
      </c>
      <c r="H2057">
        <v>4</v>
      </c>
      <c r="I2057">
        <v>2003</v>
      </c>
      <c r="J2057" t="s">
        <v>15</v>
      </c>
      <c r="K2057" t="s">
        <v>158</v>
      </c>
    </row>
    <row r="2058" spans="1:11">
      <c r="A2058" t="s">
        <v>179</v>
      </c>
      <c r="B2058">
        <v>10220</v>
      </c>
      <c r="C2058">
        <v>37</v>
      </c>
      <c r="D2058" s="21">
        <v>100</v>
      </c>
      <c r="E2058" s="22">
        <v>38029</v>
      </c>
      <c r="F2058" t="s">
        <v>13</v>
      </c>
      <c r="G2058" t="s">
        <v>72</v>
      </c>
      <c r="H2058">
        <v>1</v>
      </c>
      <c r="I2058">
        <v>2004</v>
      </c>
      <c r="J2058" t="s">
        <v>22</v>
      </c>
      <c r="K2058" t="s">
        <v>180</v>
      </c>
    </row>
    <row r="2059" spans="1:11">
      <c r="A2059" t="s">
        <v>173</v>
      </c>
      <c r="B2059">
        <v>10230</v>
      </c>
      <c r="C2059">
        <v>45</v>
      </c>
      <c r="D2059" s="21">
        <v>100</v>
      </c>
      <c r="E2059" s="22">
        <v>38061</v>
      </c>
      <c r="F2059" t="s">
        <v>13</v>
      </c>
      <c r="G2059" t="s">
        <v>72</v>
      </c>
      <c r="H2059">
        <v>1</v>
      </c>
      <c r="I2059">
        <v>2004</v>
      </c>
      <c r="J2059" t="s">
        <v>22</v>
      </c>
      <c r="K2059" t="s">
        <v>174</v>
      </c>
    </row>
    <row r="2060" spans="1:11">
      <c r="A2060" t="s">
        <v>69</v>
      </c>
      <c r="B2060">
        <v>10246</v>
      </c>
      <c r="C2060">
        <v>46</v>
      </c>
      <c r="D2060" s="21">
        <v>100</v>
      </c>
      <c r="E2060" s="22">
        <v>38112</v>
      </c>
      <c r="F2060" t="s">
        <v>13</v>
      </c>
      <c r="G2060" t="s">
        <v>72</v>
      </c>
      <c r="H2060">
        <v>2</v>
      </c>
      <c r="I2060">
        <v>2004</v>
      </c>
      <c r="J2060" t="s">
        <v>22</v>
      </c>
      <c r="K2060" t="s">
        <v>71</v>
      </c>
    </row>
    <row r="2061" spans="1:11">
      <c r="A2061" t="s">
        <v>103</v>
      </c>
      <c r="B2061">
        <v>10271</v>
      </c>
      <c r="C2061">
        <v>22</v>
      </c>
      <c r="D2061" s="21">
        <v>100</v>
      </c>
      <c r="E2061" s="22">
        <v>38188</v>
      </c>
      <c r="F2061" t="s">
        <v>13</v>
      </c>
      <c r="G2061" t="s">
        <v>72</v>
      </c>
      <c r="H2061">
        <v>3</v>
      </c>
      <c r="I2061">
        <v>2004</v>
      </c>
      <c r="J2061" t="s">
        <v>22</v>
      </c>
      <c r="K2061" t="s">
        <v>104</v>
      </c>
    </row>
    <row r="2062" spans="1:11">
      <c r="A2062" t="s">
        <v>103</v>
      </c>
      <c r="B2062">
        <v>10282</v>
      </c>
      <c r="C2062">
        <v>39</v>
      </c>
      <c r="D2062" s="21">
        <v>100</v>
      </c>
      <c r="E2062" s="22">
        <v>38219</v>
      </c>
      <c r="F2062" t="s">
        <v>13</v>
      </c>
      <c r="G2062" t="s">
        <v>72</v>
      </c>
      <c r="H2062">
        <v>3</v>
      </c>
      <c r="I2062">
        <v>2004</v>
      </c>
      <c r="J2062" t="s">
        <v>22</v>
      </c>
      <c r="K2062" t="s">
        <v>104</v>
      </c>
    </row>
    <row r="2063" spans="1:11">
      <c r="A2063" t="s">
        <v>12</v>
      </c>
      <c r="B2063">
        <v>10292</v>
      </c>
      <c r="C2063">
        <v>27</v>
      </c>
      <c r="D2063" s="21">
        <v>100</v>
      </c>
      <c r="E2063" s="22">
        <v>38238</v>
      </c>
      <c r="F2063" t="s">
        <v>13</v>
      </c>
      <c r="G2063" t="s">
        <v>72</v>
      </c>
      <c r="H2063">
        <v>3</v>
      </c>
      <c r="I2063">
        <v>2004</v>
      </c>
      <c r="J2063" t="s">
        <v>22</v>
      </c>
      <c r="K2063" t="s">
        <v>16</v>
      </c>
    </row>
    <row r="2064" spans="1:11">
      <c r="A2064" t="s">
        <v>52</v>
      </c>
      <c r="B2064">
        <v>10305</v>
      </c>
      <c r="C2064">
        <v>36</v>
      </c>
      <c r="D2064" s="21">
        <v>100</v>
      </c>
      <c r="E2064" s="22">
        <v>38273</v>
      </c>
      <c r="F2064" t="s">
        <v>13</v>
      </c>
      <c r="G2064" t="s">
        <v>72</v>
      </c>
      <c r="H2064">
        <v>4</v>
      </c>
      <c r="I2064">
        <v>2004</v>
      </c>
      <c r="J2064" t="s">
        <v>22</v>
      </c>
      <c r="K2064" t="s">
        <v>53</v>
      </c>
    </row>
    <row r="2065" spans="1:11">
      <c r="A2065" t="s">
        <v>185</v>
      </c>
      <c r="B2065">
        <v>10314</v>
      </c>
      <c r="C2065">
        <v>38</v>
      </c>
      <c r="D2065" s="21">
        <v>100</v>
      </c>
      <c r="E2065" s="22">
        <v>38282</v>
      </c>
      <c r="F2065" t="s">
        <v>13</v>
      </c>
      <c r="G2065" t="s">
        <v>72</v>
      </c>
      <c r="H2065">
        <v>4</v>
      </c>
      <c r="I2065">
        <v>2004</v>
      </c>
      <c r="J2065" t="s">
        <v>22</v>
      </c>
      <c r="K2065" t="s">
        <v>186</v>
      </c>
    </row>
    <row r="2066" spans="1:11">
      <c r="A2066" t="s">
        <v>56</v>
      </c>
      <c r="B2066">
        <v>10325</v>
      </c>
      <c r="C2066">
        <v>44</v>
      </c>
      <c r="D2066" s="21">
        <v>100</v>
      </c>
      <c r="E2066" s="22">
        <v>38296</v>
      </c>
      <c r="F2066" t="s">
        <v>13</v>
      </c>
      <c r="G2066" t="s">
        <v>72</v>
      </c>
      <c r="H2066">
        <v>4</v>
      </c>
      <c r="I2066">
        <v>2004</v>
      </c>
      <c r="J2066" t="s">
        <v>22</v>
      </c>
      <c r="K2066" t="s">
        <v>57</v>
      </c>
    </row>
    <row r="2067" spans="1:11">
      <c r="A2067" t="s">
        <v>152</v>
      </c>
      <c r="B2067">
        <v>10336</v>
      </c>
      <c r="C2067">
        <v>31</v>
      </c>
      <c r="D2067" s="21">
        <v>100</v>
      </c>
      <c r="E2067" s="22">
        <v>38311</v>
      </c>
      <c r="F2067" t="s">
        <v>13</v>
      </c>
      <c r="G2067" t="s">
        <v>72</v>
      </c>
      <c r="H2067">
        <v>4</v>
      </c>
      <c r="I2067">
        <v>2004</v>
      </c>
      <c r="J2067" t="s">
        <v>22</v>
      </c>
      <c r="K2067" t="s">
        <v>153</v>
      </c>
    </row>
    <row r="2068" spans="1:11">
      <c r="A2068" t="s">
        <v>177</v>
      </c>
      <c r="B2068">
        <v>10349</v>
      </c>
      <c r="C2068">
        <v>23</v>
      </c>
      <c r="D2068" s="21">
        <v>100</v>
      </c>
      <c r="E2068" s="22">
        <v>38322</v>
      </c>
      <c r="F2068" t="s">
        <v>13</v>
      </c>
      <c r="G2068" t="s">
        <v>72</v>
      </c>
      <c r="H2068">
        <v>4</v>
      </c>
      <c r="I2068">
        <v>2004</v>
      </c>
      <c r="J2068" t="s">
        <v>22</v>
      </c>
      <c r="K2068" t="s">
        <v>178</v>
      </c>
    </row>
    <row r="2069" spans="1:11">
      <c r="A2069" t="s">
        <v>18</v>
      </c>
      <c r="B2069">
        <v>10359</v>
      </c>
      <c r="C2069">
        <v>22</v>
      </c>
      <c r="D2069" s="21">
        <v>100</v>
      </c>
      <c r="E2069" s="22">
        <v>38336</v>
      </c>
      <c r="F2069" t="s">
        <v>13</v>
      </c>
      <c r="G2069" t="s">
        <v>72</v>
      </c>
      <c r="H2069">
        <v>4</v>
      </c>
      <c r="I2069">
        <v>2004</v>
      </c>
      <c r="J2069" t="s">
        <v>15</v>
      </c>
      <c r="K2069" t="s">
        <v>19</v>
      </c>
    </row>
    <row r="2070" spans="1:11">
      <c r="A2070" t="s">
        <v>103</v>
      </c>
      <c r="B2070">
        <v>10371</v>
      </c>
      <c r="C2070">
        <v>28</v>
      </c>
      <c r="D2070" s="21">
        <v>50.32</v>
      </c>
      <c r="E2070" s="22">
        <v>38375</v>
      </c>
      <c r="F2070" t="s">
        <v>13</v>
      </c>
      <c r="G2070" t="s">
        <v>72</v>
      </c>
      <c r="H2070">
        <v>1</v>
      </c>
      <c r="I2070">
        <v>2005</v>
      </c>
      <c r="J2070" t="s">
        <v>15</v>
      </c>
      <c r="K2070" t="s">
        <v>104</v>
      </c>
    </row>
    <row r="2071" spans="1:11">
      <c r="A2071" t="s">
        <v>69</v>
      </c>
      <c r="B2071">
        <v>10383</v>
      </c>
      <c r="C2071">
        <v>21</v>
      </c>
      <c r="D2071" s="21">
        <v>93.91</v>
      </c>
      <c r="E2071" s="22">
        <v>38405</v>
      </c>
      <c r="F2071" t="s">
        <v>13</v>
      </c>
      <c r="G2071" t="s">
        <v>72</v>
      </c>
      <c r="H2071">
        <v>1</v>
      </c>
      <c r="I2071">
        <v>2005</v>
      </c>
      <c r="J2071" t="s">
        <v>15</v>
      </c>
      <c r="K2071" t="s">
        <v>71</v>
      </c>
    </row>
    <row r="2072" spans="1:11">
      <c r="A2072" t="s">
        <v>69</v>
      </c>
      <c r="B2072">
        <v>10394</v>
      </c>
      <c r="C2072">
        <v>37</v>
      </c>
      <c r="D2072" s="21">
        <v>100</v>
      </c>
      <c r="E2072" s="22">
        <v>38426</v>
      </c>
      <c r="F2072" t="s">
        <v>13</v>
      </c>
      <c r="G2072" t="s">
        <v>72</v>
      </c>
      <c r="H2072">
        <v>1</v>
      </c>
      <c r="I2072">
        <v>2005</v>
      </c>
      <c r="J2072" t="s">
        <v>22</v>
      </c>
      <c r="K2072" t="s">
        <v>71</v>
      </c>
    </row>
    <row r="2073" spans="1:11">
      <c r="A2073" t="s">
        <v>69</v>
      </c>
      <c r="B2073">
        <v>10412</v>
      </c>
      <c r="C2073">
        <v>31</v>
      </c>
      <c r="D2073" s="21">
        <v>100</v>
      </c>
      <c r="E2073" s="22">
        <v>38475</v>
      </c>
      <c r="F2073" t="s">
        <v>13</v>
      </c>
      <c r="G2073" t="s">
        <v>72</v>
      </c>
      <c r="H2073">
        <v>2</v>
      </c>
      <c r="I2073">
        <v>2005</v>
      </c>
      <c r="J2073" t="s">
        <v>22</v>
      </c>
      <c r="K2073" t="s">
        <v>71</v>
      </c>
    </row>
    <row r="2074" spans="1:11">
      <c r="A2074" t="s">
        <v>56</v>
      </c>
      <c r="B2074">
        <v>10103</v>
      </c>
      <c r="C2074">
        <v>25</v>
      </c>
      <c r="D2074" s="21">
        <v>100</v>
      </c>
      <c r="E2074" s="22">
        <v>37650</v>
      </c>
      <c r="F2074" t="s">
        <v>13</v>
      </c>
      <c r="G2074" t="s">
        <v>202</v>
      </c>
      <c r="H2074">
        <v>1</v>
      </c>
      <c r="I2074">
        <v>2003</v>
      </c>
      <c r="J2074" t="s">
        <v>15</v>
      </c>
      <c r="K2074" t="s">
        <v>57</v>
      </c>
    </row>
    <row r="2075" spans="1:11">
      <c r="A2075" t="s">
        <v>38</v>
      </c>
      <c r="B2075">
        <v>10111</v>
      </c>
      <c r="C2075">
        <v>26</v>
      </c>
      <c r="D2075" s="21">
        <v>86.68</v>
      </c>
      <c r="E2075" s="22">
        <v>37705</v>
      </c>
      <c r="F2075" t="s">
        <v>13</v>
      </c>
      <c r="G2075" t="s">
        <v>202</v>
      </c>
      <c r="H2075">
        <v>1</v>
      </c>
      <c r="I2075">
        <v>2003</v>
      </c>
      <c r="J2075" t="s">
        <v>15</v>
      </c>
      <c r="K2075" t="s">
        <v>39</v>
      </c>
    </row>
    <row r="2076" spans="1:11">
      <c r="A2076" t="s">
        <v>75</v>
      </c>
      <c r="B2076">
        <v>10126</v>
      </c>
      <c r="C2076">
        <v>34</v>
      </c>
      <c r="D2076" s="21">
        <v>100</v>
      </c>
      <c r="E2076" s="22">
        <v>37769</v>
      </c>
      <c r="F2076" t="s">
        <v>13</v>
      </c>
      <c r="G2076" t="s">
        <v>202</v>
      </c>
      <c r="H2076">
        <v>2</v>
      </c>
      <c r="I2076">
        <v>2003</v>
      </c>
      <c r="J2076" t="s">
        <v>22</v>
      </c>
      <c r="K2076" t="s">
        <v>76</v>
      </c>
    </row>
    <row r="2077" spans="1:11">
      <c r="A2077" t="s">
        <v>63</v>
      </c>
      <c r="B2077">
        <v>10139</v>
      </c>
      <c r="C2077">
        <v>29</v>
      </c>
      <c r="D2077" s="21">
        <v>100</v>
      </c>
      <c r="E2077" s="22">
        <v>37818</v>
      </c>
      <c r="F2077" t="s">
        <v>13</v>
      </c>
      <c r="G2077" t="s">
        <v>202</v>
      </c>
      <c r="H2077">
        <v>3</v>
      </c>
      <c r="I2077">
        <v>2003</v>
      </c>
      <c r="J2077" t="s">
        <v>22</v>
      </c>
      <c r="K2077" t="s">
        <v>64</v>
      </c>
    </row>
    <row r="2078" spans="1:11">
      <c r="A2078" t="s">
        <v>194</v>
      </c>
      <c r="B2078">
        <v>10149</v>
      </c>
      <c r="C2078">
        <v>20</v>
      </c>
      <c r="D2078" s="21">
        <v>90.57</v>
      </c>
      <c r="E2078" s="22">
        <v>37876</v>
      </c>
      <c r="F2078" t="s">
        <v>13</v>
      </c>
      <c r="G2078" t="s">
        <v>202</v>
      </c>
      <c r="H2078">
        <v>3</v>
      </c>
      <c r="I2078">
        <v>2003</v>
      </c>
      <c r="J2078" t="s">
        <v>15</v>
      </c>
      <c r="K2078" t="s">
        <v>195</v>
      </c>
    </row>
    <row r="2079" spans="1:11">
      <c r="A2079" t="s">
        <v>79</v>
      </c>
      <c r="B2079">
        <v>10163</v>
      </c>
      <c r="C2079">
        <v>42</v>
      </c>
      <c r="D2079" s="21">
        <v>91.55</v>
      </c>
      <c r="E2079" s="22">
        <v>37914</v>
      </c>
      <c r="F2079" t="s">
        <v>13</v>
      </c>
      <c r="G2079" t="s">
        <v>202</v>
      </c>
      <c r="H2079">
        <v>4</v>
      </c>
      <c r="I2079">
        <v>2003</v>
      </c>
      <c r="J2079" t="s">
        <v>22</v>
      </c>
      <c r="K2079" t="s">
        <v>80</v>
      </c>
    </row>
    <row r="2080" spans="1:11">
      <c r="A2080" t="s">
        <v>203</v>
      </c>
      <c r="B2080">
        <v>10173</v>
      </c>
      <c r="C2080">
        <v>22</v>
      </c>
      <c r="D2080" s="21">
        <v>100</v>
      </c>
      <c r="E2080" s="22">
        <v>37930</v>
      </c>
      <c r="F2080" t="s">
        <v>13</v>
      </c>
      <c r="G2080" t="s">
        <v>202</v>
      </c>
      <c r="H2080">
        <v>4</v>
      </c>
      <c r="I2080">
        <v>2003</v>
      </c>
      <c r="J2080" t="s">
        <v>15</v>
      </c>
      <c r="K2080" t="s">
        <v>204</v>
      </c>
    </row>
    <row r="2081" spans="1:11">
      <c r="A2081" t="s">
        <v>83</v>
      </c>
      <c r="B2081">
        <v>10183</v>
      </c>
      <c r="C2081">
        <v>47</v>
      </c>
      <c r="D2081" s="21">
        <v>100</v>
      </c>
      <c r="E2081" s="22">
        <v>37938</v>
      </c>
      <c r="F2081" t="s">
        <v>13</v>
      </c>
      <c r="G2081" t="s">
        <v>202</v>
      </c>
      <c r="H2081">
        <v>4</v>
      </c>
      <c r="I2081">
        <v>2003</v>
      </c>
      <c r="J2081" t="s">
        <v>22</v>
      </c>
      <c r="K2081" t="s">
        <v>84</v>
      </c>
    </row>
    <row r="2082" spans="1:11">
      <c r="A2082" t="s">
        <v>205</v>
      </c>
      <c r="B2082">
        <v>10193</v>
      </c>
      <c r="C2082">
        <v>20</v>
      </c>
      <c r="D2082" s="21">
        <v>100</v>
      </c>
      <c r="E2082" s="22">
        <v>37946</v>
      </c>
      <c r="F2082" t="s">
        <v>13</v>
      </c>
      <c r="G2082" t="s">
        <v>202</v>
      </c>
      <c r="H2082">
        <v>4</v>
      </c>
      <c r="I2082">
        <v>2003</v>
      </c>
      <c r="J2082" t="s">
        <v>15</v>
      </c>
      <c r="K2082" t="s">
        <v>206</v>
      </c>
    </row>
    <row r="2083" spans="1:11">
      <c r="A2083" t="s">
        <v>87</v>
      </c>
      <c r="B2083">
        <v>10206</v>
      </c>
      <c r="C2083">
        <v>33</v>
      </c>
      <c r="D2083" s="21">
        <v>97.39</v>
      </c>
      <c r="E2083" s="22">
        <v>37960</v>
      </c>
      <c r="F2083" t="s">
        <v>13</v>
      </c>
      <c r="G2083" t="s">
        <v>202</v>
      </c>
      <c r="H2083">
        <v>4</v>
      </c>
      <c r="I2083">
        <v>2003</v>
      </c>
      <c r="J2083" t="s">
        <v>22</v>
      </c>
      <c r="K2083" t="s">
        <v>88</v>
      </c>
    </row>
    <row r="2084" spans="1:11">
      <c r="A2084" t="s">
        <v>89</v>
      </c>
      <c r="B2084">
        <v>10215</v>
      </c>
      <c r="C2084">
        <v>39</v>
      </c>
      <c r="D2084" s="21">
        <v>90.57</v>
      </c>
      <c r="E2084" s="22">
        <v>38015</v>
      </c>
      <c r="F2084" t="s">
        <v>13</v>
      </c>
      <c r="G2084" t="s">
        <v>202</v>
      </c>
      <c r="H2084">
        <v>1</v>
      </c>
      <c r="I2084">
        <v>2004</v>
      </c>
      <c r="J2084" t="s">
        <v>22</v>
      </c>
      <c r="K2084" t="s">
        <v>90</v>
      </c>
    </row>
    <row r="2085" spans="1:11">
      <c r="A2085" t="s">
        <v>91</v>
      </c>
      <c r="B2085">
        <v>10228</v>
      </c>
      <c r="C2085">
        <v>33</v>
      </c>
      <c r="D2085" s="21">
        <v>100</v>
      </c>
      <c r="E2085" s="22">
        <v>38056</v>
      </c>
      <c r="F2085" t="s">
        <v>13</v>
      </c>
      <c r="G2085" t="s">
        <v>202</v>
      </c>
      <c r="H2085">
        <v>1</v>
      </c>
      <c r="I2085">
        <v>2004</v>
      </c>
      <c r="J2085" t="s">
        <v>22</v>
      </c>
      <c r="K2085" t="s">
        <v>92</v>
      </c>
    </row>
    <row r="2086" spans="1:11">
      <c r="A2086" t="s">
        <v>69</v>
      </c>
      <c r="B2086">
        <v>10244</v>
      </c>
      <c r="C2086">
        <v>40</v>
      </c>
      <c r="D2086" s="21">
        <v>86.68</v>
      </c>
      <c r="E2086" s="22">
        <v>38106</v>
      </c>
      <c r="F2086" t="s">
        <v>13</v>
      </c>
      <c r="G2086" t="s">
        <v>202</v>
      </c>
      <c r="H2086">
        <v>2</v>
      </c>
      <c r="I2086">
        <v>2004</v>
      </c>
      <c r="J2086" t="s">
        <v>22</v>
      </c>
      <c r="K2086" t="s">
        <v>71</v>
      </c>
    </row>
    <row r="2087" spans="1:11">
      <c r="A2087" t="s">
        <v>149</v>
      </c>
      <c r="B2087">
        <v>10257</v>
      </c>
      <c r="C2087">
        <v>46</v>
      </c>
      <c r="D2087" s="21">
        <v>78.89</v>
      </c>
      <c r="E2087" s="22">
        <v>38152</v>
      </c>
      <c r="F2087" t="s">
        <v>13</v>
      </c>
      <c r="G2087" t="s">
        <v>202</v>
      </c>
      <c r="H2087">
        <v>2</v>
      </c>
      <c r="I2087">
        <v>2004</v>
      </c>
      <c r="J2087" t="s">
        <v>22</v>
      </c>
      <c r="K2087" t="s">
        <v>150</v>
      </c>
    </row>
    <row r="2088" spans="1:11">
      <c r="A2088" t="s">
        <v>60</v>
      </c>
      <c r="B2088">
        <v>10269</v>
      </c>
      <c r="C2088">
        <v>48</v>
      </c>
      <c r="D2088" s="21">
        <v>97.39</v>
      </c>
      <c r="E2088" s="22">
        <v>38184</v>
      </c>
      <c r="F2088" t="s">
        <v>13</v>
      </c>
      <c r="G2088" t="s">
        <v>202</v>
      </c>
      <c r="H2088">
        <v>3</v>
      </c>
      <c r="I2088">
        <v>2004</v>
      </c>
      <c r="J2088" t="s">
        <v>22</v>
      </c>
      <c r="K2088" t="s">
        <v>62</v>
      </c>
    </row>
    <row r="2089" spans="1:11">
      <c r="A2089" t="s">
        <v>97</v>
      </c>
      <c r="B2089">
        <v>10280</v>
      </c>
      <c r="C2089">
        <v>21</v>
      </c>
      <c r="D2089" s="21">
        <v>78.89</v>
      </c>
      <c r="E2089" s="22">
        <v>38216</v>
      </c>
      <c r="F2089" t="s">
        <v>13</v>
      </c>
      <c r="G2089" t="s">
        <v>202</v>
      </c>
      <c r="H2089">
        <v>3</v>
      </c>
      <c r="I2089">
        <v>2004</v>
      </c>
      <c r="J2089" t="s">
        <v>15</v>
      </c>
      <c r="K2089" t="s">
        <v>98</v>
      </c>
    </row>
    <row r="2090" spans="1:11">
      <c r="A2090" t="s">
        <v>215</v>
      </c>
      <c r="B2090">
        <v>10290</v>
      </c>
      <c r="C2090">
        <v>45</v>
      </c>
      <c r="D2090" s="21">
        <v>100</v>
      </c>
      <c r="E2090" s="22">
        <v>38237</v>
      </c>
      <c r="F2090" t="s">
        <v>13</v>
      </c>
      <c r="G2090" t="s">
        <v>202</v>
      </c>
      <c r="H2090">
        <v>3</v>
      </c>
      <c r="I2090">
        <v>2004</v>
      </c>
      <c r="J2090" t="s">
        <v>22</v>
      </c>
      <c r="K2090" t="s">
        <v>216</v>
      </c>
    </row>
    <row r="2091" spans="1:11">
      <c r="A2091" t="s">
        <v>101</v>
      </c>
      <c r="B2091">
        <v>10304</v>
      </c>
      <c r="C2091">
        <v>33</v>
      </c>
      <c r="D2091" s="21">
        <v>100</v>
      </c>
      <c r="E2091" s="22">
        <v>38271</v>
      </c>
      <c r="F2091" t="s">
        <v>13</v>
      </c>
      <c r="G2091" t="s">
        <v>202</v>
      </c>
      <c r="H2091">
        <v>4</v>
      </c>
      <c r="I2091">
        <v>2004</v>
      </c>
      <c r="J2091" t="s">
        <v>22</v>
      </c>
      <c r="K2091" t="s">
        <v>102</v>
      </c>
    </row>
    <row r="2092" spans="1:11">
      <c r="A2092" t="s">
        <v>103</v>
      </c>
      <c r="B2092">
        <v>10312</v>
      </c>
      <c r="C2092">
        <v>44</v>
      </c>
      <c r="D2092" s="21">
        <v>100</v>
      </c>
      <c r="E2092" s="22">
        <v>38281</v>
      </c>
      <c r="F2092" t="s">
        <v>13</v>
      </c>
      <c r="G2092" t="s">
        <v>202</v>
      </c>
      <c r="H2092">
        <v>4</v>
      </c>
      <c r="I2092">
        <v>2004</v>
      </c>
      <c r="J2092" t="s">
        <v>22</v>
      </c>
      <c r="K2092" t="s">
        <v>104</v>
      </c>
    </row>
    <row r="2093" spans="1:11">
      <c r="A2093" t="s">
        <v>44</v>
      </c>
      <c r="B2093">
        <v>10324</v>
      </c>
      <c r="C2093">
        <v>33</v>
      </c>
      <c r="D2093" s="21">
        <v>100</v>
      </c>
      <c r="E2093" s="22">
        <v>38296</v>
      </c>
      <c r="F2093" t="s">
        <v>13</v>
      </c>
      <c r="G2093" t="s">
        <v>202</v>
      </c>
      <c r="H2093">
        <v>4</v>
      </c>
      <c r="I2093">
        <v>2004</v>
      </c>
      <c r="J2093" t="s">
        <v>22</v>
      </c>
      <c r="K2093" t="s">
        <v>45</v>
      </c>
    </row>
    <row r="2094" spans="1:11">
      <c r="A2094" t="s">
        <v>38</v>
      </c>
      <c r="B2094">
        <v>10333</v>
      </c>
      <c r="C2094">
        <v>39</v>
      </c>
      <c r="D2094" s="21">
        <v>100</v>
      </c>
      <c r="E2094" s="22">
        <v>38309</v>
      </c>
      <c r="F2094" t="s">
        <v>13</v>
      </c>
      <c r="G2094" t="s">
        <v>202</v>
      </c>
      <c r="H2094">
        <v>4</v>
      </c>
      <c r="I2094">
        <v>2004</v>
      </c>
      <c r="J2094" t="s">
        <v>22</v>
      </c>
      <c r="K2094" t="s">
        <v>39</v>
      </c>
    </row>
    <row r="2095" spans="1:11">
      <c r="A2095" t="s">
        <v>75</v>
      </c>
      <c r="B2095">
        <v>10348</v>
      </c>
      <c r="C2095">
        <v>39</v>
      </c>
      <c r="D2095" s="21">
        <v>50.31</v>
      </c>
      <c r="E2095" s="22">
        <v>38292</v>
      </c>
      <c r="F2095" t="s">
        <v>13</v>
      </c>
      <c r="G2095" t="s">
        <v>202</v>
      </c>
      <c r="H2095">
        <v>4</v>
      </c>
      <c r="I2095">
        <v>2004</v>
      </c>
      <c r="J2095" t="s">
        <v>15</v>
      </c>
      <c r="K2095" t="s">
        <v>76</v>
      </c>
    </row>
    <row r="2096" spans="1:11">
      <c r="A2096" t="s">
        <v>69</v>
      </c>
      <c r="B2096">
        <v>10358</v>
      </c>
      <c r="C2096">
        <v>41</v>
      </c>
      <c r="D2096" s="21">
        <v>100</v>
      </c>
      <c r="E2096" s="22">
        <v>38331</v>
      </c>
      <c r="F2096" t="s">
        <v>13</v>
      </c>
      <c r="G2096" t="s">
        <v>202</v>
      </c>
      <c r="H2096">
        <v>4</v>
      </c>
      <c r="I2096">
        <v>2004</v>
      </c>
      <c r="J2096" t="s">
        <v>22</v>
      </c>
      <c r="K2096" t="s">
        <v>71</v>
      </c>
    </row>
    <row r="2097" spans="1:11">
      <c r="A2097" t="s">
        <v>107</v>
      </c>
      <c r="B2097">
        <v>10369</v>
      </c>
      <c r="C2097">
        <v>40</v>
      </c>
      <c r="D2097" s="21">
        <v>86.92</v>
      </c>
      <c r="E2097" s="22">
        <v>38372</v>
      </c>
      <c r="F2097" t="s">
        <v>13</v>
      </c>
      <c r="G2097" t="s">
        <v>202</v>
      </c>
      <c r="H2097">
        <v>1</v>
      </c>
      <c r="I2097">
        <v>2005</v>
      </c>
      <c r="J2097" t="s">
        <v>22</v>
      </c>
      <c r="K2097" t="s">
        <v>108</v>
      </c>
    </row>
    <row r="2098" spans="1:11">
      <c r="A2098" t="s">
        <v>103</v>
      </c>
      <c r="B2098">
        <v>10382</v>
      </c>
      <c r="C2098">
        <v>33</v>
      </c>
      <c r="D2098" s="21">
        <v>100</v>
      </c>
      <c r="E2098" s="22">
        <v>38400</v>
      </c>
      <c r="F2098" t="s">
        <v>13</v>
      </c>
      <c r="G2098" t="s">
        <v>202</v>
      </c>
      <c r="H2098">
        <v>1</v>
      </c>
      <c r="I2098">
        <v>2005</v>
      </c>
      <c r="J2098" t="s">
        <v>22</v>
      </c>
      <c r="K2098" t="s">
        <v>104</v>
      </c>
    </row>
    <row r="2099" spans="1:11">
      <c r="A2099" t="s">
        <v>139</v>
      </c>
      <c r="B2099">
        <v>10423</v>
      </c>
      <c r="C2099">
        <v>28</v>
      </c>
      <c r="D2099" s="21">
        <v>78.89</v>
      </c>
      <c r="E2099" s="22">
        <v>38502</v>
      </c>
      <c r="F2099" t="s">
        <v>113</v>
      </c>
      <c r="G2099" t="s">
        <v>202</v>
      </c>
      <c r="H2099">
        <v>2</v>
      </c>
      <c r="I2099">
        <v>2005</v>
      </c>
      <c r="J2099" t="s">
        <v>15</v>
      </c>
      <c r="K2099" t="s">
        <v>140</v>
      </c>
    </row>
    <row r="2100" spans="1:11">
      <c r="A2100" t="s">
        <v>203</v>
      </c>
      <c r="B2100">
        <v>10106</v>
      </c>
      <c r="C2100">
        <v>26</v>
      </c>
      <c r="D2100" s="21">
        <v>63.76</v>
      </c>
      <c r="E2100" s="22">
        <v>37669</v>
      </c>
      <c r="F2100" t="s">
        <v>13</v>
      </c>
      <c r="G2100" t="s">
        <v>207</v>
      </c>
      <c r="H2100">
        <v>1</v>
      </c>
      <c r="I2100">
        <v>2003</v>
      </c>
      <c r="J2100" t="s">
        <v>15</v>
      </c>
      <c r="K2100" t="s">
        <v>204</v>
      </c>
    </row>
    <row r="2101" spans="1:11">
      <c r="A2101" t="s">
        <v>42</v>
      </c>
      <c r="B2101">
        <v>10120</v>
      </c>
      <c r="C2101">
        <v>29</v>
      </c>
      <c r="D2101" s="21">
        <v>85.49</v>
      </c>
      <c r="E2101" s="22">
        <v>37740</v>
      </c>
      <c r="F2101" t="s">
        <v>13</v>
      </c>
      <c r="G2101" t="s">
        <v>207</v>
      </c>
      <c r="H2101">
        <v>2</v>
      </c>
      <c r="I2101">
        <v>2003</v>
      </c>
      <c r="J2101" t="s">
        <v>15</v>
      </c>
      <c r="K2101" t="s">
        <v>43</v>
      </c>
    </row>
    <row r="2102" spans="1:11">
      <c r="A2102" t="s">
        <v>69</v>
      </c>
      <c r="B2102">
        <v>10133</v>
      </c>
      <c r="C2102">
        <v>46</v>
      </c>
      <c r="D2102" s="21">
        <v>77.52</v>
      </c>
      <c r="E2102" s="22">
        <v>37799</v>
      </c>
      <c r="F2102" t="s">
        <v>13</v>
      </c>
      <c r="G2102" t="s">
        <v>207</v>
      </c>
      <c r="H2102">
        <v>2</v>
      </c>
      <c r="I2102">
        <v>2003</v>
      </c>
      <c r="J2102" t="s">
        <v>22</v>
      </c>
      <c r="K2102" t="s">
        <v>71</v>
      </c>
    </row>
    <row r="2103" spans="1:11">
      <c r="A2103" t="s">
        <v>25</v>
      </c>
      <c r="B2103">
        <v>10145</v>
      </c>
      <c r="C2103">
        <v>33</v>
      </c>
      <c r="D2103" s="21">
        <v>84.77</v>
      </c>
      <c r="E2103" s="22">
        <v>37858</v>
      </c>
      <c r="F2103" t="s">
        <v>13</v>
      </c>
      <c r="G2103" t="s">
        <v>207</v>
      </c>
      <c r="H2103">
        <v>3</v>
      </c>
      <c r="I2103">
        <v>2003</v>
      </c>
      <c r="J2103" t="s">
        <v>15</v>
      </c>
      <c r="K2103" t="s">
        <v>26</v>
      </c>
    </row>
    <row r="2104" spans="1:11">
      <c r="A2104" t="s">
        <v>31</v>
      </c>
      <c r="B2104">
        <v>10168</v>
      </c>
      <c r="C2104">
        <v>48</v>
      </c>
      <c r="D2104" s="21">
        <v>78.25</v>
      </c>
      <c r="E2104" s="22">
        <v>37922</v>
      </c>
      <c r="F2104" t="s">
        <v>13</v>
      </c>
      <c r="G2104" t="s">
        <v>207</v>
      </c>
      <c r="H2104">
        <v>4</v>
      </c>
      <c r="I2104">
        <v>2003</v>
      </c>
      <c r="J2104" t="s">
        <v>22</v>
      </c>
      <c r="K2104" t="s">
        <v>32</v>
      </c>
    </row>
    <row r="2105" spans="1:11">
      <c r="A2105" t="s">
        <v>114</v>
      </c>
      <c r="B2105">
        <v>10210</v>
      </c>
      <c r="C2105">
        <v>40</v>
      </c>
      <c r="D2105" s="21">
        <v>71</v>
      </c>
      <c r="E2105" s="22">
        <v>37998</v>
      </c>
      <c r="F2105" t="s">
        <v>13</v>
      </c>
      <c r="G2105" t="s">
        <v>207</v>
      </c>
      <c r="H2105">
        <v>1</v>
      </c>
      <c r="I2105">
        <v>2004</v>
      </c>
      <c r="J2105" t="s">
        <v>15</v>
      </c>
      <c r="K2105" t="s">
        <v>115</v>
      </c>
    </row>
    <row r="2106" spans="1:11">
      <c r="A2106" t="s">
        <v>42</v>
      </c>
      <c r="B2106">
        <v>10223</v>
      </c>
      <c r="C2106">
        <v>23</v>
      </c>
      <c r="D2106" s="21">
        <v>74.62</v>
      </c>
      <c r="E2106" s="22">
        <v>38037</v>
      </c>
      <c r="F2106" t="s">
        <v>13</v>
      </c>
      <c r="G2106" t="s">
        <v>207</v>
      </c>
      <c r="H2106">
        <v>1</v>
      </c>
      <c r="I2106">
        <v>2004</v>
      </c>
      <c r="J2106" t="s">
        <v>15</v>
      </c>
      <c r="K2106" t="s">
        <v>43</v>
      </c>
    </row>
    <row r="2107" spans="1:11">
      <c r="A2107" t="s">
        <v>141</v>
      </c>
      <c r="B2107">
        <v>10235</v>
      </c>
      <c r="C2107">
        <v>40</v>
      </c>
      <c r="D2107" s="21">
        <v>81.14</v>
      </c>
      <c r="E2107" s="22">
        <v>38079</v>
      </c>
      <c r="F2107" t="s">
        <v>13</v>
      </c>
      <c r="G2107" t="s">
        <v>207</v>
      </c>
      <c r="H2107">
        <v>2</v>
      </c>
      <c r="I2107">
        <v>2004</v>
      </c>
      <c r="J2107" t="s">
        <v>22</v>
      </c>
      <c r="K2107" t="s">
        <v>142</v>
      </c>
    </row>
    <row r="2108" spans="1:11">
      <c r="A2108" t="s">
        <v>149</v>
      </c>
      <c r="B2108">
        <v>10250</v>
      </c>
      <c r="C2108">
        <v>37</v>
      </c>
      <c r="D2108" s="21">
        <v>74.62</v>
      </c>
      <c r="E2108" s="22">
        <v>38118</v>
      </c>
      <c r="F2108" t="s">
        <v>13</v>
      </c>
      <c r="G2108" t="s">
        <v>207</v>
      </c>
      <c r="H2108">
        <v>2</v>
      </c>
      <c r="I2108">
        <v>2004</v>
      </c>
      <c r="J2108" t="s">
        <v>15</v>
      </c>
      <c r="K2108" t="s">
        <v>150</v>
      </c>
    </row>
    <row r="2109" spans="1:11">
      <c r="A2109" t="s">
        <v>48</v>
      </c>
      <c r="B2109">
        <v>10263</v>
      </c>
      <c r="C2109">
        <v>24</v>
      </c>
      <c r="D2109" s="21">
        <v>75.35</v>
      </c>
      <c r="E2109" s="22">
        <v>38166</v>
      </c>
      <c r="F2109" t="s">
        <v>13</v>
      </c>
      <c r="G2109" t="s">
        <v>207</v>
      </c>
      <c r="H2109">
        <v>2</v>
      </c>
      <c r="I2109">
        <v>2004</v>
      </c>
      <c r="J2109" t="s">
        <v>15</v>
      </c>
      <c r="K2109" t="s">
        <v>49</v>
      </c>
    </row>
    <row r="2110" spans="1:11">
      <c r="A2110" t="s">
        <v>50</v>
      </c>
      <c r="B2110">
        <v>10275</v>
      </c>
      <c r="C2110">
        <v>27</v>
      </c>
      <c r="D2110" s="21">
        <v>62.31</v>
      </c>
      <c r="E2110" s="22">
        <v>38191</v>
      </c>
      <c r="F2110" t="s">
        <v>13</v>
      </c>
      <c r="G2110" t="s">
        <v>207</v>
      </c>
      <c r="H2110">
        <v>3</v>
      </c>
      <c r="I2110">
        <v>2004</v>
      </c>
      <c r="J2110" t="s">
        <v>15</v>
      </c>
      <c r="K2110" t="s">
        <v>51</v>
      </c>
    </row>
    <row r="2111" spans="1:11">
      <c r="A2111" t="s">
        <v>200</v>
      </c>
      <c r="B2111">
        <v>10284</v>
      </c>
      <c r="C2111">
        <v>21</v>
      </c>
      <c r="D2111" s="21">
        <v>71</v>
      </c>
      <c r="E2111" s="22">
        <v>38220</v>
      </c>
      <c r="F2111" t="s">
        <v>13</v>
      </c>
      <c r="G2111" t="s">
        <v>207</v>
      </c>
      <c r="H2111">
        <v>3</v>
      </c>
      <c r="I2111">
        <v>2004</v>
      </c>
      <c r="J2111" t="s">
        <v>15</v>
      </c>
      <c r="K2111" t="s">
        <v>201</v>
      </c>
    </row>
    <row r="2112" spans="1:11">
      <c r="A2112" t="s">
        <v>179</v>
      </c>
      <c r="B2112">
        <v>10297</v>
      </c>
      <c r="C2112">
        <v>23</v>
      </c>
      <c r="D2112" s="21">
        <v>72.45</v>
      </c>
      <c r="E2112" s="22">
        <v>38246</v>
      </c>
      <c r="F2112" t="s">
        <v>13</v>
      </c>
      <c r="G2112" t="s">
        <v>207</v>
      </c>
      <c r="H2112">
        <v>3</v>
      </c>
      <c r="I2112">
        <v>2004</v>
      </c>
      <c r="J2112" t="s">
        <v>15</v>
      </c>
      <c r="K2112" t="s">
        <v>180</v>
      </c>
    </row>
    <row r="2113" spans="1:11">
      <c r="A2113" t="s">
        <v>120</v>
      </c>
      <c r="B2113">
        <v>10308</v>
      </c>
      <c r="C2113">
        <v>44</v>
      </c>
      <c r="D2113" s="21">
        <v>83.32</v>
      </c>
      <c r="E2113" s="22">
        <v>38275</v>
      </c>
      <c r="F2113" t="s">
        <v>13</v>
      </c>
      <c r="G2113" t="s">
        <v>207</v>
      </c>
      <c r="H2113">
        <v>4</v>
      </c>
      <c r="I2113">
        <v>2004</v>
      </c>
      <c r="J2113" t="s">
        <v>22</v>
      </c>
      <c r="K2113" t="s">
        <v>121</v>
      </c>
    </row>
    <row r="2114" spans="1:11">
      <c r="A2114" t="s">
        <v>31</v>
      </c>
      <c r="B2114">
        <v>10317</v>
      </c>
      <c r="C2114">
        <v>35</v>
      </c>
      <c r="D2114" s="21">
        <v>83.32</v>
      </c>
      <c r="E2114" s="22">
        <v>38293</v>
      </c>
      <c r="F2114" t="s">
        <v>13</v>
      </c>
      <c r="G2114" t="s">
        <v>207</v>
      </c>
      <c r="H2114">
        <v>4</v>
      </c>
      <c r="I2114">
        <v>2004</v>
      </c>
      <c r="J2114" t="s">
        <v>15</v>
      </c>
      <c r="K2114" t="s">
        <v>32</v>
      </c>
    </row>
    <row r="2115" spans="1:11">
      <c r="A2115" t="s">
        <v>203</v>
      </c>
      <c r="B2115">
        <v>10328</v>
      </c>
      <c r="C2115">
        <v>43</v>
      </c>
      <c r="D2115" s="21">
        <v>60.86</v>
      </c>
      <c r="E2115" s="22">
        <v>38303</v>
      </c>
      <c r="F2115" t="s">
        <v>13</v>
      </c>
      <c r="G2115" t="s">
        <v>207</v>
      </c>
      <c r="H2115">
        <v>4</v>
      </c>
      <c r="I2115">
        <v>2004</v>
      </c>
      <c r="J2115" t="s">
        <v>15</v>
      </c>
      <c r="K2115" t="s">
        <v>204</v>
      </c>
    </row>
    <row r="2116" spans="1:11">
      <c r="A2116" t="s">
        <v>133</v>
      </c>
      <c r="B2116">
        <v>10340</v>
      </c>
      <c r="C2116">
        <v>40</v>
      </c>
      <c r="D2116" s="21">
        <v>84.77</v>
      </c>
      <c r="E2116" s="22">
        <v>38315</v>
      </c>
      <c r="F2116" t="s">
        <v>13</v>
      </c>
      <c r="G2116" t="s">
        <v>207</v>
      </c>
      <c r="H2116">
        <v>4</v>
      </c>
      <c r="I2116">
        <v>2004</v>
      </c>
      <c r="J2116" t="s">
        <v>22</v>
      </c>
      <c r="K2116" t="s">
        <v>134</v>
      </c>
    </row>
    <row r="2117" spans="1:11">
      <c r="A2117" t="s">
        <v>208</v>
      </c>
      <c r="B2117">
        <v>10353</v>
      </c>
      <c r="C2117">
        <v>35</v>
      </c>
      <c r="D2117" s="21">
        <v>89.9</v>
      </c>
      <c r="E2117" s="22">
        <v>38325</v>
      </c>
      <c r="F2117" t="s">
        <v>13</v>
      </c>
      <c r="G2117" t="s">
        <v>207</v>
      </c>
      <c r="H2117">
        <v>4</v>
      </c>
      <c r="I2117">
        <v>2004</v>
      </c>
      <c r="J2117" t="s">
        <v>22</v>
      </c>
      <c r="K2117" t="s">
        <v>209</v>
      </c>
    </row>
    <row r="2118" spans="1:11">
      <c r="A2118" t="s">
        <v>63</v>
      </c>
      <c r="B2118">
        <v>10361</v>
      </c>
      <c r="C2118">
        <v>25</v>
      </c>
      <c r="D2118" s="21">
        <v>62.46</v>
      </c>
      <c r="E2118" s="22">
        <v>38338</v>
      </c>
      <c r="F2118" t="s">
        <v>13</v>
      </c>
      <c r="G2118" t="s">
        <v>207</v>
      </c>
      <c r="H2118">
        <v>4</v>
      </c>
      <c r="I2118">
        <v>2004</v>
      </c>
      <c r="J2118" t="s">
        <v>15</v>
      </c>
      <c r="K2118" t="s">
        <v>64</v>
      </c>
    </row>
    <row r="2119" spans="1:11">
      <c r="A2119" t="s">
        <v>50</v>
      </c>
      <c r="B2119">
        <v>10375</v>
      </c>
      <c r="C2119">
        <v>43</v>
      </c>
      <c r="D2119" s="21">
        <v>100</v>
      </c>
      <c r="E2119" s="22">
        <v>38386</v>
      </c>
      <c r="F2119" t="s">
        <v>13</v>
      </c>
      <c r="G2119" t="s">
        <v>207</v>
      </c>
      <c r="H2119">
        <v>1</v>
      </c>
      <c r="I2119">
        <v>2005</v>
      </c>
      <c r="J2119" t="s">
        <v>61</v>
      </c>
      <c r="K2119" t="s">
        <v>51</v>
      </c>
    </row>
    <row r="2120" spans="1:11">
      <c r="A2120" t="s">
        <v>69</v>
      </c>
      <c r="B2120">
        <v>10386</v>
      </c>
      <c r="C2120">
        <v>50</v>
      </c>
      <c r="D2120" s="21">
        <v>63.34</v>
      </c>
      <c r="E2120" s="22">
        <v>38412</v>
      </c>
      <c r="F2120" t="s">
        <v>155</v>
      </c>
      <c r="G2120" t="s">
        <v>207</v>
      </c>
      <c r="H2120">
        <v>1</v>
      </c>
      <c r="I2120">
        <v>2005</v>
      </c>
      <c r="J2120" t="s">
        <v>22</v>
      </c>
      <c r="K2120" t="s">
        <v>71</v>
      </c>
    </row>
    <row r="2121" spans="1:11">
      <c r="A2121" t="s">
        <v>18</v>
      </c>
      <c r="B2121">
        <v>10398</v>
      </c>
      <c r="C2121">
        <v>45</v>
      </c>
      <c r="D2121" s="21">
        <v>78.25</v>
      </c>
      <c r="E2121" s="22">
        <v>38441</v>
      </c>
      <c r="F2121" t="s">
        <v>13</v>
      </c>
      <c r="G2121" t="s">
        <v>207</v>
      </c>
      <c r="H2121">
        <v>1</v>
      </c>
      <c r="I2121">
        <v>2005</v>
      </c>
      <c r="J2121" t="s">
        <v>22</v>
      </c>
      <c r="K2121" t="s">
        <v>19</v>
      </c>
    </row>
    <row r="2122" spans="1:11">
      <c r="A2122" t="s">
        <v>46</v>
      </c>
      <c r="B2122">
        <v>10401</v>
      </c>
      <c r="C2122">
        <v>52</v>
      </c>
      <c r="D2122" s="21">
        <v>81.14</v>
      </c>
      <c r="E2122" s="22">
        <v>38445</v>
      </c>
      <c r="F2122" t="s">
        <v>151</v>
      </c>
      <c r="G2122" t="s">
        <v>207</v>
      </c>
      <c r="H2122">
        <v>2</v>
      </c>
      <c r="I2122">
        <v>2005</v>
      </c>
      <c r="J2122" t="s">
        <v>22</v>
      </c>
      <c r="K2122" t="s">
        <v>47</v>
      </c>
    </row>
    <row r="2123" spans="1:11">
      <c r="A2123" t="s">
        <v>169</v>
      </c>
      <c r="B2123">
        <v>10416</v>
      </c>
      <c r="C2123">
        <v>48</v>
      </c>
      <c r="D2123" s="21">
        <v>74.62</v>
      </c>
      <c r="E2123" s="22">
        <v>38482</v>
      </c>
      <c r="F2123" t="s">
        <v>13</v>
      </c>
      <c r="G2123" t="s">
        <v>207</v>
      </c>
      <c r="H2123">
        <v>2</v>
      </c>
      <c r="I2123">
        <v>2005</v>
      </c>
      <c r="J2123" t="s">
        <v>22</v>
      </c>
      <c r="K2123" t="s">
        <v>170</v>
      </c>
    </row>
    <row r="2124" spans="1:11">
      <c r="A2124" t="s">
        <v>161</v>
      </c>
      <c r="B2124">
        <v>10108</v>
      </c>
      <c r="C2124">
        <v>31</v>
      </c>
      <c r="D2124" s="21">
        <v>68.71</v>
      </c>
      <c r="E2124" s="22">
        <v>37683</v>
      </c>
      <c r="F2124" t="s">
        <v>13</v>
      </c>
      <c r="G2124" t="s">
        <v>72</v>
      </c>
      <c r="H2124">
        <v>1</v>
      </c>
      <c r="I2124">
        <v>2003</v>
      </c>
      <c r="J2124" t="s">
        <v>15</v>
      </c>
      <c r="K2124" t="s">
        <v>162</v>
      </c>
    </row>
    <row r="2125" spans="1:11">
      <c r="A2125" t="s">
        <v>163</v>
      </c>
      <c r="B2125">
        <v>10122</v>
      </c>
      <c r="C2125">
        <v>29</v>
      </c>
      <c r="D2125" s="21">
        <v>71.14</v>
      </c>
      <c r="E2125" s="22">
        <v>37749</v>
      </c>
      <c r="F2125" t="s">
        <v>13</v>
      </c>
      <c r="G2125" t="s">
        <v>72</v>
      </c>
      <c r="H2125">
        <v>2</v>
      </c>
      <c r="I2125">
        <v>2003</v>
      </c>
      <c r="J2125" t="s">
        <v>15</v>
      </c>
      <c r="K2125" t="s">
        <v>164</v>
      </c>
    </row>
    <row r="2126" spans="1:11">
      <c r="A2126" t="s">
        <v>103</v>
      </c>
      <c r="B2126">
        <v>10135</v>
      </c>
      <c r="C2126">
        <v>23</v>
      </c>
      <c r="D2126" s="21">
        <v>87.31</v>
      </c>
      <c r="E2126" s="22">
        <v>37804</v>
      </c>
      <c r="F2126" t="s">
        <v>13</v>
      </c>
      <c r="G2126" t="s">
        <v>72</v>
      </c>
      <c r="H2126">
        <v>3</v>
      </c>
      <c r="I2126">
        <v>2003</v>
      </c>
      <c r="J2126" t="s">
        <v>15</v>
      </c>
      <c r="K2126" t="s">
        <v>104</v>
      </c>
    </row>
    <row r="2127" spans="1:11">
      <c r="A2127" t="s">
        <v>107</v>
      </c>
      <c r="B2127">
        <v>10147</v>
      </c>
      <c r="C2127">
        <v>31</v>
      </c>
      <c r="D2127" s="21">
        <v>64.67</v>
      </c>
      <c r="E2127" s="22">
        <v>37869</v>
      </c>
      <c r="F2127" t="s">
        <v>13</v>
      </c>
      <c r="G2127" t="s">
        <v>72</v>
      </c>
      <c r="H2127">
        <v>3</v>
      </c>
      <c r="I2127">
        <v>2003</v>
      </c>
      <c r="J2127" t="s">
        <v>15</v>
      </c>
      <c r="K2127" t="s">
        <v>108</v>
      </c>
    </row>
    <row r="2128" spans="1:11">
      <c r="A2128" t="s">
        <v>28</v>
      </c>
      <c r="B2128">
        <v>10159</v>
      </c>
      <c r="C2128">
        <v>23</v>
      </c>
      <c r="D2128" s="21">
        <v>67.1</v>
      </c>
      <c r="E2128" s="22">
        <v>37904</v>
      </c>
      <c r="F2128" t="s">
        <v>13</v>
      </c>
      <c r="G2128" t="s">
        <v>72</v>
      </c>
      <c r="H2128">
        <v>4</v>
      </c>
      <c r="I2128">
        <v>2003</v>
      </c>
      <c r="J2128" t="s">
        <v>15</v>
      </c>
      <c r="K2128" t="s">
        <v>29</v>
      </c>
    </row>
    <row r="2129" spans="1:11">
      <c r="A2129" t="s">
        <v>109</v>
      </c>
      <c r="B2129">
        <v>10169</v>
      </c>
      <c r="C2129">
        <v>24</v>
      </c>
      <c r="D2129" s="21">
        <v>94.58</v>
      </c>
      <c r="E2129" s="22">
        <v>37929</v>
      </c>
      <c r="F2129" t="s">
        <v>13</v>
      </c>
      <c r="G2129" t="s">
        <v>72</v>
      </c>
      <c r="H2129">
        <v>4</v>
      </c>
      <c r="I2129">
        <v>2003</v>
      </c>
      <c r="J2129" t="s">
        <v>15</v>
      </c>
      <c r="K2129" t="s">
        <v>110</v>
      </c>
    </row>
    <row r="2130" spans="1:11">
      <c r="A2130" t="s">
        <v>34</v>
      </c>
      <c r="B2130">
        <v>10180</v>
      </c>
      <c r="C2130">
        <v>28</v>
      </c>
      <c r="D2130" s="21">
        <v>71.14</v>
      </c>
      <c r="E2130" s="22">
        <v>37936</v>
      </c>
      <c r="F2130" t="s">
        <v>13</v>
      </c>
      <c r="G2130" t="s">
        <v>72</v>
      </c>
      <c r="H2130">
        <v>4</v>
      </c>
      <c r="I2130">
        <v>2003</v>
      </c>
      <c r="J2130" t="s">
        <v>15</v>
      </c>
      <c r="K2130" t="s">
        <v>35</v>
      </c>
    </row>
    <row r="2131" spans="1:11">
      <c r="A2131" t="s">
        <v>165</v>
      </c>
      <c r="B2131">
        <v>10191</v>
      </c>
      <c r="C2131">
        <v>44</v>
      </c>
      <c r="D2131" s="21">
        <v>66.29</v>
      </c>
      <c r="E2131" s="22">
        <v>37945</v>
      </c>
      <c r="F2131" t="s">
        <v>13</v>
      </c>
      <c r="G2131" t="s">
        <v>72</v>
      </c>
      <c r="H2131">
        <v>4</v>
      </c>
      <c r="I2131">
        <v>2003</v>
      </c>
      <c r="J2131" t="s">
        <v>15</v>
      </c>
      <c r="K2131" t="s">
        <v>166</v>
      </c>
    </row>
    <row r="2132" spans="1:11">
      <c r="A2132" t="s">
        <v>40</v>
      </c>
      <c r="B2132">
        <v>10211</v>
      </c>
      <c r="C2132">
        <v>22</v>
      </c>
      <c r="D2132" s="21">
        <v>92.16</v>
      </c>
      <c r="E2132" s="22">
        <v>38001</v>
      </c>
      <c r="F2132" t="s">
        <v>13</v>
      </c>
      <c r="G2132" t="s">
        <v>72</v>
      </c>
      <c r="H2132">
        <v>1</v>
      </c>
      <c r="I2132">
        <v>2004</v>
      </c>
      <c r="J2132" t="s">
        <v>15</v>
      </c>
      <c r="K2132" t="s">
        <v>41</v>
      </c>
    </row>
    <row r="2133" spans="1:11">
      <c r="A2133" t="s">
        <v>167</v>
      </c>
      <c r="B2133">
        <v>10225</v>
      </c>
      <c r="C2133">
        <v>46</v>
      </c>
      <c r="D2133" s="21">
        <v>70.33</v>
      </c>
      <c r="E2133" s="22">
        <v>38039</v>
      </c>
      <c r="F2133" t="s">
        <v>13</v>
      </c>
      <c r="G2133" t="s">
        <v>72</v>
      </c>
      <c r="H2133">
        <v>1</v>
      </c>
      <c r="I2133">
        <v>2004</v>
      </c>
      <c r="J2133" t="s">
        <v>22</v>
      </c>
      <c r="K2133" t="s">
        <v>168</v>
      </c>
    </row>
    <row r="2134" spans="1:11">
      <c r="A2134" t="s">
        <v>122</v>
      </c>
      <c r="B2134">
        <v>10238</v>
      </c>
      <c r="C2134">
        <v>22</v>
      </c>
      <c r="D2134" s="21">
        <v>93.77</v>
      </c>
      <c r="E2134" s="22">
        <v>38086</v>
      </c>
      <c r="F2134" t="s">
        <v>13</v>
      </c>
      <c r="G2134" t="s">
        <v>72</v>
      </c>
      <c r="H2134">
        <v>2</v>
      </c>
      <c r="I2134">
        <v>2004</v>
      </c>
      <c r="J2134" t="s">
        <v>15</v>
      </c>
      <c r="K2134" t="s">
        <v>123</v>
      </c>
    </row>
    <row r="2135" spans="1:11">
      <c r="A2135" t="s">
        <v>40</v>
      </c>
      <c r="B2135">
        <v>10252</v>
      </c>
      <c r="C2135">
        <v>38</v>
      </c>
      <c r="D2135" s="21">
        <v>87.31</v>
      </c>
      <c r="E2135" s="22">
        <v>38133</v>
      </c>
      <c r="F2135" t="s">
        <v>13</v>
      </c>
      <c r="G2135" t="s">
        <v>72</v>
      </c>
      <c r="H2135">
        <v>2</v>
      </c>
      <c r="I2135">
        <v>2004</v>
      </c>
      <c r="J2135" t="s">
        <v>22</v>
      </c>
      <c r="K2135" t="s">
        <v>41</v>
      </c>
    </row>
    <row r="2136" spans="1:11">
      <c r="A2136" t="s">
        <v>143</v>
      </c>
      <c r="B2136">
        <v>10264</v>
      </c>
      <c r="C2136">
        <v>47</v>
      </c>
      <c r="D2136" s="21">
        <v>83.27</v>
      </c>
      <c r="E2136" s="22">
        <v>38168</v>
      </c>
      <c r="F2136" t="s">
        <v>13</v>
      </c>
      <c r="G2136" t="s">
        <v>72</v>
      </c>
      <c r="H2136">
        <v>2</v>
      </c>
      <c r="I2136">
        <v>2004</v>
      </c>
      <c r="J2136" t="s">
        <v>22</v>
      </c>
      <c r="K2136" t="s">
        <v>144</v>
      </c>
    </row>
    <row r="2137" spans="1:11">
      <c r="A2137" t="s">
        <v>171</v>
      </c>
      <c r="B2137">
        <v>10276</v>
      </c>
      <c r="C2137">
        <v>48</v>
      </c>
      <c r="D2137" s="21">
        <v>75.18</v>
      </c>
      <c r="E2137" s="22">
        <v>38201</v>
      </c>
      <c r="F2137" t="s">
        <v>13</v>
      </c>
      <c r="G2137" t="s">
        <v>72</v>
      </c>
      <c r="H2137">
        <v>3</v>
      </c>
      <c r="I2137">
        <v>2004</v>
      </c>
      <c r="J2137" t="s">
        <v>22</v>
      </c>
      <c r="K2137" t="s">
        <v>172</v>
      </c>
    </row>
    <row r="2138" spans="1:11">
      <c r="A2138" t="s">
        <v>167</v>
      </c>
      <c r="B2138">
        <v>10287</v>
      </c>
      <c r="C2138">
        <v>40</v>
      </c>
      <c r="D2138" s="21">
        <v>88.12</v>
      </c>
      <c r="E2138" s="22">
        <v>38229</v>
      </c>
      <c r="F2138" t="s">
        <v>13</v>
      </c>
      <c r="G2138" t="s">
        <v>72</v>
      </c>
      <c r="H2138">
        <v>3</v>
      </c>
      <c r="I2138">
        <v>2004</v>
      </c>
      <c r="J2138" t="s">
        <v>22</v>
      </c>
      <c r="K2138" t="s">
        <v>168</v>
      </c>
    </row>
    <row r="2139" spans="1:11">
      <c r="A2139" t="s">
        <v>54</v>
      </c>
      <c r="B2139">
        <v>10299</v>
      </c>
      <c r="C2139">
        <v>32</v>
      </c>
      <c r="D2139" s="21">
        <v>80.84</v>
      </c>
      <c r="E2139" s="22">
        <v>38260</v>
      </c>
      <c r="F2139" t="s">
        <v>13</v>
      </c>
      <c r="G2139" t="s">
        <v>72</v>
      </c>
      <c r="H2139">
        <v>3</v>
      </c>
      <c r="I2139">
        <v>2004</v>
      </c>
      <c r="J2139" t="s">
        <v>15</v>
      </c>
      <c r="K2139" t="s">
        <v>55</v>
      </c>
    </row>
    <row r="2140" spans="1:11">
      <c r="A2140" t="s">
        <v>165</v>
      </c>
      <c r="B2140">
        <v>10310</v>
      </c>
      <c r="C2140">
        <v>49</v>
      </c>
      <c r="D2140" s="21">
        <v>97.01</v>
      </c>
      <c r="E2140" s="22">
        <v>38276</v>
      </c>
      <c r="F2140" t="s">
        <v>13</v>
      </c>
      <c r="G2140" t="s">
        <v>72</v>
      </c>
      <c r="H2140">
        <v>4</v>
      </c>
      <c r="I2140">
        <v>2004</v>
      </c>
      <c r="J2140" t="s">
        <v>22</v>
      </c>
      <c r="K2140" t="s">
        <v>166</v>
      </c>
    </row>
    <row r="2141" spans="1:11">
      <c r="A2141" t="s">
        <v>188</v>
      </c>
      <c r="B2141">
        <v>10319</v>
      </c>
      <c r="C2141">
        <v>43</v>
      </c>
      <c r="D2141" s="21">
        <v>85.69</v>
      </c>
      <c r="E2141" s="22">
        <v>38294</v>
      </c>
      <c r="F2141" t="s">
        <v>13</v>
      </c>
      <c r="G2141" t="s">
        <v>72</v>
      </c>
      <c r="H2141">
        <v>4</v>
      </c>
      <c r="I2141">
        <v>2004</v>
      </c>
      <c r="J2141" t="s">
        <v>22</v>
      </c>
      <c r="K2141" t="s">
        <v>189</v>
      </c>
    </row>
    <row r="2142" spans="1:11">
      <c r="A2142" t="s">
        <v>116</v>
      </c>
      <c r="B2142">
        <v>10331</v>
      </c>
      <c r="C2142">
        <v>41</v>
      </c>
      <c r="D2142" s="21">
        <v>100</v>
      </c>
      <c r="E2142" s="22">
        <v>38308</v>
      </c>
      <c r="F2142" t="s">
        <v>13</v>
      </c>
      <c r="G2142" t="s">
        <v>72</v>
      </c>
      <c r="H2142">
        <v>4</v>
      </c>
      <c r="I2142">
        <v>2004</v>
      </c>
      <c r="J2142" t="s">
        <v>22</v>
      </c>
      <c r="K2142" t="s">
        <v>117</v>
      </c>
    </row>
    <row r="2143" spans="1:11">
      <c r="A2143" t="s">
        <v>18</v>
      </c>
      <c r="B2143">
        <v>10343</v>
      </c>
      <c r="C2143">
        <v>30</v>
      </c>
      <c r="D2143" s="21">
        <v>100</v>
      </c>
      <c r="E2143" s="22">
        <v>38315</v>
      </c>
      <c r="F2143" t="s">
        <v>13</v>
      </c>
      <c r="G2143" t="s">
        <v>72</v>
      </c>
      <c r="H2143">
        <v>4</v>
      </c>
      <c r="I2143">
        <v>2004</v>
      </c>
      <c r="J2143" t="s">
        <v>22</v>
      </c>
      <c r="K2143" t="s">
        <v>19</v>
      </c>
    </row>
    <row r="2144" spans="1:11">
      <c r="A2144" t="s">
        <v>69</v>
      </c>
      <c r="B2144">
        <v>10355</v>
      </c>
      <c r="C2144">
        <v>28</v>
      </c>
      <c r="D2144" s="21">
        <v>95.39</v>
      </c>
      <c r="E2144" s="22">
        <v>38328</v>
      </c>
      <c r="F2144" t="s">
        <v>13</v>
      </c>
      <c r="G2144" t="s">
        <v>72</v>
      </c>
      <c r="H2144">
        <v>4</v>
      </c>
      <c r="I2144">
        <v>2004</v>
      </c>
      <c r="J2144" t="s">
        <v>15</v>
      </c>
      <c r="K2144" t="s">
        <v>71</v>
      </c>
    </row>
    <row r="2145" spans="1:11">
      <c r="A2145" t="s">
        <v>175</v>
      </c>
      <c r="B2145">
        <v>10363</v>
      </c>
      <c r="C2145">
        <v>43</v>
      </c>
      <c r="D2145" s="21">
        <v>100</v>
      </c>
      <c r="E2145" s="22">
        <v>38358</v>
      </c>
      <c r="F2145" t="s">
        <v>13</v>
      </c>
      <c r="G2145" t="s">
        <v>72</v>
      </c>
      <c r="H2145">
        <v>1</v>
      </c>
      <c r="I2145">
        <v>2005</v>
      </c>
      <c r="J2145" t="s">
        <v>22</v>
      </c>
      <c r="K2145" t="s">
        <v>176</v>
      </c>
    </row>
    <row r="2146" spans="1:11">
      <c r="A2146" t="s">
        <v>69</v>
      </c>
      <c r="B2146">
        <v>10378</v>
      </c>
      <c r="C2146">
        <v>41</v>
      </c>
      <c r="D2146" s="21">
        <v>100</v>
      </c>
      <c r="E2146" s="22">
        <v>38393</v>
      </c>
      <c r="F2146" t="s">
        <v>13</v>
      </c>
      <c r="G2146" t="s">
        <v>72</v>
      </c>
      <c r="H2146">
        <v>1</v>
      </c>
      <c r="I2146">
        <v>2005</v>
      </c>
      <c r="J2146" t="s">
        <v>22</v>
      </c>
      <c r="K2146" t="s">
        <v>71</v>
      </c>
    </row>
    <row r="2147" spans="1:11">
      <c r="A2147" t="s">
        <v>103</v>
      </c>
      <c r="B2147">
        <v>10390</v>
      </c>
      <c r="C2147">
        <v>30</v>
      </c>
      <c r="D2147" s="21">
        <v>82.42</v>
      </c>
      <c r="E2147" s="22">
        <v>38415</v>
      </c>
      <c r="F2147" t="s">
        <v>13</v>
      </c>
      <c r="G2147" t="s">
        <v>72</v>
      </c>
      <c r="H2147">
        <v>1</v>
      </c>
      <c r="I2147">
        <v>2005</v>
      </c>
      <c r="J2147" t="s">
        <v>15</v>
      </c>
      <c r="K2147" t="s">
        <v>104</v>
      </c>
    </row>
    <row r="2148" spans="1:11">
      <c r="A2148" t="s">
        <v>56</v>
      </c>
      <c r="B2148">
        <v>10103</v>
      </c>
      <c r="C2148">
        <v>31</v>
      </c>
      <c r="D2148" s="21">
        <v>100</v>
      </c>
      <c r="E2148" s="22">
        <v>37650</v>
      </c>
      <c r="F2148" t="s">
        <v>13</v>
      </c>
      <c r="G2148" t="s">
        <v>187</v>
      </c>
      <c r="H2148">
        <v>1</v>
      </c>
      <c r="I2148">
        <v>2003</v>
      </c>
      <c r="J2148" t="s">
        <v>22</v>
      </c>
      <c r="K2148" t="s">
        <v>57</v>
      </c>
    </row>
    <row r="2149" spans="1:11">
      <c r="A2149" t="s">
        <v>152</v>
      </c>
      <c r="B2149">
        <v>10114</v>
      </c>
      <c r="C2149">
        <v>32</v>
      </c>
      <c r="D2149" s="21">
        <v>100</v>
      </c>
      <c r="E2149" s="22">
        <v>37712</v>
      </c>
      <c r="F2149" t="s">
        <v>13</v>
      </c>
      <c r="G2149" t="s">
        <v>187</v>
      </c>
      <c r="H2149">
        <v>2</v>
      </c>
      <c r="I2149">
        <v>2003</v>
      </c>
      <c r="J2149" t="s">
        <v>22</v>
      </c>
      <c r="K2149" t="s">
        <v>153</v>
      </c>
    </row>
    <row r="2150" spans="1:11">
      <c r="A2150" t="s">
        <v>75</v>
      </c>
      <c r="B2150">
        <v>10126</v>
      </c>
      <c r="C2150">
        <v>43</v>
      </c>
      <c r="D2150" s="21">
        <v>96.31</v>
      </c>
      <c r="E2150" s="22">
        <v>37769</v>
      </c>
      <c r="F2150" t="s">
        <v>13</v>
      </c>
      <c r="G2150" t="s">
        <v>187</v>
      </c>
      <c r="H2150">
        <v>2</v>
      </c>
      <c r="I2150">
        <v>2003</v>
      </c>
      <c r="J2150" t="s">
        <v>22</v>
      </c>
      <c r="K2150" t="s">
        <v>76</v>
      </c>
    </row>
    <row r="2151" spans="1:11">
      <c r="A2151" t="s">
        <v>31</v>
      </c>
      <c r="B2151">
        <v>10140</v>
      </c>
      <c r="C2151">
        <v>26</v>
      </c>
      <c r="D2151" s="21">
        <v>100</v>
      </c>
      <c r="E2151" s="22">
        <v>37826</v>
      </c>
      <c r="F2151" t="s">
        <v>13</v>
      </c>
      <c r="G2151" t="s">
        <v>187</v>
      </c>
      <c r="H2151">
        <v>3</v>
      </c>
      <c r="I2151">
        <v>2003</v>
      </c>
      <c r="J2151" t="s">
        <v>15</v>
      </c>
      <c r="K2151" t="s">
        <v>32</v>
      </c>
    </row>
    <row r="2152" spans="1:11">
      <c r="A2152" t="s">
        <v>147</v>
      </c>
      <c r="B2152">
        <v>10151</v>
      </c>
      <c r="C2152">
        <v>27</v>
      </c>
      <c r="D2152" s="21">
        <v>100</v>
      </c>
      <c r="E2152" s="22">
        <v>37885</v>
      </c>
      <c r="F2152" t="s">
        <v>13</v>
      </c>
      <c r="G2152" t="s">
        <v>187</v>
      </c>
      <c r="H2152">
        <v>3</v>
      </c>
      <c r="I2152">
        <v>2003</v>
      </c>
      <c r="J2152" t="s">
        <v>22</v>
      </c>
      <c r="K2152" t="s">
        <v>148</v>
      </c>
    </row>
    <row r="2153" spans="1:11">
      <c r="A2153" t="s">
        <v>154</v>
      </c>
      <c r="B2153">
        <v>10164</v>
      </c>
      <c r="C2153">
        <v>24</v>
      </c>
      <c r="D2153" s="21">
        <v>100</v>
      </c>
      <c r="E2153" s="22">
        <v>37915</v>
      </c>
      <c r="F2153" t="s">
        <v>155</v>
      </c>
      <c r="G2153" t="s">
        <v>187</v>
      </c>
      <c r="H2153">
        <v>4</v>
      </c>
      <c r="I2153">
        <v>2003</v>
      </c>
      <c r="J2153" t="s">
        <v>15</v>
      </c>
      <c r="K2153" t="s">
        <v>156</v>
      </c>
    </row>
    <row r="2154" spans="1:11">
      <c r="A2154" t="s">
        <v>124</v>
      </c>
      <c r="B2154">
        <v>10175</v>
      </c>
      <c r="C2154">
        <v>22</v>
      </c>
      <c r="D2154" s="21">
        <v>100</v>
      </c>
      <c r="E2154" s="22">
        <v>37931</v>
      </c>
      <c r="F2154" t="s">
        <v>13</v>
      </c>
      <c r="G2154" t="s">
        <v>187</v>
      </c>
      <c r="H2154">
        <v>4</v>
      </c>
      <c r="I2154">
        <v>2003</v>
      </c>
      <c r="J2154" t="s">
        <v>15</v>
      </c>
      <c r="K2154" t="s">
        <v>125</v>
      </c>
    </row>
    <row r="2155" spans="1:11">
      <c r="A2155" t="s">
        <v>192</v>
      </c>
      <c r="B2155">
        <v>10184</v>
      </c>
      <c r="C2155">
        <v>46</v>
      </c>
      <c r="D2155" s="21">
        <v>100</v>
      </c>
      <c r="E2155" s="22">
        <v>37939</v>
      </c>
      <c r="F2155" t="s">
        <v>13</v>
      </c>
      <c r="G2155" t="s">
        <v>187</v>
      </c>
      <c r="H2155">
        <v>4</v>
      </c>
      <c r="I2155">
        <v>2003</v>
      </c>
      <c r="J2155" t="s">
        <v>22</v>
      </c>
      <c r="K2155" t="s">
        <v>193</v>
      </c>
    </row>
    <row r="2156" spans="1:11">
      <c r="A2156" t="s">
        <v>85</v>
      </c>
      <c r="B2156">
        <v>10194</v>
      </c>
      <c r="C2156">
        <v>37</v>
      </c>
      <c r="D2156" s="21">
        <v>97.27</v>
      </c>
      <c r="E2156" s="22">
        <v>37950</v>
      </c>
      <c r="F2156" t="s">
        <v>13</v>
      </c>
      <c r="G2156" t="s">
        <v>187</v>
      </c>
      <c r="H2156">
        <v>4</v>
      </c>
      <c r="I2156">
        <v>2003</v>
      </c>
      <c r="J2156" t="s">
        <v>22</v>
      </c>
      <c r="K2156" t="s">
        <v>86</v>
      </c>
    </row>
    <row r="2157" spans="1:11">
      <c r="A2157" t="s">
        <v>157</v>
      </c>
      <c r="B2157">
        <v>10207</v>
      </c>
      <c r="C2157">
        <v>49</v>
      </c>
      <c r="D2157" s="21">
        <v>80.9</v>
      </c>
      <c r="E2157" s="22">
        <v>37964</v>
      </c>
      <c r="F2157" t="s">
        <v>13</v>
      </c>
      <c r="G2157" t="s">
        <v>187</v>
      </c>
      <c r="H2157">
        <v>4</v>
      </c>
      <c r="I2157">
        <v>2003</v>
      </c>
      <c r="J2157" t="s">
        <v>22</v>
      </c>
      <c r="K2157" t="s">
        <v>158</v>
      </c>
    </row>
    <row r="2158" spans="1:11">
      <c r="A2158" t="s">
        <v>159</v>
      </c>
      <c r="B2158">
        <v>10217</v>
      </c>
      <c r="C2158">
        <v>21</v>
      </c>
      <c r="D2158" s="21">
        <v>100</v>
      </c>
      <c r="E2158" s="22">
        <v>38021</v>
      </c>
      <c r="F2158" t="s">
        <v>13</v>
      </c>
      <c r="G2158" t="s">
        <v>187</v>
      </c>
      <c r="H2158">
        <v>1</v>
      </c>
      <c r="I2158">
        <v>2004</v>
      </c>
      <c r="J2158" t="s">
        <v>15</v>
      </c>
      <c r="K2158" t="s">
        <v>160</v>
      </c>
    </row>
    <row r="2159" spans="1:11">
      <c r="A2159" t="s">
        <v>103</v>
      </c>
      <c r="B2159">
        <v>10229</v>
      </c>
      <c r="C2159">
        <v>25</v>
      </c>
      <c r="D2159" s="21">
        <v>100</v>
      </c>
      <c r="E2159" s="22">
        <v>38057</v>
      </c>
      <c r="F2159" t="s">
        <v>13</v>
      </c>
      <c r="G2159" t="s">
        <v>187</v>
      </c>
      <c r="H2159">
        <v>1</v>
      </c>
      <c r="I2159">
        <v>2004</v>
      </c>
      <c r="J2159" t="s">
        <v>15</v>
      </c>
      <c r="K2159" t="s">
        <v>104</v>
      </c>
    </row>
    <row r="2160" spans="1:11">
      <c r="A2160" t="s">
        <v>93</v>
      </c>
      <c r="B2160">
        <v>10245</v>
      </c>
      <c r="C2160">
        <v>37</v>
      </c>
      <c r="D2160" s="21">
        <v>100</v>
      </c>
      <c r="E2160" s="22">
        <v>38111</v>
      </c>
      <c r="F2160" t="s">
        <v>13</v>
      </c>
      <c r="G2160" t="s">
        <v>187</v>
      </c>
      <c r="H2160">
        <v>2</v>
      </c>
      <c r="I2160">
        <v>2004</v>
      </c>
      <c r="J2160" t="s">
        <v>22</v>
      </c>
      <c r="K2160" t="s">
        <v>94</v>
      </c>
    </row>
    <row r="2161" spans="1:11">
      <c r="A2161" t="s">
        <v>159</v>
      </c>
      <c r="B2161">
        <v>10259</v>
      </c>
      <c r="C2161">
        <v>45</v>
      </c>
      <c r="D2161" s="21">
        <v>86.68</v>
      </c>
      <c r="E2161" s="22">
        <v>38153</v>
      </c>
      <c r="F2161" t="s">
        <v>13</v>
      </c>
      <c r="G2161" t="s">
        <v>187</v>
      </c>
      <c r="H2161">
        <v>2</v>
      </c>
      <c r="I2161">
        <v>2004</v>
      </c>
      <c r="J2161" t="s">
        <v>22</v>
      </c>
      <c r="K2161" t="s">
        <v>160</v>
      </c>
    </row>
    <row r="2162" spans="1:11">
      <c r="A2162" t="s">
        <v>63</v>
      </c>
      <c r="B2162">
        <v>10270</v>
      </c>
      <c r="C2162">
        <v>32</v>
      </c>
      <c r="D2162" s="21">
        <v>85.72</v>
      </c>
      <c r="E2162" s="22">
        <v>38187</v>
      </c>
      <c r="F2162" t="s">
        <v>13</v>
      </c>
      <c r="G2162" t="s">
        <v>187</v>
      </c>
      <c r="H2162">
        <v>3</v>
      </c>
      <c r="I2162">
        <v>2004</v>
      </c>
      <c r="J2162" t="s">
        <v>15</v>
      </c>
      <c r="K2162" t="s">
        <v>64</v>
      </c>
    </row>
    <row r="2163" spans="1:11">
      <c r="A2163" t="s">
        <v>58</v>
      </c>
      <c r="B2163">
        <v>10281</v>
      </c>
      <c r="C2163">
        <v>29</v>
      </c>
      <c r="D2163" s="21">
        <v>82.83</v>
      </c>
      <c r="E2163" s="22">
        <v>38218</v>
      </c>
      <c r="F2163" t="s">
        <v>13</v>
      </c>
      <c r="G2163" t="s">
        <v>187</v>
      </c>
      <c r="H2163">
        <v>3</v>
      </c>
      <c r="I2163">
        <v>2004</v>
      </c>
      <c r="J2163" t="s">
        <v>15</v>
      </c>
      <c r="K2163" t="s">
        <v>59</v>
      </c>
    </row>
    <row r="2164" spans="1:11">
      <c r="A2164" t="s">
        <v>99</v>
      </c>
      <c r="B2164">
        <v>10291</v>
      </c>
      <c r="C2164">
        <v>26</v>
      </c>
      <c r="D2164" s="21">
        <v>83.79</v>
      </c>
      <c r="E2164" s="22">
        <v>38238</v>
      </c>
      <c r="F2164" t="s">
        <v>13</v>
      </c>
      <c r="G2164" t="s">
        <v>187</v>
      </c>
      <c r="H2164">
        <v>3</v>
      </c>
      <c r="I2164">
        <v>2004</v>
      </c>
      <c r="J2164" t="s">
        <v>15</v>
      </c>
      <c r="K2164" t="s">
        <v>100</v>
      </c>
    </row>
    <row r="2165" spans="1:11">
      <c r="A2165" t="s">
        <v>52</v>
      </c>
      <c r="B2165">
        <v>10305</v>
      </c>
      <c r="C2165">
        <v>28</v>
      </c>
      <c r="D2165" s="21">
        <v>100</v>
      </c>
      <c r="E2165" s="22">
        <v>38273</v>
      </c>
      <c r="F2165" t="s">
        <v>13</v>
      </c>
      <c r="G2165" t="s">
        <v>187</v>
      </c>
      <c r="H2165">
        <v>4</v>
      </c>
      <c r="I2165">
        <v>2004</v>
      </c>
      <c r="J2165" t="s">
        <v>22</v>
      </c>
      <c r="K2165" t="s">
        <v>53</v>
      </c>
    </row>
    <row r="2166" spans="1:11">
      <c r="A2166" t="s">
        <v>87</v>
      </c>
      <c r="B2166">
        <v>10313</v>
      </c>
      <c r="C2166">
        <v>27</v>
      </c>
      <c r="D2166" s="21">
        <v>87.64</v>
      </c>
      <c r="E2166" s="22">
        <v>38282</v>
      </c>
      <c r="F2166" t="s">
        <v>13</v>
      </c>
      <c r="G2166" t="s">
        <v>187</v>
      </c>
      <c r="H2166">
        <v>4</v>
      </c>
      <c r="I2166">
        <v>2004</v>
      </c>
      <c r="J2166" t="s">
        <v>15</v>
      </c>
      <c r="K2166" t="s">
        <v>88</v>
      </c>
    </row>
    <row r="2167" spans="1:11">
      <c r="A2167" t="s">
        <v>44</v>
      </c>
      <c r="B2167">
        <v>10324</v>
      </c>
      <c r="C2167">
        <v>20</v>
      </c>
      <c r="D2167" s="21">
        <v>98.18</v>
      </c>
      <c r="E2167" s="22">
        <v>38296</v>
      </c>
      <c r="F2167" t="s">
        <v>13</v>
      </c>
      <c r="G2167" t="s">
        <v>187</v>
      </c>
      <c r="H2167">
        <v>4</v>
      </c>
      <c r="I2167">
        <v>2004</v>
      </c>
      <c r="J2167" t="s">
        <v>15</v>
      </c>
      <c r="K2167" t="s">
        <v>45</v>
      </c>
    </row>
    <row r="2168" spans="1:11">
      <c r="A2168" t="s">
        <v>103</v>
      </c>
      <c r="B2168">
        <v>10335</v>
      </c>
      <c r="C2168">
        <v>44</v>
      </c>
      <c r="D2168" s="21">
        <v>100</v>
      </c>
      <c r="E2168" s="22">
        <v>38310</v>
      </c>
      <c r="F2168" t="s">
        <v>13</v>
      </c>
      <c r="G2168" t="s">
        <v>187</v>
      </c>
      <c r="H2168">
        <v>4</v>
      </c>
      <c r="I2168">
        <v>2004</v>
      </c>
      <c r="J2168" t="s">
        <v>22</v>
      </c>
      <c r="K2168" t="s">
        <v>104</v>
      </c>
    </row>
    <row r="2169" spans="1:11">
      <c r="A2169" t="s">
        <v>75</v>
      </c>
      <c r="B2169">
        <v>10348</v>
      </c>
      <c r="C2169">
        <v>42</v>
      </c>
      <c r="D2169" s="21">
        <v>100</v>
      </c>
      <c r="E2169" s="22">
        <v>38292</v>
      </c>
      <c r="F2169" t="s">
        <v>13</v>
      </c>
      <c r="G2169" t="s">
        <v>187</v>
      </c>
      <c r="H2169">
        <v>4</v>
      </c>
      <c r="I2169">
        <v>2004</v>
      </c>
      <c r="J2169" t="s">
        <v>22</v>
      </c>
      <c r="K2169" t="s">
        <v>76</v>
      </c>
    </row>
    <row r="2170" spans="1:11">
      <c r="A2170" t="s">
        <v>69</v>
      </c>
      <c r="B2170">
        <v>10358</v>
      </c>
      <c r="C2170">
        <v>41</v>
      </c>
      <c r="D2170" s="21">
        <v>100</v>
      </c>
      <c r="E2170" s="22">
        <v>38331</v>
      </c>
      <c r="F2170" t="s">
        <v>13</v>
      </c>
      <c r="G2170" t="s">
        <v>187</v>
      </c>
      <c r="H2170">
        <v>4</v>
      </c>
      <c r="I2170">
        <v>2004</v>
      </c>
      <c r="J2170" t="s">
        <v>22</v>
      </c>
      <c r="K2170" t="s">
        <v>71</v>
      </c>
    </row>
    <row r="2171" spans="1:11">
      <c r="A2171" t="s">
        <v>103</v>
      </c>
      <c r="B2171">
        <v>10371</v>
      </c>
      <c r="C2171">
        <v>26</v>
      </c>
      <c r="D2171" s="21">
        <v>100</v>
      </c>
      <c r="E2171" s="22">
        <v>38375</v>
      </c>
      <c r="F2171" t="s">
        <v>13</v>
      </c>
      <c r="G2171" t="s">
        <v>187</v>
      </c>
      <c r="H2171">
        <v>1</v>
      </c>
      <c r="I2171">
        <v>2005</v>
      </c>
      <c r="J2171" t="s">
        <v>22</v>
      </c>
      <c r="K2171" t="s">
        <v>104</v>
      </c>
    </row>
    <row r="2172" spans="1:11">
      <c r="A2172" t="s">
        <v>103</v>
      </c>
      <c r="B2172">
        <v>10382</v>
      </c>
      <c r="C2172">
        <v>26</v>
      </c>
      <c r="D2172" s="21">
        <v>100</v>
      </c>
      <c r="E2172" s="22">
        <v>38400</v>
      </c>
      <c r="F2172" t="s">
        <v>13</v>
      </c>
      <c r="G2172" t="s">
        <v>187</v>
      </c>
      <c r="H2172">
        <v>1</v>
      </c>
      <c r="I2172">
        <v>2005</v>
      </c>
      <c r="J2172" t="s">
        <v>15</v>
      </c>
      <c r="K2172" t="s">
        <v>104</v>
      </c>
    </row>
    <row r="2173" spans="1:11">
      <c r="A2173" t="s">
        <v>111</v>
      </c>
      <c r="B2173">
        <v>10411</v>
      </c>
      <c r="C2173">
        <v>26</v>
      </c>
      <c r="D2173" s="21">
        <v>100</v>
      </c>
      <c r="E2173" s="22">
        <v>38473</v>
      </c>
      <c r="F2173" t="s">
        <v>13</v>
      </c>
      <c r="G2173" t="s">
        <v>187</v>
      </c>
      <c r="H2173">
        <v>2</v>
      </c>
      <c r="I2173">
        <v>2005</v>
      </c>
      <c r="J2173" t="s">
        <v>15</v>
      </c>
      <c r="K2173" t="s">
        <v>112</v>
      </c>
    </row>
    <row r="2174" spans="1:11">
      <c r="A2174" t="s">
        <v>50</v>
      </c>
      <c r="B2174">
        <v>10425</v>
      </c>
      <c r="C2174">
        <v>41</v>
      </c>
      <c r="D2174" s="21">
        <v>86.68</v>
      </c>
      <c r="E2174" s="22">
        <v>38503</v>
      </c>
      <c r="F2174" t="s">
        <v>113</v>
      </c>
      <c r="G2174" t="s">
        <v>187</v>
      </c>
      <c r="H2174">
        <v>2</v>
      </c>
      <c r="I2174">
        <v>2005</v>
      </c>
      <c r="J2174" t="s">
        <v>22</v>
      </c>
      <c r="K2174" t="s">
        <v>51</v>
      </c>
    </row>
    <row r="2175" spans="1:11">
      <c r="A2175" t="s">
        <v>12</v>
      </c>
      <c r="B2175">
        <v>10107</v>
      </c>
      <c r="C2175">
        <v>20</v>
      </c>
      <c r="D2175" s="21">
        <v>92.9</v>
      </c>
      <c r="E2175" s="22">
        <v>37676</v>
      </c>
      <c r="F2175" t="s">
        <v>13</v>
      </c>
      <c r="G2175" t="s">
        <v>14</v>
      </c>
      <c r="H2175">
        <v>1</v>
      </c>
      <c r="I2175">
        <v>2003</v>
      </c>
      <c r="J2175" t="s">
        <v>15</v>
      </c>
      <c r="K2175" t="s">
        <v>16</v>
      </c>
    </row>
    <row r="2176" spans="1:11">
      <c r="A2176" t="s">
        <v>42</v>
      </c>
      <c r="B2176">
        <v>10120</v>
      </c>
      <c r="C2176">
        <v>22</v>
      </c>
      <c r="D2176" s="21">
        <v>100</v>
      </c>
      <c r="E2176" s="22">
        <v>37740</v>
      </c>
      <c r="F2176" t="s">
        <v>13</v>
      </c>
      <c r="G2176" t="s">
        <v>14</v>
      </c>
      <c r="H2176">
        <v>2</v>
      </c>
      <c r="I2176">
        <v>2003</v>
      </c>
      <c r="J2176" t="s">
        <v>15</v>
      </c>
      <c r="K2176" t="s">
        <v>43</v>
      </c>
    </row>
    <row r="2177" spans="1:11">
      <c r="A2177" t="s">
        <v>69</v>
      </c>
      <c r="B2177">
        <v>10133</v>
      </c>
      <c r="C2177">
        <v>23</v>
      </c>
      <c r="D2177" s="21">
        <v>100</v>
      </c>
      <c r="E2177" s="22">
        <v>37799</v>
      </c>
      <c r="F2177" t="s">
        <v>13</v>
      </c>
      <c r="G2177" t="s">
        <v>14</v>
      </c>
      <c r="H2177">
        <v>2</v>
      </c>
      <c r="I2177">
        <v>2003</v>
      </c>
      <c r="J2177" t="s">
        <v>15</v>
      </c>
      <c r="K2177" t="s">
        <v>71</v>
      </c>
    </row>
    <row r="2178" spans="1:11">
      <c r="A2178" t="s">
        <v>25</v>
      </c>
      <c r="B2178">
        <v>10145</v>
      </c>
      <c r="C2178">
        <v>33</v>
      </c>
      <c r="D2178" s="21">
        <v>93.9</v>
      </c>
      <c r="E2178" s="22">
        <v>37858</v>
      </c>
      <c r="F2178" t="s">
        <v>13</v>
      </c>
      <c r="G2178" t="s">
        <v>14</v>
      </c>
      <c r="H2178">
        <v>3</v>
      </c>
      <c r="I2178">
        <v>2003</v>
      </c>
      <c r="J2178" t="s">
        <v>22</v>
      </c>
      <c r="K2178" t="s">
        <v>26</v>
      </c>
    </row>
    <row r="2179" spans="1:11">
      <c r="A2179" t="s">
        <v>31</v>
      </c>
      <c r="B2179">
        <v>10168</v>
      </c>
      <c r="C2179">
        <v>28</v>
      </c>
      <c r="D2179" s="21">
        <v>100</v>
      </c>
      <c r="E2179" s="22">
        <v>37922</v>
      </c>
      <c r="F2179" t="s">
        <v>13</v>
      </c>
      <c r="G2179" t="s">
        <v>14</v>
      </c>
      <c r="H2179">
        <v>4</v>
      </c>
      <c r="I2179">
        <v>2003</v>
      </c>
      <c r="J2179" t="s">
        <v>22</v>
      </c>
      <c r="K2179" t="s">
        <v>32</v>
      </c>
    </row>
    <row r="2180" spans="1:11">
      <c r="A2180" t="s">
        <v>36</v>
      </c>
      <c r="B2180">
        <v>10188</v>
      </c>
      <c r="C2180">
        <v>44</v>
      </c>
      <c r="D2180" s="21">
        <v>98.89</v>
      </c>
      <c r="E2180" s="22">
        <v>37943</v>
      </c>
      <c r="F2180" t="s">
        <v>13</v>
      </c>
      <c r="G2180" t="s">
        <v>14</v>
      </c>
      <c r="H2180">
        <v>4</v>
      </c>
      <c r="I2180">
        <v>2003</v>
      </c>
      <c r="J2180" t="s">
        <v>22</v>
      </c>
      <c r="K2180" t="s">
        <v>37</v>
      </c>
    </row>
    <row r="2181" spans="1:11">
      <c r="A2181" t="s">
        <v>114</v>
      </c>
      <c r="B2181">
        <v>10210</v>
      </c>
      <c r="C2181">
        <v>46</v>
      </c>
      <c r="D2181" s="21">
        <v>79.91</v>
      </c>
      <c r="E2181" s="22">
        <v>37998</v>
      </c>
      <c r="F2181" t="s">
        <v>13</v>
      </c>
      <c r="G2181" t="s">
        <v>14</v>
      </c>
      <c r="H2181">
        <v>1</v>
      </c>
      <c r="I2181">
        <v>2004</v>
      </c>
      <c r="J2181" t="s">
        <v>22</v>
      </c>
      <c r="K2181" t="s">
        <v>115</v>
      </c>
    </row>
    <row r="2182" spans="1:11">
      <c r="A2182" t="s">
        <v>42</v>
      </c>
      <c r="B2182">
        <v>10223</v>
      </c>
      <c r="C2182">
        <v>21</v>
      </c>
      <c r="D2182" s="21">
        <v>100</v>
      </c>
      <c r="E2182" s="22">
        <v>38037</v>
      </c>
      <c r="F2182" t="s">
        <v>13</v>
      </c>
      <c r="G2182" t="s">
        <v>14</v>
      </c>
      <c r="H2182">
        <v>1</v>
      </c>
      <c r="I2182">
        <v>2004</v>
      </c>
      <c r="J2182" t="s">
        <v>15</v>
      </c>
      <c r="K2182" t="s">
        <v>43</v>
      </c>
    </row>
    <row r="2183" spans="1:11">
      <c r="A2183" t="s">
        <v>141</v>
      </c>
      <c r="B2183">
        <v>10235</v>
      </c>
      <c r="C2183">
        <v>41</v>
      </c>
      <c r="D2183" s="21">
        <v>100</v>
      </c>
      <c r="E2183" s="22">
        <v>38079</v>
      </c>
      <c r="F2183" t="s">
        <v>13</v>
      </c>
      <c r="G2183" t="s">
        <v>14</v>
      </c>
      <c r="H2183">
        <v>2</v>
      </c>
      <c r="I2183">
        <v>2004</v>
      </c>
      <c r="J2183" t="s">
        <v>22</v>
      </c>
      <c r="K2183" t="s">
        <v>142</v>
      </c>
    </row>
    <row r="2184" spans="1:11">
      <c r="A2184" t="s">
        <v>149</v>
      </c>
      <c r="B2184">
        <v>10250</v>
      </c>
      <c r="C2184">
        <v>31</v>
      </c>
      <c r="D2184" s="21">
        <v>100</v>
      </c>
      <c r="E2184" s="22">
        <v>38118</v>
      </c>
      <c r="F2184" t="s">
        <v>13</v>
      </c>
      <c r="G2184" t="s">
        <v>14</v>
      </c>
      <c r="H2184">
        <v>2</v>
      </c>
      <c r="I2184">
        <v>2004</v>
      </c>
      <c r="J2184" t="s">
        <v>22</v>
      </c>
      <c r="K2184" t="s">
        <v>150</v>
      </c>
    </row>
    <row r="2185" spans="1:11">
      <c r="A2185" t="s">
        <v>48</v>
      </c>
      <c r="B2185">
        <v>10263</v>
      </c>
      <c r="C2185">
        <v>31</v>
      </c>
      <c r="D2185" s="21">
        <v>79.91</v>
      </c>
      <c r="E2185" s="22">
        <v>38166</v>
      </c>
      <c r="F2185" t="s">
        <v>13</v>
      </c>
      <c r="G2185" t="s">
        <v>14</v>
      </c>
      <c r="H2185">
        <v>2</v>
      </c>
      <c r="I2185">
        <v>2004</v>
      </c>
      <c r="J2185" t="s">
        <v>15</v>
      </c>
      <c r="K2185" t="s">
        <v>49</v>
      </c>
    </row>
    <row r="2186" spans="1:11">
      <c r="A2186" t="s">
        <v>50</v>
      </c>
      <c r="B2186">
        <v>10275</v>
      </c>
      <c r="C2186">
        <v>23</v>
      </c>
      <c r="D2186" s="21">
        <v>81.91</v>
      </c>
      <c r="E2186" s="22">
        <v>38191</v>
      </c>
      <c r="F2186" t="s">
        <v>13</v>
      </c>
      <c r="G2186" t="s">
        <v>14</v>
      </c>
      <c r="H2186">
        <v>3</v>
      </c>
      <c r="I2186">
        <v>2004</v>
      </c>
      <c r="J2186" t="s">
        <v>15</v>
      </c>
      <c r="K2186" t="s">
        <v>51</v>
      </c>
    </row>
    <row r="2187" spans="1:11">
      <c r="A2187" t="s">
        <v>52</v>
      </c>
      <c r="B2187">
        <v>10285</v>
      </c>
      <c r="C2187">
        <v>37</v>
      </c>
      <c r="D2187" s="21">
        <v>98.89</v>
      </c>
      <c r="E2187" s="22">
        <v>38226</v>
      </c>
      <c r="F2187" t="s">
        <v>13</v>
      </c>
      <c r="G2187" t="s">
        <v>14</v>
      </c>
      <c r="H2187">
        <v>3</v>
      </c>
      <c r="I2187">
        <v>2004</v>
      </c>
      <c r="J2187" t="s">
        <v>22</v>
      </c>
      <c r="K2187" t="s">
        <v>53</v>
      </c>
    </row>
    <row r="2188" spans="1:11">
      <c r="A2188" t="s">
        <v>179</v>
      </c>
      <c r="B2188">
        <v>10297</v>
      </c>
      <c r="C2188">
        <v>26</v>
      </c>
      <c r="D2188" s="21">
        <v>100</v>
      </c>
      <c r="E2188" s="22">
        <v>38246</v>
      </c>
      <c r="F2188" t="s">
        <v>13</v>
      </c>
      <c r="G2188" t="s">
        <v>14</v>
      </c>
      <c r="H2188">
        <v>3</v>
      </c>
      <c r="I2188">
        <v>2004</v>
      </c>
      <c r="J2188" t="s">
        <v>15</v>
      </c>
      <c r="K2188" t="s">
        <v>180</v>
      </c>
    </row>
    <row r="2189" spans="1:11">
      <c r="A2189" t="s">
        <v>120</v>
      </c>
      <c r="B2189">
        <v>10308</v>
      </c>
      <c r="C2189">
        <v>24</v>
      </c>
      <c r="D2189" s="21">
        <v>79.91</v>
      </c>
      <c r="E2189" s="22">
        <v>38275</v>
      </c>
      <c r="F2189" t="s">
        <v>13</v>
      </c>
      <c r="G2189" t="s">
        <v>14</v>
      </c>
      <c r="H2189">
        <v>4</v>
      </c>
      <c r="I2189">
        <v>2004</v>
      </c>
      <c r="J2189" t="s">
        <v>15</v>
      </c>
      <c r="K2189" t="s">
        <v>121</v>
      </c>
    </row>
    <row r="2190" spans="1:11">
      <c r="A2190" t="s">
        <v>58</v>
      </c>
      <c r="B2190">
        <v>10318</v>
      </c>
      <c r="C2190">
        <v>47</v>
      </c>
      <c r="D2190" s="21">
        <v>100</v>
      </c>
      <c r="E2190" s="22">
        <v>38293</v>
      </c>
      <c r="F2190" t="s">
        <v>13</v>
      </c>
      <c r="G2190" t="s">
        <v>14</v>
      </c>
      <c r="H2190">
        <v>4</v>
      </c>
      <c r="I2190">
        <v>2004</v>
      </c>
      <c r="J2190" t="s">
        <v>22</v>
      </c>
      <c r="K2190" t="s">
        <v>59</v>
      </c>
    </row>
    <row r="2191" spans="1:11">
      <c r="A2191" t="s">
        <v>12</v>
      </c>
      <c r="B2191">
        <v>10329</v>
      </c>
      <c r="C2191">
        <v>45</v>
      </c>
      <c r="D2191" s="21">
        <v>63.91</v>
      </c>
      <c r="E2191" s="22">
        <v>38306</v>
      </c>
      <c r="F2191" t="s">
        <v>13</v>
      </c>
      <c r="G2191" t="s">
        <v>14</v>
      </c>
      <c r="H2191">
        <v>4</v>
      </c>
      <c r="I2191">
        <v>2004</v>
      </c>
      <c r="J2191" t="s">
        <v>15</v>
      </c>
      <c r="K2191" t="s">
        <v>16</v>
      </c>
    </row>
    <row r="2192" spans="1:11">
      <c r="A2192" t="s">
        <v>133</v>
      </c>
      <c r="B2192">
        <v>10340</v>
      </c>
      <c r="C2192">
        <v>55</v>
      </c>
      <c r="D2192" s="21">
        <v>100</v>
      </c>
      <c r="E2192" s="22">
        <v>38315</v>
      </c>
      <c r="F2192" t="s">
        <v>13</v>
      </c>
      <c r="G2192" t="s">
        <v>14</v>
      </c>
      <c r="H2192">
        <v>4</v>
      </c>
      <c r="I2192">
        <v>2004</v>
      </c>
      <c r="J2192" t="s">
        <v>22</v>
      </c>
      <c r="K2192" t="s">
        <v>134</v>
      </c>
    </row>
    <row r="2193" spans="1:11">
      <c r="A2193" t="s">
        <v>208</v>
      </c>
      <c r="B2193">
        <v>10353</v>
      </c>
      <c r="C2193">
        <v>46</v>
      </c>
      <c r="D2193" s="21">
        <v>81.17</v>
      </c>
      <c r="E2193" s="22">
        <v>38325</v>
      </c>
      <c r="F2193" t="s">
        <v>13</v>
      </c>
      <c r="G2193" t="s">
        <v>14</v>
      </c>
      <c r="H2193">
        <v>4</v>
      </c>
      <c r="I2193">
        <v>2004</v>
      </c>
      <c r="J2193" t="s">
        <v>22</v>
      </c>
      <c r="K2193" t="s">
        <v>209</v>
      </c>
    </row>
    <row r="2194" spans="1:11">
      <c r="A2194" t="s">
        <v>175</v>
      </c>
      <c r="B2194">
        <v>10363</v>
      </c>
      <c r="C2194">
        <v>50</v>
      </c>
      <c r="D2194" s="21">
        <v>100</v>
      </c>
      <c r="E2194" s="22">
        <v>38358</v>
      </c>
      <c r="F2194" t="s">
        <v>13</v>
      </c>
      <c r="G2194" t="s">
        <v>14</v>
      </c>
      <c r="H2194">
        <v>1</v>
      </c>
      <c r="I2194">
        <v>2005</v>
      </c>
      <c r="J2194" t="s">
        <v>22</v>
      </c>
      <c r="K2194" t="s">
        <v>176</v>
      </c>
    </row>
    <row r="2195" spans="1:11">
      <c r="A2195" t="s">
        <v>50</v>
      </c>
      <c r="B2195">
        <v>10375</v>
      </c>
      <c r="C2195">
        <v>37</v>
      </c>
      <c r="D2195" s="21">
        <v>100</v>
      </c>
      <c r="E2195" s="22">
        <v>38386</v>
      </c>
      <c r="F2195" t="s">
        <v>13</v>
      </c>
      <c r="G2195" t="s">
        <v>14</v>
      </c>
      <c r="H2195">
        <v>1</v>
      </c>
      <c r="I2195">
        <v>2005</v>
      </c>
      <c r="J2195" t="s">
        <v>22</v>
      </c>
      <c r="K2195" t="s">
        <v>51</v>
      </c>
    </row>
    <row r="2196" spans="1:11">
      <c r="A2196" t="s">
        <v>77</v>
      </c>
      <c r="B2196">
        <v>10387</v>
      </c>
      <c r="C2196">
        <v>44</v>
      </c>
      <c r="D2196" s="21">
        <v>94.9</v>
      </c>
      <c r="E2196" s="22">
        <v>38413</v>
      </c>
      <c r="F2196" t="s">
        <v>13</v>
      </c>
      <c r="G2196" t="s">
        <v>14</v>
      </c>
      <c r="H2196">
        <v>1</v>
      </c>
      <c r="I2196">
        <v>2005</v>
      </c>
      <c r="J2196" t="s">
        <v>22</v>
      </c>
      <c r="K2196" t="s">
        <v>78</v>
      </c>
    </row>
    <row r="2197" spans="1:11">
      <c r="A2197" t="s">
        <v>46</v>
      </c>
      <c r="B2197">
        <v>10401</v>
      </c>
      <c r="C2197">
        <v>49</v>
      </c>
      <c r="D2197" s="21">
        <v>100</v>
      </c>
      <c r="E2197" s="22">
        <v>38445</v>
      </c>
      <c r="F2197" t="s">
        <v>151</v>
      </c>
      <c r="G2197" t="s">
        <v>14</v>
      </c>
      <c r="H2197">
        <v>2</v>
      </c>
      <c r="I2197">
        <v>2005</v>
      </c>
      <c r="J2197" t="s">
        <v>22</v>
      </c>
      <c r="K2197" t="s">
        <v>47</v>
      </c>
    </row>
    <row r="2198" spans="1:11">
      <c r="A2198" t="s">
        <v>169</v>
      </c>
      <c r="B2198">
        <v>10416</v>
      </c>
      <c r="C2198">
        <v>45</v>
      </c>
      <c r="D2198" s="21">
        <v>100</v>
      </c>
      <c r="E2198" s="22">
        <v>38482</v>
      </c>
      <c r="F2198" t="s">
        <v>13</v>
      </c>
      <c r="G2198" t="s">
        <v>14</v>
      </c>
      <c r="H2198">
        <v>2</v>
      </c>
      <c r="I2198">
        <v>2005</v>
      </c>
      <c r="J2198" t="s">
        <v>22</v>
      </c>
      <c r="K2198" t="s">
        <v>170</v>
      </c>
    </row>
    <row r="2199" spans="1:11">
      <c r="A2199" t="s">
        <v>161</v>
      </c>
      <c r="B2199">
        <v>10108</v>
      </c>
      <c r="C2199">
        <v>27</v>
      </c>
      <c r="D2199" s="21">
        <v>43.45</v>
      </c>
      <c r="E2199" s="22">
        <v>37683</v>
      </c>
      <c r="F2199" t="s">
        <v>13</v>
      </c>
      <c r="G2199" t="s">
        <v>14</v>
      </c>
      <c r="H2199">
        <v>1</v>
      </c>
      <c r="I2199">
        <v>2003</v>
      </c>
      <c r="J2199" t="s">
        <v>15</v>
      </c>
      <c r="K2199" t="s">
        <v>162</v>
      </c>
    </row>
    <row r="2200" spans="1:11">
      <c r="A2200" t="s">
        <v>163</v>
      </c>
      <c r="B2200">
        <v>10122</v>
      </c>
      <c r="C2200">
        <v>31</v>
      </c>
      <c r="D2200" s="21">
        <v>44.66</v>
      </c>
      <c r="E2200" s="22">
        <v>37749</v>
      </c>
      <c r="F2200" t="s">
        <v>13</v>
      </c>
      <c r="G2200" t="s">
        <v>14</v>
      </c>
      <c r="H2200">
        <v>2</v>
      </c>
      <c r="I2200">
        <v>2003</v>
      </c>
      <c r="J2200" t="s">
        <v>15</v>
      </c>
      <c r="K2200" t="s">
        <v>164</v>
      </c>
    </row>
    <row r="2201" spans="1:11">
      <c r="A2201" t="s">
        <v>103</v>
      </c>
      <c r="B2201">
        <v>10135</v>
      </c>
      <c r="C2201">
        <v>33</v>
      </c>
      <c r="D2201" s="21">
        <v>40.23</v>
      </c>
      <c r="E2201" s="22">
        <v>37804</v>
      </c>
      <c r="F2201" t="s">
        <v>13</v>
      </c>
      <c r="G2201" t="s">
        <v>14</v>
      </c>
      <c r="H2201">
        <v>3</v>
      </c>
      <c r="I2201">
        <v>2003</v>
      </c>
      <c r="J2201" t="s">
        <v>15</v>
      </c>
      <c r="K2201" t="s">
        <v>104</v>
      </c>
    </row>
    <row r="2202" spans="1:11">
      <c r="A2202" t="s">
        <v>25</v>
      </c>
      <c r="B2202">
        <v>10145</v>
      </c>
      <c r="C2202">
        <v>31</v>
      </c>
      <c r="D2202" s="21">
        <v>35.8</v>
      </c>
      <c r="E2202" s="22">
        <v>37858</v>
      </c>
      <c r="F2202" t="s">
        <v>13</v>
      </c>
      <c r="G2202" t="s">
        <v>14</v>
      </c>
      <c r="H2202">
        <v>3</v>
      </c>
      <c r="I2202">
        <v>2003</v>
      </c>
      <c r="J2202" t="s">
        <v>15</v>
      </c>
      <c r="K2202" t="s">
        <v>26</v>
      </c>
    </row>
    <row r="2203" spans="1:11">
      <c r="A2203" t="s">
        <v>28</v>
      </c>
      <c r="B2203">
        <v>10159</v>
      </c>
      <c r="C2203">
        <v>35</v>
      </c>
      <c r="D2203" s="21">
        <v>35.4</v>
      </c>
      <c r="E2203" s="22">
        <v>37904</v>
      </c>
      <c r="F2203" t="s">
        <v>13</v>
      </c>
      <c r="G2203" t="s">
        <v>14</v>
      </c>
      <c r="H2203">
        <v>4</v>
      </c>
      <c r="I2203">
        <v>2003</v>
      </c>
      <c r="J2203" t="s">
        <v>15</v>
      </c>
      <c r="K2203" t="s">
        <v>29</v>
      </c>
    </row>
    <row r="2204" spans="1:11">
      <c r="A2204" t="s">
        <v>109</v>
      </c>
      <c r="B2204">
        <v>10169</v>
      </c>
      <c r="C2204">
        <v>26</v>
      </c>
      <c r="D2204" s="21">
        <v>39.83</v>
      </c>
      <c r="E2204" s="22">
        <v>37929</v>
      </c>
      <c r="F2204" t="s">
        <v>13</v>
      </c>
      <c r="G2204" t="s">
        <v>14</v>
      </c>
      <c r="H2204">
        <v>4</v>
      </c>
      <c r="I2204">
        <v>2003</v>
      </c>
      <c r="J2204" t="s">
        <v>15</v>
      </c>
      <c r="K2204" t="s">
        <v>110</v>
      </c>
    </row>
    <row r="2205" spans="1:11">
      <c r="A2205" t="s">
        <v>34</v>
      </c>
      <c r="B2205">
        <v>10180</v>
      </c>
      <c r="C2205">
        <v>34</v>
      </c>
      <c r="D2205" s="21">
        <v>45.46</v>
      </c>
      <c r="E2205" s="22">
        <v>37936</v>
      </c>
      <c r="F2205" t="s">
        <v>13</v>
      </c>
      <c r="G2205" t="s">
        <v>14</v>
      </c>
      <c r="H2205">
        <v>4</v>
      </c>
      <c r="I2205">
        <v>2003</v>
      </c>
      <c r="J2205" t="s">
        <v>15</v>
      </c>
      <c r="K2205" t="s">
        <v>35</v>
      </c>
    </row>
    <row r="2206" spans="1:11">
      <c r="A2206" t="s">
        <v>69</v>
      </c>
      <c r="B2206">
        <v>10190</v>
      </c>
      <c r="C2206">
        <v>46</v>
      </c>
      <c r="D2206" s="21">
        <v>32.99</v>
      </c>
      <c r="E2206" s="22">
        <v>37944</v>
      </c>
      <c r="F2206" t="s">
        <v>13</v>
      </c>
      <c r="G2206" t="s">
        <v>14</v>
      </c>
      <c r="H2206">
        <v>4</v>
      </c>
      <c r="I2206">
        <v>2003</v>
      </c>
      <c r="J2206" t="s">
        <v>15</v>
      </c>
      <c r="K2206" t="s">
        <v>71</v>
      </c>
    </row>
    <row r="2207" spans="1:11">
      <c r="A2207" t="s">
        <v>40</v>
      </c>
      <c r="B2207">
        <v>10211</v>
      </c>
      <c r="C2207">
        <v>41</v>
      </c>
      <c r="D2207" s="21">
        <v>42.24</v>
      </c>
      <c r="E2207" s="22">
        <v>38001</v>
      </c>
      <c r="F2207" t="s">
        <v>13</v>
      </c>
      <c r="G2207" t="s">
        <v>14</v>
      </c>
      <c r="H2207">
        <v>1</v>
      </c>
      <c r="I2207">
        <v>2004</v>
      </c>
      <c r="J2207" t="s">
        <v>15</v>
      </c>
      <c r="K2207" t="s">
        <v>41</v>
      </c>
    </row>
    <row r="2208" spans="1:11">
      <c r="A2208" t="s">
        <v>34</v>
      </c>
      <c r="B2208">
        <v>10224</v>
      </c>
      <c r="C2208">
        <v>43</v>
      </c>
      <c r="D2208" s="21">
        <v>39.43</v>
      </c>
      <c r="E2208" s="22">
        <v>38038</v>
      </c>
      <c r="F2208" t="s">
        <v>13</v>
      </c>
      <c r="G2208" t="s">
        <v>14</v>
      </c>
      <c r="H2208">
        <v>1</v>
      </c>
      <c r="I2208">
        <v>2004</v>
      </c>
      <c r="J2208" t="s">
        <v>15</v>
      </c>
      <c r="K2208" t="s">
        <v>35</v>
      </c>
    </row>
    <row r="2209" spans="1:11">
      <c r="A2209" t="s">
        <v>44</v>
      </c>
      <c r="B2209">
        <v>10237</v>
      </c>
      <c r="C2209">
        <v>26</v>
      </c>
      <c r="D2209" s="21">
        <v>40.23</v>
      </c>
      <c r="E2209" s="22">
        <v>38082</v>
      </c>
      <c r="F2209" t="s">
        <v>13</v>
      </c>
      <c r="G2209" t="s">
        <v>14</v>
      </c>
      <c r="H2209">
        <v>2</v>
      </c>
      <c r="I2209">
        <v>2004</v>
      </c>
      <c r="J2209" t="s">
        <v>15</v>
      </c>
      <c r="K2209" t="s">
        <v>45</v>
      </c>
    </row>
    <row r="2210" spans="1:11">
      <c r="A2210" t="s">
        <v>40</v>
      </c>
      <c r="B2210">
        <v>10252</v>
      </c>
      <c r="C2210">
        <v>36</v>
      </c>
      <c r="D2210" s="21">
        <v>48.28</v>
      </c>
      <c r="E2210" s="22">
        <v>38133</v>
      </c>
      <c r="F2210" t="s">
        <v>13</v>
      </c>
      <c r="G2210" t="s">
        <v>14</v>
      </c>
      <c r="H2210">
        <v>2</v>
      </c>
      <c r="I2210">
        <v>2004</v>
      </c>
      <c r="J2210" t="s">
        <v>15</v>
      </c>
      <c r="K2210" t="s">
        <v>41</v>
      </c>
    </row>
    <row r="2211" spans="1:11">
      <c r="A2211" t="s">
        <v>143</v>
      </c>
      <c r="B2211">
        <v>10264</v>
      </c>
      <c r="C2211">
        <v>20</v>
      </c>
      <c r="D2211" s="21">
        <v>32.59</v>
      </c>
      <c r="E2211" s="22">
        <v>38168</v>
      </c>
      <c r="F2211" t="s">
        <v>13</v>
      </c>
      <c r="G2211" t="s">
        <v>14</v>
      </c>
      <c r="H2211">
        <v>2</v>
      </c>
      <c r="I2211">
        <v>2004</v>
      </c>
      <c r="J2211" t="s">
        <v>15</v>
      </c>
      <c r="K2211" t="s">
        <v>144</v>
      </c>
    </row>
    <row r="2212" spans="1:11">
      <c r="A2212" t="s">
        <v>171</v>
      </c>
      <c r="B2212">
        <v>10276</v>
      </c>
      <c r="C2212">
        <v>27</v>
      </c>
      <c r="D2212" s="21">
        <v>36.61</v>
      </c>
      <c r="E2212" s="22">
        <v>38201</v>
      </c>
      <c r="F2212" t="s">
        <v>13</v>
      </c>
      <c r="G2212" t="s">
        <v>14</v>
      </c>
      <c r="H2212">
        <v>3</v>
      </c>
      <c r="I2212">
        <v>2004</v>
      </c>
      <c r="J2212" t="s">
        <v>15</v>
      </c>
      <c r="K2212" t="s">
        <v>172</v>
      </c>
    </row>
    <row r="2213" spans="1:11">
      <c r="A2213" t="s">
        <v>52</v>
      </c>
      <c r="B2213">
        <v>10285</v>
      </c>
      <c r="C2213">
        <v>37</v>
      </c>
      <c r="D2213" s="21">
        <v>41.03</v>
      </c>
      <c r="E2213" s="22">
        <v>38226</v>
      </c>
      <c r="F2213" t="s">
        <v>13</v>
      </c>
      <c r="G2213" t="s">
        <v>14</v>
      </c>
      <c r="H2213">
        <v>3</v>
      </c>
      <c r="I2213">
        <v>2004</v>
      </c>
      <c r="J2213" t="s">
        <v>15</v>
      </c>
      <c r="K2213" t="s">
        <v>53</v>
      </c>
    </row>
    <row r="2214" spans="1:11">
      <c r="A2214" t="s">
        <v>54</v>
      </c>
      <c r="B2214">
        <v>10299</v>
      </c>
      <c r="C2214">
        <v>24</v>
      </c>
      <c r="D2214" s="21">
        <v>42.24</v>
      </c>
      <c r="E2214" s="22">
        <v>38260</v>
      </c>
      <c r="F2214" t="s">
        <v>13</v>
      </c>
      <c r="G2214" t="s">
        <v>14</v>
      </c>
      <c r="H2214">
        <v>3</v>
      </c>
      <c r="I2214">
        <v>2004</v>
      </c>
      <c r="J2214" t="s">
        <v>15</v>
      </c>
      <c r="K2214" t="s">
        <v>55</v>
      </c>
    </row>
    <row r="2215" spans="1:11">
      <c r="A2215" t="s">
        <v>165</v>
      </c>
      <c r="B2215">
        <v>10310</v>
      </c>
      <c r="C2215">
        <v>36</v>
      </c>
      <c r="D2215" s="21">
        <v>43.05</v>
      </c>
      <c r="E2215" s="22">
        <v>38276</v>
      </c>
      <c r="F2215" t="s">
        <v>13</v>
      </c>
      <c r="G2215" t="s">
        <v>14</v>
      </c>
      <c r="H2215">
        <v>4</v>
      </c>
      <c r="I2215">
        <v>2004</v>
      </c>
      <c r="J2215" t="s">
        <v>15</v>
      </c>
      <c r="K2215" t="s">
        <v>166</v>
      </c>
    </row>
    <row r="2216" spans="1:11">
      <c r="A2216" t="s">
        <v>188</v>
      </c>
      <c r="B2216">
        <v>10319</v>
      </c>
      <c r="C2216">
        <v>29</v>
      </c>
      <c r="D2216" s="21">
        <v>38.22</v>
      </c>
      <c r="E2216" s="22">
        <v>38294</v>
      </c>
      <c r="F2216" t="s">
        <v>13</v>
      </c>
      <c r="G2216" t="s">
        <v>14</v>
      </c>
      <c r="H2216">
        <v>4</v>
      </c>
      <c r="I2216">
        <v>2004</v>
      </c>
      <c r="J2216" t="s">
        <v>15</v>
      </c>
      <c r="K2216" t="s">
        <v>189</v>
      </c>
    </row>
    <row r="2217" spans="1:11">
      <c r="A2217" t="s">
        <v>116</v>
      </c>
      <c r="B2217">
        <v>10331</v>
      </c>
      <c r="C2217">
        <v>28</v>
      </c>
      <c r="D2217" s="21">
        <v>100</v>
      </c>
      <c r="E2217" s="22">
        <v>38308</v>
      </c>
      <c r="F2217" t="s">
        <v>13</v>
      </c>
      <c r="G2217" t="s">
        <v>14</v>
      </c>
      <c r="H2217">
        <v>4</v>
      </c>
      <c r="I2217">
        <v>2004</v>
      </c>
      <c r="J2217" t="s">
        <v>22</v>
      </c>
      <c r="K2217" t="s">
        <v>117</v>
      </c>
    </row>
    <row r="2218" spans="1:11">
      <c r="A2218" t="s">
        <v>18</v>
      </c>
      <c r="B2218">
        <v>10343</v>
      </c>
      <c r="C2218">
        <v>29</v>
      </c>
      <c r="D2218" s="21">
        <v>100</v>
      </c>
      <c r="E2218" s="22">
        <v>38315</v>
      </c>
      <c r="F2218" t="s">
        <v>13</v>
      </c>
      <c r="G2218" t="s">
        <v>14</v>
      </c>
      <c r="H2218">
        <v>4</v>
      </c>
      <c r="I2218">
        <v>2004</v>
      </c>
      <c r="J2218" t="s">
        <v>22</v>
      </c>
      <c r="K2218" t="s">
        <v>19</v>
      </c>
    </row>
    <row r="2219" spans="1:11">
      <c r="A2219" t="s">
        <v>69</v>
      </c>
      <c r="B2219">
        <v>10355</v>
      </c>
      <c r="C2219">
        <v>38</v>
      </c>
      <c r="D2219" s="21">
        <v>39.83</v>
      </c>
      <c r="E2219" s="22">
        <v>38328</v>
      </c>
      <c r="F2219" t="s">
        <v>13</v>
      </c>
      <c r="G2219" t="s">
        <v>14</v>
      </c>
      <c r="H2219">
        <v>4</v>
      </c>
      <c r="I2219">
        <v>2004</v>
      </c>
      <c r="J2219" t="s">
        <v>15</v>
      </c>
      <c r="K2219" t="s">
        <v>71</v>
      </c>
    </row>
    <row r="2220" spans="1:11">
      <c r="A2220" t="s">
        <v>163</v>
      </c>
      <c r="B2220">
        <v>10364</v>
      </c>
      <c r="C2220">
        <v>48</v>
      </c>
      <c r="D2220" s="21">
        <v>48.28</v>
      </c>
      <c r="E2220" s="22">
        <v>38358</v>
      </c>
      <c r="F2220" t="s">
        <v>13</v>
      </c>
      <c r="G2220" t="s">
        <v>14</v>
      </c>
      <c r="H2220">
        <v>1</v>
      </c>
      <c r="I2220">
        <v>2005</v>
      </c>
      <c r="J2220" t="s">
        <v>15</v>
      </c>
      <c r="K2220" t="s">
        <v>164</v>
      </c>
    </row>
    <row r="2221" spans="1:11">
      <c r="A2221" t="s">
        <v>69</v>
      </c>
      <c r="B2221">
        <v>10378</v>
      </c>
      <c r="C2221">
        <v>40</v>
      </c>
      <c r="D2221" s="21">
        <v>82.46</v>
      </c>
      <c r="E2221" s="22">
        <v>38393</v>
      </c>
      <c r="F2221" t="s">
        <v>13</v>
      </c>
      <c r="G2221" t="s">
        <v>14</v>
      </c>
      <c r="H2221">
        <v>1</v>
      </c>
      <c r="I2221">
        <v>2005</v>
      </c>
      <c r="J2221" t="s">
        <v>22</v>
      </c>
      <c r="K2221" t="s">
        <v>71</v>
      </c>
    </row>
    <row r="2222" spans="1:11">
      <c r="A2222" t="s">
        <v>103</v>
      </c>
      <c r="B2222">
        <v>10390</v>
      </c>
      <c r="C2222">
        <v>41</v>
      </c>
      <c r="D2222" s="21">
        <v>44.56</v>
      </c>
      <c r="E2222" s="22">
        <v>38415</v>
      </c>
      <c r="F2222" t="s">
        <v>13</v>
      </c>
      <c r="G2222" t="s">
        <v>14</v>
      </c>
      <c r="H2222">
        <v>1</v>
      </c>
      <c r="I2222">
        <v>2005</v>
      </c>
      <c r="J2222" t="s">
        <v>15</v>
      </c>
      <c r="K2222" t="s">
        <v>104</v>
      </c>
    </row>
    <row r="2223" spans="1:11">
      <c r="A2223" t="s">
        <v>67</v>
      </c>
      <c r="B2223">
        <v>10403</v>
      </c>
      <c r="C2223">
        <v>30</v>
      </c>
      <c r="D2223" s="21">
        <v>40.23</v>
      </c>
      <c r="E2223" s="22">
        <v>38450</v>
      </c>
      <c r="F2223" t="s">
        <v>13</v>
      </c>
      <c r="G2223" t="s">
        <v>14</v>
      </c>
      <c r="H2223">
        <v>2</v>
      </c>
      <c r="I2223">
        <v>2005</v>
      </c>
      <c r="J2223" t="s">
        <v>15</v>
      </c>
      <c r="K2223" t="s">
        <v>68</v>
      </c>
    </row>
    <row r="2224" spans="1:11">
      <c r="A2224" t="s">
        <v>69</v>
      </c>
      <c r="B2224">
        <v>10104</v>
      </c>
      <c r="C2224">
        <v>35</v>
      </c>
      <c r="D2224" s="21">
        <v>47.62</v>
      </c>
      <c r="E2224" s="22">
        <v>37652</v>
      </c>
      <c r="F2224" t="s">
        <v>13</v>
      </c>
      <c r="G2224" t="s">
        <v>187</v>
      </c>
      <c r="H2224">
        <v>1</v>
      </c>
      <c r="I2224">
        <v>2003</v>
      </c>
      <c r="J2224" t="s">
        <v>15</v>
      </c>
      <c r="K2224" t="s">
        <v>71</v>
      </c>
    </row>
    <row r="2225" spans="1:11">
      <c r="A2225" t="s">
        <v>152</v>
      </c>
      <c r="B2225">
        <v>10114</v>
      </c>
      <c r="C2225">
        <v>28</v>
      </c>
      <c r="D2225" s="21">
        <v>55.73</v>
      </c>
      <c r="E2225" s="22">
        <v>37712</v>
      </c>
      <c r="F2225" t="s">
        <v>13</v>
      </c>
      <c r="G2225" t="s">
        <v>187</v>
      </c>
      <c r="H2225">
        <v>2</v>
      </c>
      <c r="I2225">
        <v>2003</v>
      </c>
      <c r="J2225" t="s">
        <v>15</v>
      </c>
      <c r="K2225" t="s">
        <v>153</v>
      </c>
    </row>
    <row r="2226" spans="1:11">
      <c r="A2226" t="s">
        <v>177</v>
      </c>
      <c r="B2226">
        <v>10127</v>
      </c>
      <c r="C2226">
        <v>45</v>
      </c>
      <c r="D2226" s="21">
        <v>51.95</v>
      </c>
      <c r="E2226" s="22">
        <v>37775</v>
      </c>
      <c r="F2226" t="s">
        <v>13</v>
      </c>
      <c r="G2226" t="s">
        <v>187</v>
      </c>
      <c r="H2226">
        <v>2</v>
      </c>
      <c r="I2226">
        <v>2003</v>
      </c>
      <c r="J2226" t="s">
        <v>15</v>
      </c>
      <c r="K2226" t="s">
        <v>178</v>
      </c>
    </row>
    <row r="2227" spans="1:11">
      <c r="A2227" t="s">
        <v>175</v>
      </c>
      <c r="B2227">
        <v>10141</v>
      </c>
      <c r="C2227">
        <v>24</v>
      </c>
      <c r="D2227" s="21">
        <v>45.99</v>
      </c>
      <c r="E2227" s="22">
        <v>37834</v>
      </c>
      <c r="F2227" t="s">
        <v>13</v>
      </c>
      <c r="G2227" t="s">
        <v>187</v>
      </c>
      <c r="H2227">
        <v>3</v>
      </c>
      <c r="I2227">
        <v>2003</v>
      </c>
      <c r="J2227" t="s">
        <v>15</v>
      </c>
      <c r="K2227" t="s">
        <v>176</v>
      </c>
    </row>
    <row r="2228" spans="1:11">
      <c r="A2228" t="s">
        <v>147</v>
      </c>
      <c r="B2228">
        <v>10151</v>
      </c>
      <c r="C2228">
        <v>41</v>
      </c>
      <c r="D2228" s="21">
        <v>63.85</v>
      </c>
      <c r="E2228" s="22">
        <v>37885</v>
      </c>
      <c r="F2228" t="s">
        <v>13</v>
      </c>
      <c r="G2228" t="s">
        <v>187</v>
      </c>
      <c r="H2228">
        <v>3</v>
      </c>
      <c r="I2228">
        <v>2003</v>
      </c>
      <c r="J2228" t="s">
        <v>15</v>
      </c>
      <c r="K2228" t="s">
        <v>148</v>
      </c>
    </row>
    <row r="2229" spans="1:11">
      <c r="A2229" t="s">
        <v>77</v>
      </c>
      <c r="B2229">
        <v>10165</v>
      </c>
      <c r="C2229">
        <v>48</v>
      </c>
      <c r="D2229" s="21">
        <v>45.99</v>
      </c>
      <c r="E2229" s="22">
        <v>37916</v>
      </c>
      <c r="F2229" t="s">
        <v>13</v>
      </c>
      <c r="G2229" t="s">
        <v>187</v>
      </c>
      <c r="H2229">
        <v>4</v>
      </c>
      <c r="I2229">
        <v>2003</v>
      </c>
      <c r="J2229" t="s">
        <v>15</v>
      </c>
      <c r="K2229" t="s">
        <v>78</v>
      </c>
    </row>
    <row r="2230" spans="1:11">
      <c r="A2230" t="s">
        <v>124</v>
      </c>
      <c r="B2230">
        <v>10175</v>
      </c>
      <c r="C2230">
        <v>50</v>
      </c>
      <c r="D2230" s="21">
        <v>63.31</v>
      </c>
      <c r="E2230" s="22">
        <v>37931</v>
      </c>
      <c r="F2230" t="s">
        <v>13</v>
      </c>
      <c r="G2230" t="s">
        <v>187</v>
      </c>
      <c r="H2230">
        <v>4</v>
      </c>
      <c r="I2230">
        <v>2003</v>
      </c>
      <c r="J2230" t="s">
        <v>22</v>
      </c>
      <c r="K2230" t="s">
        <v>125</v>
      </c>
    </row>
    <row r="2231" spans="1:11">
      <c r="A2231" t="s">
        <v>192</v>
      </c>
      <c r="B2231">
        <v>10184</v>
      </c>
      <c r="C2231">
        <v>33</v>
      </c>
      <c r="D2231" s="21">
        <v>62.77</v>
      </c>
      <c r="E2231" s="22">
        <v>37939</v>
      </c>
      <c r="F2231" t="s">
        <v>13</v>
      </c>
      <c r="G2231" t="s">
        <v>187</v>
      </c>
      <c r="H2231">
        <v>4</v>
      </c>
      <c r="I2231">
        <v>2003</v>
      </c>
      <c r="J2231" t="s">
        <v>15</v>
      </c>
      <c r="K2231" t="s">
        <v>193</v>
      </c>
    </row>
    <row r="2232" spans="1:11">
      <c r="A2232" t="s">
        <v>120</v>
      </c>
      <c r="B2232">
        <v>10195</v>
      </c>
      <c r="C2232">
        <v>32</v>
      </c>
      <c r="D2232" s="21">
        <v>43.29</v>
      </c>
      <c r="E2232" s="22">
        <v>37950</v>
      </c>
      <c r="F2232" t="s">
        <v>13</v>
      </c>
      <c r="G2232" t="s">
        <v>187</v>
      </c>
      <c r="H2232">
        <v>4</v>
      </c>
      <c r="I2232">
        <v>2003</v>
      </c>
      <c r="J2232" t="s">
        <v>15</v>
      </c>
      <c r="K2232" t="s">
        <v>121</v>
      </c>
    </row>
    <row r="2233" spans="1:11">
      <c r="A2233" t="s">
        <v>157</v>
      </c>
      <c r="B2233">
        <v>10207</v>
      </c>
      <c r="C2233">
        <v>27</v>
      </c>
      <c r="D2233" s="21">
        <v>60.06</v>
      </c>
      <c r="E2233" s="22">
        <v>37964</v>
      </c>
      <c r="F2233" t="s">
        <v>13</v>
      </c>
      <c r="G2233" t="s">
        <v>187</v>
      </c>
      <c r="H2233">
        <v>4</v>
      </c>
      <c r="I2233">
        <v>2003</v>
      </c>
      <c r="J2233" t="s">
        <v>15</v>
      </c>
      <c r="K2233" t="s">
        <v>158</v>
      </c>
    </row>
    <row r="2234" spans="1:11">
      <c r="A2234" t="s">
        <v>194</v>
      </c>
      <c r="B2234">
        <v>10219</v>
      </c>
      <c r="C2234">
        <v>35</v>
      </c>
      <c r="D2234" s="21">
        <v>55.19</v>
      </c>
      <c r="E2234" s="22">
        <v>38027</v>
      </c>
      <c r="F2234" t="s">
        <v>13</v>
      </c>
      <c r="G2234" t="s">
        <v>187</v>
      </c>
      <c r="H2234">
        <v>1</v>
      </c>
      <c r="I2234">
        <v>2004</v>
      </c>
      <c r="J2234" t="s">
        <v>15</v>
      </c>
      <c r="K2234" t="s">
        <v>195</v>
      </c>
    </row>
    <row r="2235" spans="1:11">
      <c r="A2235" t="s">
        <v>103</v>
      </c>
      <c r="B2235">
        <v>10229</v>
      </c>
      <c r="C2235">
        <v>23</v>
      </c>
      <c r="D2235" s="21">
        <v>54.11</v>
      </c>
      <c r="E2235" s="22">
        <v>38057</v>
      </c>
      <c r="F2235" t="s">
        <v>13</v>
      </c>
      <c r="G2235" t="s">
        <v>187</v>
      </c>
      <c r="H2235">
        <v>1</v>
      </c>
      <c r="I2235">
        <v>2004</v>
      </c>
      <c r="J2235" t="s">
        <v>15</v>
      </c>
      <c r="K2235" t="s">
        <v>104</v>
      </c>
    </row>
    <row r="2236" spans="1:11">
      <c r="A2236" t="s">
        <v>69</v>
      </c>
      <c r="B2236">
        <v>10246</v>
      </c>
      <c r="C2236">
        <v>35</v>
      </c>
      <c r="D2236" s="21">
        <v>48.7</v>
      </c>
      <c r="E2236" s="22">
        <v>38112</v>
      </c>
      <c r="F2236" t="s">
        <v>13</v>
      </c>
      <c r="G2236" t="s">
        <v>187</v>
      </c>
      <c r="H2236">
        <v>2</v>
      </c>
      <c r="I2236">
        <v>2004</v>
      </c>
      <c r="J2236" t="s">
        <v>15</v>
      </c>
      <c r="K2236" t="s">
        <v>71</v>
      </c>
    </row>
    <row r="2237" spans="1:11">
      <c r="A2237" t="s">
        <v>159</v>
      </c>
      <c r="B2237">
        <v>10259</v>
      </c>
      <c r="C2237">
        <v>40</v>
      </c>
      <c r="D2237" s="21">
        <v>43.83</v>
      </c>
      <c r="E2237" s="22">
        <v>38153</v>
      </c>
      <c r="F2237" t="s">
        <v>13</v>
      </c>
      <c r="G2237" t="s">
        <v>187</v>
      </c>
      <c r="H2237">
        <v>2</v>
      </c>
      <c r="I2237">
        <v>2004</v>
      </c>
      <c r="J2237" t="s">
        <v>15</v>
      </c>
      <c r="K2237" t="s">
        <v>160</v>
      </c>
    </row>
    <row r="2238" spans="1:11">
      <c r="A2238" t="s">
        <v>103</v>
      </c>
      <c r="B2238">
        <v>10271</v>
      </c>
      <c r="C2238">
        <v>35</v>
      </c>
      <c r="D2238" s="21">
        <v>47.62</v>
      </c>
      <c r="E2238" s="22">
        <v>38188</v>
      </c>
      <c r="F2238" t="s">
        <v>13</v>
      </c>
      <c r="G2238" t="s">
        <v>187</v>
      </c>
      <c r="H2238">
        <v>3</v>
      </c>
      <c r="I2238">
        <v>2004</v>
      </c>
      <c r="J2238" t="s">
        <v>15</v>
      </c>
      <c r="K2238" t="s">
        <v>104</v>
      </c>
    </row>
    <row r="2239" spans="1:11">
      <c r="A2239" t="s">
        <v>58</v>
      </c>
      <c r="B2239">
        <v>10281</v>
      </c>
      <c r="C2239">
        <v>31</v>
      </c>
      <c r="D2239" s="21">
        <v>55.19</v>
      </c>
      <c r="E2239" s="22">
        <v>38218</v>
      </c>
      <c r="F2239" t="s">
        <v>13</v>
      </c>
      <c r="G2239" t="s">
        <v>187</v>
      </c>
      <c r="H2239">
        <v>3</v>
      </c>
      <c r="I2239">
        <v>2004</v>
      </c>
      <c r="J2239" t="s">
        <v>15</v>
      </c>
      <c r="K2239" t="s">
        <v>59</v>
      </c>
    </row>
    <row r="2240" spans="1:11">
      <c r="A2240" t="s">
        <v>12</v>
      </c>
      <c r="B2240">
        <v>10292</v>
      </c>
      <c r="C2240">
        <v>50</v>
      </c>
      <c r="D2240" s="21">
        <v>46.53</v>
      </c>
      <c r="E2240" s="22">
        <v>38238</v>
      </c>
      <c r="F2240" t="s">
        <v>13</v>
      </c>
      <c r="G2240" t="s">
        <v>187</v>
      </c>
      <c r="H2240">
        <v>3</v>
      </c>
      <c r="I2240">
        <v>2004</v>
      </c>
      <c r="J2240" t="s">
        <v>15</v>
      </c>
      <c r="K2240" t="s">
        <v>16</v>
      </c>
    </row>
    <row r="2241" spans="1:11">
      <c r="A2241" t="s">
        <v>52</v>
      </c>
      <c r="B2241">
        <v>10305</v>
      </c>
      <c r="C2241">
        <v>40</v>
      </c>
      <c r="D2241" s="21">
        <v>57.9</v>
      </c>
      <c r="E2241" s="22">
        <v>38273</v>
      </c>
      <c r="F2241" t="s">
        <v>13</v>
      </c>
      <c r="G2241" t="s">
        <v>187</v>
      </c>
      <c r="H2241">
        <v>4</v>
      </c>
      <c r="I2241">
        <v>2004</v>
      </c>
      <c r="J2241" t="s">
        <v>15</v>
      </c>
      <c r="K2241" t="s">
        <v>53</v>
      </c>
    </row>
    <row r="2242" spans="1:11">
      <c r="A2242" t="s">
        <v>87</v>
      </c>
      <c r="B2242">
        <v>10313</v>
      </c>
      <c r="C2242">
        <v>38</v>
      </c>
      <c r="D2242" s="21">
        <v>45.45</v>
      </c>
      <c r="E2242" s="22">
        <v>38282</v>
      </c>
      <c r="F2242" t="s">
        <v>13</v>
      </c>
      <c r="G2242" t="s">
        <v>187</v>
      </c>
      <c r="H2242">
        <v>4</v>
      </c>
      <c r="I2242">
        <v>2004</v>
      </c>
      <c r="J2242" t="s">
        <v>15</v>
      </c>
      <c r="K2242" t="s">
        <v>88</v>
      </c>
    </row>
    <row r="2243" spans="1:11">
      <c r="A2243" t="s">
        <v>56</v>
      </c>
      <c r="B2243">
        <v>10325</v>
      </c>
      <c r="C2243">
        <v>38</v>
      </c>
      <c r="D2243" s="21">
        <v>100</v>
      </c>
      <c r="E2243" s="22">
        <v>38296</v>
      </c>
      <c r="F2243" t="s">
        <v>13</v>
      </c>
      <c r="G2243" t="s">
        <v>187</v>
      </c>
      <c r="H2243">
        <v>4</v>
      </c>
      <c r="I2243">
        <v>2004</v>
      </c>
      <c r="J2243" t="s">
        <v>61</v>
      </c>
      <c r="K2243" t="s">
        <v>57</v>
      </c>
    </row>
    <row r="2244" spans="1:11">
      <c r="A2244" t="s">
        <v>103</v>
      </c>
      <c r="B2244">
        <v>10335</v>
      </c>
      <c r="C2244">
        <v>40</v>
      </c>
      <c r="D2244" s="21">
        <v>60.6</v>
      </c>
      <c r="E2244" s="22">
        <v>38310</v>
      </c>
      <c r="F2244" t="s">
        <v>13</v>
      </c>
      <c r="G2244" t="s">
        <v>187</v>
      </c>
      <c r="H2244">
        <v>4</v>
      </c>
      <c r="I2244">
        <v>2004</v>
      </c>
      <c r="J2244" t="s">
        <v>15</v>
      </c>
      <c r="K2244" t="s">
        <v>104</v>
      </c>
    </row>
    <row r="2245" spans="1:11">
      <c r="A2245" t="s">
        <v>177</v>
      </c>
      <c r="B2245">
        <v>10349</v>
      </c>
      <c r="C2245">
        <v>33</v>
      </c>
      <c r="D2245" s="21">
        <v>46.53</v>
      </c>
      <c r="E2245" s="22">
        <v>38322</v>
      </c>
      <c r="F2245" t="s">
        <v>13</v>
      </c>
      <c r="G2245" t="s">
        <v>187</v>
      </c>
      <c r="H2245">
        <v>4</v>
      </c>
      <c r="I2245">
        <v>2004</v>
      </c>
      <c r="J2245" t="s">
        <v>15</v>
      </c>
      <c r="K2245" t="s">
        <v>178</v>
      </c>
    </row>
    <row r="2246" spans="1:11">
      <c r="A2246" t="s">
        <v>18</v>
      </c>
      <c r="B2246">
        <v>10359</v>
      </c>
      <c r="C2246">
        <v>36</v>
      </c>
      <c r="D2246" s="21">
        <v>100</v>
      </c>
      <c r="E2246" s="22">
        <v>38336</v>
      </c>
      <c r="F2246" t="s">
        <v>13</v>
      </c>
      <c r="G2246" t="s">
        <v>187</v>
      </c>
      <c r="H2246">
        <v>4</v>
      </c>
      <c r="I2246">
        <v>2004</v>
      </c>
      <c r="J2246" t="s">
        <v>22</v>
      </c>
      <c r="K2246" t="s">
        <v>19</v>
      </c>
    </row>
    <row r="2247" spans="1:11">
      <c r="A2247" t="s">
        <v>103</v>
      </c>
      <c r="B2247">
        <v>10371</v>
      </c>
      <c r="C2247">
        <v>20</v>
      </c>
      <c r="D2247" s="21">
        <v>66.47</v>
      </c>
      <c r="E2247" s="22">
        <v>38375</v>
      </c>
      <c r="F2247" t="s">
        <v>13</v>
      </c>
      <c r="G2247" t="s">
        <v>187</v>
      </c>
      <c r="H2247">
        <v>1</v>
      </c>
      <c r="I2247">
        <v>2005</v>
      </c>
      <c r="J2247" t="s">
        <v>15</v>
      </c>
      <c r="K2247" t="s">
        <v>104</v>
      </c>
    </row>
    <row r="2248" spans="1:11">
      <c r="A2248" t="s">
        <v>69</v>
      </c>
      <c r="B2248">
        <v>10383</v>
      </c>
      <c r="C2248">
        <v>32</v>
      </c>
      <c r="D2248" s="21">
        <v>53.18</v>
      </c>
      <c r="E2248" s="22">
        <v>38405</v>
      </c>
      <c r="F2248" t="s">
        <v>13</v>
      </c>
      <c r="G2248" t="s">
        <v>187</v>
      </c>
      <c r="H2248">
        <v>1</v>
      </c>
      <c r="I2248">
        <v>2005</v>
      </c>
      <c r="J2248" t="s">
        <v>15</v>
      </c>
      <c r="K2248" t="s">
        <v>71</v>
      </c>
    </row>
    <row r="2249" spans="1:11">
      <c r="A2249" t="s">
        <v>69</v>
      </c>
      <c r="B2249">
        <v>10394</v>
      </c>
      <c r="C2249">
        <v>36</v>
      </c>
      <c r="D2249" s="21">
        <v>62.77</v>
      </c>
      <c r="E2249" s="22">
        <v>38426</v>
      </c>
      <c r="F2249" t="s">
        <v>13</v>
      </c>
      <c r="G2249" t="s">
        <v>187</v>
      </c>
      <c r="H2249">
        <v>1</v>
      </c>
      <c r="I2249">
        <v>2005</v>
      </c>
      <c r="J2249" t="s">
        <v>15</v>
      </c>
      <c r="K2249" t="s">
        <v>71</v>
      </c>
    </row>
    <row r="2250" spans="1:11">
      <c r="A2250" t="s">
        <v>69</v>
      </c>
      <c r="B2250">
        <v>10412</v>
      </c>
      <c r="C2250">
        <v>19</v>
      </c>
      <c r="D2250" s="21">
        <v>48.7</v>
      </c>
      <c r="E2250" s="22">
        <v>38475</v>
      </c>
      <c r="F2250" t="s">
        <v>13</v>
      </c>
      <c r="G2250" t="s">
        <v>187</v>
      </c>
      <c r="H2250">
        <v>2</v>
      </c>
      <c r="I2250">
        <v>2005</v>
      </c>
      <c r="J2250" t="s">
        <v>15</v>
      </c>
      <c r="K2250" t="s">
        <v>71</v>
      </c>
    </row>
    <row r="2251" spans="1:11">
      <c r="A2251" t="s">
        <v>50</v>
      </c>
      <c r="B2251">
        <v>10425</v>
      </c>
      <c r="C2251">
        <v>11</v>
      </c>
      <c r="D2251" s="21">
        <v>43.83</v>
      </c>
      <c r="E2251" s="22">
        <v>38503</v>
      </c>
      <c r="F2251" t="s">
        <v>113</v>
      </c>
      <c r="G2251" t="s">
        <v>187</v>
      </c>
      <c r="H2251">
        <v>2</v>
      </c>
      <c r="I2251">
        <v>2005</v>
      </c>
      <c r="J2251" t="s">
        <v>15</v>
      </c>
      <c r="K2251" t="s">
        <v>51</v>
      </c>
    </row>
    <row r="2252" spans="1:11">
      <c r="A2252" t="s">
        <v>69</v>
      </c>
      <c r="B2252">
        <v>10104</v>
      </c>
      <c r="C2252">
        <v>49</v>
      </c>
      <c r="D2252" s="21">
        <v>65.87</v>
      </c>
      <c r="E2252" s="22">
        <v>37652</v>
      </c>
      <c r="F2252" t="s">
        <v>13</v>
      </c>
      <c r="G2252" t="s">
        <v>217</v>
      </c>
      <c r="H2252">
        <v>1</v>
      </c>
      <c r="I2252">
        <v>2003</v>
      </c>
      <c r="J2252" t="s">
        <v>22</v>
      </c>
      <c r="K2252" t="s">
        <v>71</v>
      </c>
    </row>
    <row r="2253" spans="1:11">
      <c r="A2253" t="s">
        <v>212</v>
      </c>
      <c r="B2253">
        <v>10116</v>
      </c>
      <c r="C2253">
        <v>27</v>
      </c>
      <c r="D2253" s="21">
        <v>63.38</v>
      </c>
      <c r="E2253" s="22">
        <v>37722</v>
      </c>
      <c r="F2253" t="s">
        <v>13</v>
      </c>
      <c r="G2253" t="s">
        <v>217</v>
      </c>
      <c r="H2253">
        <v>2</v>
      </c>
      <c r="I2253">
        <v>2003</v>
      </c>
      <c r="J2253" t="s">
        <v>15</v>
      </c>
      <c r="K2253" t="s">
        <v>213</v>
      </c>
    </row>
    <row r="2254" spans="1:11">
      <c r="A2254" t="s">
        <v>177</v>
      </c>
      <c r="B2254">
        <v>10127</v>
      </c>
      <c r="C2254">
        <v>29</v>
      </c>
      <c r="D2254" s="21">
        <v>70.84</v>
      </c>
      <c r="E2254" s="22">
        <v>37775</v>
      </c>
      <c r="F2254" t="s">
        <v>13</v>
      </c>
      <c r="G2254" t="s">
        <v>217</v>
      </c>
      <c r="H2254">
        <v>2</v>
      </c>
      <c r="I2254">
        <v>2003</v>
      </c>
      <c r="J2254" t="s">
        <v>15</v>
      </c>
      <c r="K2254" t="s">
        <v>178</v>
      </c>
    </row>
    <row r="2255" spans="1:11">
      <c r="A2255" t="s">
        <v>103</v>
      </c>
      <c r="B2255">
        <v>10142</v>
      </c>
      <c r="C2255">
        <v>42</v>
      </c>
      <c r="D2255" s="21">
        <v>74.57</v>
      </c>
      <c r="E2255" s="22">
        <v>37841</v>
      </c>
      <c r="F2255" t="s">
        <v>13</v>
      </c>
      <c r="G2255" t="s">
        <v>217</v>
      </c>
      <c r="H2255">
        <v>3</v>
      </c>
      <c r="I2255">
        <v>2003</v>
      </c>
      <c r="J2255" t="s">
        <v>22</v>
      </c>
      <c r="K2255" t="s">
        <v>104</v>
      </c>
    </row>
    <row r="2256" spans="1:11">
      <c r="A2256" t="s">
        <v>81</v>
      </c>
      <c r="B2256">
        <v>10152</v>
      </c>
      <c r="C2256">
        <v>33</v>
      </c>
      <c r="D2256" s="21">
        <v>50.95</v>
      </c>
      <c r="E2256" s="22">
        <v>37889</v>
      </c>
      <c r="F2256" t="s">
        <v>13</v>
      </c>
      <c r="G2256" t="s">
        <v>217</v>
      </c>
      <c r="H2256">
        <v>3</v>
      </c>
      <c r="I2256">
        <v>2003</v>
      </c>
      <c r="J2256" t="s">
        <v>15</v>
      </c>
      <c r="K2256" t="s">
        <v>82</v>
      </c>
    </row>
    <row r="2257" spans="1:11">
      <c r="A2257" t="s">
        <v>77</v>
      </c>
      <c r="B2257">
        <v>10165</v>
      </c>
      <c r="C2257">
        <v>44</v>
      </c>
      <c r="D2257" s="21">
        <v>53.44</v>
      </c>
      <c r="E2257" s="22">
        <v>37916</v>
      </c>
      <c r="F2257" t="s">
        <v>13</v>
      </c>
      <c r="G2257" t="s">
        <v>217</v>
      </c>
      <c r="H2257">
        <v>4</v>
      </c>
      <c r="I2257">
        <v>2003</v>
      </c>
      <c r="J2257" t="s">
        <v>15</v>
      </c>
      <c r="K2257" t="s">
        <v>78</v>
      </c>
    </row>
    <row r="2258" spans="1:11">
      <c r="A2258" t="s">
        <v>169</v>
      </c>
      <c r="B2258">
        <v>10176</v>
      </c>
      <c r="C2258">
        <v>22</v>
      </c>
      <c r="D2258" s="21">
        <v>64</v>
      </c>
      <c r="E2258" s="22">
        <v>37931</v>
      </c>
      <c r="F2258" t="s">
        <v>13</v>
      </c>
      <c r="G2258" t="s">
        <v>217</v>
      </c>
      <c r="H2258">
        <v>4</v>
      </c>
      <c r="I2258">
        <v>2003</v>
      </c>
      <c r="J2258" t="s">
        <v>15</v>
      </c>
      <c r="K2258" t="s">
        <v>170</v>
      </c>
    </row>
    <row r="2259" spans="1:11">
      <c r="A2259" t="s">
        <v>192</v>
      </c>
      <c r="B2259">
        <v>10184</v>
      </c>
      <c r="C2259">
        <v>48</v>
      </c>
      <c r="D2259" s="21">
        <v>50.95</v>
      </c>
      <c r="E2259" s="22">
        <v>37939</v>
      </c>
      <c r="F2259" t="s">
        <v>13</v>
      </c>
      <c r="G2259" t="s">
        <v>217</v>
      </c>
      <c r="H2259">
        <v>4</v>
      </c>
      <c r="I2259">
        <v>2003</v>
      </c>
      <c r="J2259" t="s">
        <v>15</v>
      </c>
      <c r="K2259" t="s">
        <v>193</v>
      </c>
    </row>
    <row r="2260" spans="1:11">
      <c r="A2260" t="s">
        <v>120</v>
      </c>
      <c r="B2260">
        <v>10195</v>
      </c>
      <c r="C2260">
        <v>33</v>
      </c>
      <c r="D2260" s="21">
        <v>54.68</v>
      </c>
      <c r="E2260" s="22">
        <v>37950</v>
      </c>
      <c r="F2260" t="s">
        <v>13</v>
      </c>
      <c r="G2260" t="s">
        <v>217</v>
      </c>
      <c r="H2260">
        <v>4</v>
      </c>
      <c r="I2260">
        <v>2003</v>
      </c>
      <c r="J2260" t="s">
        <v>15</v>
      </c>
      <c r="K2260" t="s">
        <v>121</v>
      </c>
    </row>
    <row r="2261" spans="1:11">
      <c r="A2261" t="s">
        <v>157</v>
      </c>
      <c r="B2261">
        <v>10207</v>
      </c>
      <c r="C2261">
        <v>45</v>
      </c>
      <c r="D2261" s="21">
        <v>56.55</v>
      </c>
      <c r="E2261" s="22">
        <v>37964</v>
      </c>
      <c r="F2261" t="s">
        <v>13</v>
      </c>
      <c r="G2261" t="s">
        <v>217</v>
      </c>
      <c r="H2261">
        <v>4</v>
      </c>
      <c r="I2261">
        <v>2003</v>
      </c>
      <c r="J2261" t="s">
        <v>15</v>
      </c>
      <c r="K2261" t="s">
        <v>158</v>
      </c>
    </row>
    <row r="2262" spans="1:11">
      <c r="A2262" t="s">
        <v>179</v>
      </c>
      <c r="B2262">
        <v>10220</v>
      </c>
      <c r="C2262">
        <v>20</v>
      </c>
      <c r="D2262" s="21">
        <v>52.82</v>
      </c>
      <c r="E2262" s="22">
        <v>38029</v>
      </c>
      <c r="F2262" t="s">
        <v>13</v>
      </c>
      <c r="G2262" t="s">
        <v>217</v>
      </c>
      <c r="H2262">
        <v>1</v>
      </c>
      <c r="I2262">
        <v>2004</v>
      </c>
      <c r="J2262" t="s">
        <v>15</v>
      </c>
      <c r="K2262" t="s">
        <v>180</v>
      </c>
    </row>
    <row r="2263" spans="1:11">
      <c r="A2263" t="s">
        <v>173</v>
      </c>
      <c r="B2263">
        <v>10230</v>
      </c>
      <c r="C2263">
        <v>46</v>
      </c>
      <c r="D2263" s="21">
        <v>60.9</v>
      </c>
      <c r="E2263" s="22">
        <v>38061</v>
      </c>
      <c r="F2263" t="s">
        <v>13</v>
      </c>
      <c r="G2263" t="s">
        <v>217</v>
      </c>
      <c r="H2263">
        <v>1</v>
      </c>
      <c r="I2263">
        <v>2004</v>
      </c>
      <c r="J2263" t="s">
        <v>15</v>
      </c>
      <c r="K2263" t="s">
        <v>174</v>
      </c>
    </row>
    <row r="2264" spans="1:11">
      <c r="A2264" t="s">
        <v>175</v>
      </c>
      <c r="B2264">
        <v>10247</v>
      </c>
      <c r="C2264">
        <v>40</v>
      </c>
      <c r="D2264" s="21">
        <v>49.71</v>
      </c>
      <c r="E2264" s="22">
        <v>38112</v>
      </c>
      <c r="F2264" t="s">
        <v>13</v>
      </c>
      <c r="G2264" t="s">
        <v>217</v>
      </c>
      <c r="H2264">
        <v>2</v>
      </c>
      <c r="I2264">
        <v>2004</v>
      </c>
      <c r="J2264" t="s">
        <v>15</v>
      </c>
      <c r="K2264" t="s">
        <v>176</v>
      </c>
    </row>
    <row r="2265" spans="1:11">
      <c r="A2265" t="s">
        <v>58</v>
      </c>
      <c r="B2265">
        <v>10272</v>
      </c>
      <c r="C2265">
        <v>45</v>
      </c>
      <c r="D2265" s="21">
        <v>64.63</v>
      </c>
      <c r="E2265" s="22">
        <v>38188</v>
      </c>
      <c r="F2265" t="s">
        <v>13</v>
      </c>
      <c r="G2265" t="s">
        <v>217</v>
      </c>
      <c r="H2265">
        <v>3</v>
      </c>
      <c r="I2265">
        <v>2004</v>
      </c>
      <c r="J2265" t="s">
        <v>15</v>
      </c>
      <c r="K2265" t="s">
        <v>59</v>
      </c>
    </row>
    <row r="2266" spans="1:11">
      <c r="A2266" t="s">
        <v>103</v>
      </c>
      <c r="B2266">
        <v>10282</v>
      </c>
      <c r="C2266">
        <v>36</v>
      </c>
      <c r="D2266" s="21">
        <v>59.65</v>
      </c>
      <c r="E2266" s="22">
        <v>38219</v>
      </c>
      <c r="F2266" t="s">
        <v>13</v>
      </c>
      <c r="G2266" t="s">
        <v>217</v>
      </c>
      <c r="H2266">
        <v>3</v>
      </c>
      <c r="I2266">
        <v>2004</v>
      </c>
      <c r="J2266" t="s">
        <v>15</v>
      </c>
      <c r="K2266" t="s">
        <v>104</v>
      </c>
    </row>
    <row r="2267" spans="1:11">
      <c r="A2267" t="s">
        <v>12</v>
      </c>
      <c r="B2267">
        <v>10292</v>
      </c>
      <c r="C2267">
        <v>31</v>
      </c>
      <c r="D2267" s="21">
        <v>67.73</v>
      </c>
      <c r="E2267" s="22">
        <v>38238</v>
      </c>
      <c r="F2267" t="s">
        <v>13</v>
      </c>
      <c r="G2267" t="s">
        <v>217</v>
      </c>
      <c r="H2267">
        <v>3</v>
      </c>
      <c r="I2267">
        <v>2004</v>
      </c>
      <c r="J2267" t="s">
        <v>15</v>
      </c>
      <c r="K2267" t="s">
        <v>16</v>
      </c>
    </row>
    <row r="2268" spans="1:11">
      <c r="A2268" t="s">
        <v>183</v>
      </c>
      <c r="B2268">
        <v>10306</v>
      </c>
      <c r="C2268">
        <v>46</v>
      </c>
      <c r="D2268" s="21">
        <v>50.33</v>
      </c>
      <c r="E2268" s="22">
        <v>38274</v>
      </c>
      <c r="F2268" t="s">
        <v>13</v>
      </c>
      <c r="G2268" t="s">
        <v>217</v>
      </c>
      <c r="H2268">
        <v>4</v>
      </c>
      <c r="I2268">
        <v>2004</v>
      </c>
      <c r="J2268" t="s">
        <v>15</v>
      </c>
      <c r="K2268" t="s">
        <v>184</v>
      </c>
    </row>
    <row r="2269" spans="1:11">
      <c r="A2269" t="s">
        <v>185</v>
      </c>
      <c r="B2269">
        <v>10314</v>
      </c>
      <c r="C2269">
        <v>35</v>
      </c>
      <c r="D2269" s="21">
        <v>66.49</v>
      </c>
      <c r="E2269" s="22">
        <v>38282</v>
      </c>
      <c r="F2269" t="s">
        <v>13</v>
      </c>
      <c r="G2269" t="s">
        <v>217</v>
      </c>
      <c r="H2269">
        <v>4</v>
      </c>
      <c r="I2269">
        <v>2004</v>
      </c>
      <c r="J2269" t="s">
        <v>15</v>
      </c>
      <c r="K2269" t="s">
        <v>186</v>
      </c>
    </row>
    <row r="2270" spans="1:11">
      <c r="A2270" t="s">
        <v>56</v>
      </c>
      <c r="B2270">
        <v>10325</v>
      </c>
      <c r="C2270">
        <v>28</v>
      </c>
      <c r="D2270" s="21">
        <v>100</v>
      </c>
      <c r="E2270" s="22">
        <v>38296</v>
      </c>
      <c r="F2270" t="s">
        <v>13</v>
      </c>
      <c r="G2270" t="s">
        <v>217</v>
      </c>
      <c r="H2270">
        <v>4</v>
      </c>
      <c r="I2270">
        <v>2004</v>
      </c>
      <c r="J2270" t="s">
        <v>22</v>
      </c>
      <c r="K2270" t="s">
        <v>57</v>
      </c>
    </row>
    <row r="2271" spans="1:11">
      <c r="A2271" t="s">
        <v>152</v>
      </c>
      <c r="B2271">
        <v>10336</v>
      </c>
      <c r="C2271">
        <v>31</v>
      </c>
      <c r="D2271" s="21">
        <v>84.71</v>
      </c>
      <c r="E2271" s="22">
        <v>38311</v>
      </c>
      <c r="F2271" t="s">
        <v>13</v>
      </c>
      <c r="G2271" t="s">
        <v>217</v>
      </c>
      <c r="H2271">
        <v>4</v>
      </c>
      <c r="I2271">
        <v>2004</v>
      </c>
      <c r="J2271" t="s">
        <v>15</v>
      </c>
      <c r="K2271" t="s">
        <v>153</v>
      </c>
    </row>
    <row r="2272" spans="1:11">
      <c r="A2272" t="s">
        <v>69</v>
      </c>
      <c r="B2272">
        <v>10350</v>
      </c>
      <c r="C2272">
        <v>27</v>
      </c>
      <c r="D2272" s="21">
        <v>100</v>
      </c>
      <c r="E2272" s="22">
        <v>38323</v>
      </c>
      <c r="F2272" t="s">
        <v>13</v>
      </c>
      <c r="G2272" t="s">
        <v>217</v>
      </c>
      <c r="H2272">
        <v>4</v>
      </c>
      <c r="I2272">
        <v>2004</v>
      </c>
      <c r="J2272" t="s">
        <v>22</v>
      </c>
      <c r="K2272" t="s">
        <v>71</v>
      </c>
    </row>
    <row r="2273" spans="1:11">
      <c r="A2273" t="s">
        <v>18</v>
      </c>
      <c r="B2273">
        <v>10359</v>
      </c>
      <c r="C2273">
        <v>22</v>
      </c>
      <c r="D2273" s="21">
        <v>100</v>
      </c>
      <c r="E2273" s="22">
        <v>38336</v>
      </c>
      <c r="F2273" t="s">
        <v>13</v>
      </c>
      <c r="G2273" t="s">
        <v>217</v>
      </c>
      <c r="H2273">
        <v>4</v>
      </c>
      <c r="I2273">
        <v>2004</v>
      </c>
      <c r="J2273" t="s">
        <v>22</v>
      </c>
      <c r="K2273" t="s">
        <v>19</v>
      </c>
    </row>
    <row r="2274" spans="1:11">
      <c r="A2274" t="s">
        <v>103</v>
      </c>
      <c r="B2274">
        <v>10371</v>
      </c>
      <c r="C2274">
        <v>30</v>
      </c>
      <c r="D2274" s="21">
        <v>99.55</v>
      </c>
      <c r="E2274" s="22">
        <v>38375</v>
      </c>
      <c r="F2274" t="s">
        <v>13</v>
      </c>
      <c r="G2274" t="s">
        <v>217</v>
      </c>
      <c r="H2274">
        <v>1</v>
      </c>
      <c r="I2274">
        <v>2005</v>
      </c>
      <c r="J2274" t="s">
        <v>15</v>
      </c>
      <c r="K2274" t="s">
        <v>104</v>
      </c>
    </row>
    <row r="2275" spans="1:11">
      <c r="A2275" t="s">
        <v>69</v>
      </c>
      <c r="B2275">
        <v>10383</v>
      </c>
      <c r="C2275">
        <v>44</v>
      </c>
      <c r="D2275" s="21">
        <v>36.07</v>
      </c>
      <c r="E2275" s="22">
        <v>38405</v>
      </c>
      <c r="F2275" t="s">
        <v>13</v>
      </c>
      <c r="G2275" t="s">
        <v>217</v>
      </c>
      <c r="H2275">
        <v>1</v>
      </c>
      <c r="I2275">
        <v>2005</v>
      </c>
      <c r="J2275" t="s">
        <v>15</v>
      </c>
      <c r="K2275" t="s">
        <v>71</v>
      </c>
    </row>
    <row r="2276" spans="1:11">
      <c r="A2276" t="s">
        <v>69</v>
      </c>
      <c r="B2276">
        <v>10394</v>
      </c>
      <c r="C2276">
        <v>30</v>
      </c>
      <c r="D2276" s="21">
        <v>60.28</v>
      </c>
      <c r="E2276" s="22">
        <v>38426</v>
      </c>
      <c r="F2276" t="s">
        <v>13</v>
      </c>
      <c r="G2276" t="s">
        <v>217</v>
      </c>
      <c r="H2276">
        <v>1</v>
      </c>
      <c r="I2276">
        <v>2005</v>
      </c>
      <c r="J2276" t="s">
        <v>15</v>
      </c>
      <c r="K2276" t="s">
        <v>71</v>
      </c>
    </row>
    <row r="2277" spans="1:11">
      <c r="A2277" t="s">
        <v>48</v>
      </c>
      <c r="B2277">
        <v>10413</v>
      </c>
      <c r="C2277">
        <v>24</v>
      </c>
      <c r="D2277" s="21">
        <v>49.71</v>
      </c>
      <c r="E2277" s="22">
        <v>38477</v>
      </c>
      <c r="F2277" t="s">
        <v>13</v>
      </c>
      <c r="G2277" t="s">
        <v>217</v>
      </c>
      <c r="H2277">
        <v>2</v>
      </c>
      <c r="I2277">
        <v>2005</v>
      </c>
      <c r="J2277" t="s">
        <v>15</v>
      </c>
      <c r="K2277" t="s">
        <v>49</v>
      </c>
    </row>
    <row r="2278" spans="1:11">
      <c r="A2278" t="s">
        <v>56</v>
      </c>
      <c r="B2278">
        <v>10103</v>
      </c>
      <c r="C2278">
        <v>45</v>
      </c>
      <c r="D2278" s="21">
        <v>75.63</v>
      </c>
      <c r="E2278" s="22">
        <v>37650</v>
      </c>
      <c r="F2278" t="s">
        <v>13</v>
      </c>
      <c r="G2278" t="s">
        <v>187</v>
      </c>
      <c r="H2278">
        <v>1</v>
      </c>
      <c r="I2278">
        <v>2003</v>
      </c>
      <c r="J2278" t="s">
        <v>22</v>
      </c>
      <c r="K2278" t="s">
        <v>57</v>
      </c>
    </row>
    <row r="2279" spans="1:11">
      <c r="A2279" t="s">
        <v>103</v>
      </c>
      <c r="B2279">
        <v>10113</v>
      </c>
      <c r="C2279">
        <v>23</v>
      </c>
      <c r="D2279" s="21">
        <v>68.52</v>
      </c>
      <c r="E2279" s="22">
        <v>37706</v>
      </c>
      <c r="F2279" t="s">
        <v>13</v>
      </c>
      <c r="G2279" t="s">
        <v>187</v>
      </c>
      <c r="H2279">
        <v>1</v>
      </c>
      <c r="I2279">
        <v>2003</v>
      </c>
      <c r="J2279" t="s">
        <v>15</v>
      </c>
      <c r="K2279" t="s">
        <v>104</v>
      </c>
    </row>
    <row r="2280" spans="1:11">
      <c r="A2280" t="s">
        <v>75</v>
      </c>
      <c r="B2280">
        <v>10126</v>
      </c>
      <c r="C2280">
        <v>26</v>
      </c>
      <c r="D2280" s="21">
        <v>62.7</v>
      </c>
      <c r="E2280" s="22">
        <v>37769</v>
      </c>
      <c r="F2280" t="s">
        <v>13</v>
      </c>
      <c r="G2280" t="s">
        <v>187</v>
      </c>
      <c r="H2280">
        <v>2</v>
      </c>
      <c r="I2280">
        <v>2003</v>
      </c>
      <c r="J2280" t="s">
        <v>15</v>
      </c>
      <c r="K2280" t="s">
        <v>76</v>
      </c>
    </row>
    <row r="2281" spans="1:11">
      <c r="A2281" t="s">
        <v>31</v>
      </c>
      <c r="B2281">
        <v>10140</v>
      </c>
      <c r="C2281">
        <v>28</v>
      </c>
      <c r="D2281" s="21">
        <v>60.76</v>
      </c>
      <c r="E2281" s="22">
        <v>37826</v>
      </c>
      <c r="F2281" t="s">
        <v>13</v>
      </c>
      <c r="G2281" t="s">
        <v>187</v>
      </c>
      <c r="H2281">
        <v>3</v>
      </c>
      <c r="I2281">
        <v>2003</v>
      </c>
      <c r="J2281" t="s">
        <v>15</v>
      </c>
      <c r="K2281" t="s">
        <v>32</v>
      </c>
    </row>
    <row r="2282" spans="1:11">
      <c r="A2282" t="s">
        <v>77</v>
      </c>
      <c r="B2282">
        <v>10150</v>
      </c>
      <c r="C2282">
        <v>49</v>
      </c>
      <c r="D2282" s="21">
        <v>58.18</v>
      </c>
      <c r="E2282" s="22">
        <v>37883</v>
      </c>
      <c r="F2282" t="s">
        <v>13</v>
      </c>
      <c r="G2282" t="s">
        <v>187</v>
      </c>
      <c r="H2282">
        <v>3</v>
      </c>
      <c r="I2282">
        <v>2003</v>
      </c>
      <c r="J2282" t="s">
        <v>15</v>
      </c>
      <c r="K2282" t="s">
        <v>78</v>
      </c>
    </row>
    <row r="2283" spans="1:11">
      <c r="A2283" t="s">
        <v>154</v>
      </c>
      <c r="B2283">
        <v>10164</v>
      </c>
      <c r="C2283">
        <v>49</v>
      </c>
      <c r="D2283" s="21">
        <v>54.94</v>
      </c>
      <c r="E2283" s="22">
        <v>37915</v>
      </c>
      <c r="F2283" t="s">
        <v>155</v>
      </c>
      <c r="G2283" t="s">
        <v>187</v>
      </c>
      <c r="H2283">
        <v>4</v>
      </c>
      <c r="I2283">
        <v>2003</v>
      </c>
      <c r="J2283" t="s">
        <v>15</v>
      </c>
      <c r="K2283" t="s">
        <v>156</v>
      </c>
    </row>
    <row r="2284" spans="1:11">
      <c r="A2284" t="s">
        <v>124</v>
      </c>
      <c r="B2284">
        <v>10175</v>
      </c>
      <c r="C2284">
        <v>29</v>
      </c>
      <c r="D2284" s="21">
        <v>74.98</v>
      </c>
      <c r="E2284" s="22">
        <v>37931</v>
      </c>
      <c r="F2284" t="s">
        <v>13</v>
      </c>
      <c r="G2284" t="s">
        <v>187</v>
      </c>
      <c r="H2284">
        <v>4</v>
      </c>
      <c r="I2284">
        <v>2003</v>
      </c>
      <c r="J2284" t="s">
        <v>15</v>
      </c>
      <c r="K2284" t="s">
        <v>125</v>
      </c>
    </row>
    <row r="2285" spans="1:11">
      <c r="A2285" t="s">
        <v>83</v>
      </c>
      <c r="B2285">
        <v>10183</v>
      </c>
      <c r="C2285">
        <v>49</v>
      </c>
      <c r="D2285" s="21">
        <v>64.64</v>
      </c>
      <c r="E2285" s="22">
        <v>37938</v>
      </c>
      <c r="F2285" t="s">
        <v>13</v>
      </c>
      <c r="G2285" t="s">
        <v>187</v>
      </c>
      <c r="H2285">
        <v>4</v>
      </c>
      <c r="I2285">
        <v>2003</v>
      </c>
      <c r="J2285" t="s">
        <v>22</v>
      </c>
      <c r="K2285" t="s">
        <v>84</v>
      </c>
    </row>
    <row r="2286" spans="1:11">
      <c r="A2286" t="s">
        <v>85</v>
      </c>
      <c r="B2286">
        <v>10194</v>
      </c>
      <c r="C2286">
        <v>39</v>
      </c>
      <c r="D2286" s="21">
        <v>54.94</v>
      </c>
      <c r="E2286" s="22">
        <v>37950</v>
      </c>
      <c r="F2286" t="s">
        <v>13</v>
      </c>
      <c r="G2286" t="s">
        <v>187</v>
      </c>
      <c r="H2286">
        <v>4</v>
      </c>
      <c r="I2286">
        <v>2003</v>
      </c>
      <c r="J2286" t="s">
        <v>15</v>
      </c>
      <c r="K2286" t="s">
        <v>86</v>
      </c>
    </row>
    <row r="2287" spans="1:11">
      <c r="A2287" t="s">
        <v>87</v>
      </c>
      <c r="B2287">
        <v>10206</v>
      </c>
      <c r="C2287">
        <v>36</v>
      </c>
      <c r="D2287" s="21">
        <v>58.82</v>
      </c>
      <c r="E2287" s="22">
        <v>37960</v>
      </c>
      <c r="F2287" t="s">
        <v>13</v>
      </c>
      <c r="G2287" t="s">
        <v>187</v>
      </c>
      <c r="H2287">
        <v>4</v>
      </c>
      <c r="I2287">
        <v>2003</v>
      </c>
      <c r="J2287" t="s">
        <v>15</v>
      </c>
      <c r="K2287" t="s">
        <v>88</v>
      </c>
    </row>
    <row r="2288" spans="1:11">
      <c r="A2288" t="s">
        <v>159</v>
      </c>
      <c r="B2288">
        <v>10217</v>
      </c>
      <c r="C2288">
        <v>39</v>
      </c>
      <c r="D2288" s="21">
        <v>62.05</v>
      </c>
      <c r="E2288" s="22">
        <v>38021</v>
      </c>
      <c r="F2288" t="s">
        <v>13</v>
      </c>
      <c r="G2288" t="s">
        <v>187</v>
      </c>
      <c r="H2288">
        <v>1</v>
      </c>
      <c r="I2288">
        <v>2004</v>
      </c>
      <c r="J2288" t="s">
        <v>15</v>
      </c>
      <c r="K2288" t="s">
        <v>160</v>
      </c>
    </row>
    <row r="2289" spans="1:11">
      <c r="A2289" t="s">
        <v>103</v>
      </c>
      <c r="B2289">
        <v>10229</v>
      </c>
      <c r="C2289">
        <v>30</v>
      </c>
      <c r="D2289" s="21">
        <v>73.04</v>
      </c>
      <c r="E2289" s="22">
        <v>38057</v>
      </c>
      <c r="F2289" t="s">
        <v>13</v>
      </c>
      <c r="G2289" t="s">
        <v>187</v>
      </c>
      <c r="H2289">
        <v>1</v>
      </c>
      <c r="I2289">
        <v>2004</v>
      </c>
      <c r="J2289" t="s">
        <v>15</v>
      </c>
      <c r="K2289" t="s">
        <v>104</v>
      </c>
    </row>
    <row r="2290" spans="1:11">
      <c r="A2290" t="s">
        <v>93</v>
      </c>
      <c r="B2290">
        <v>10245</v>
      </c>
      <c r="C2290">
        <v>44</v>
      </c>
      <c r="D2290" s="21">
        <v>69.16</v>
      </c>
      <c r="E2290" s="22">
        <v>38111</v>
      </c>
      <c r="F2290" t="s">
        <v>13</v>
      </c>
      <c r="G2290" t="s">
        <v>187</v>
      </c>
      <c r="H2290">
        <v>2</v>
      </c>
      <c r="I2290">
        <v>2004</v>
      </c>
      <c r="J2290" t="s">
        <v>22</v>
      </c>
      <c r="K2290" t="s">
        <v>94</v>
      </c>
    </row>
    <row r="2291" spans="1:11">
      <c r="A2291" t="s">
        <v>95</v>
      </c>
      <c r="B2291">
        <v>10258</v>
      </c>
      <c r="C2291">
        <v>20</v>
      </c>
      <c r="D2291" s="21">
        <v>61.41</v>
      </c>
      <c r="E2291" s="22">
        <v>38153</v>
      </c>
      <c r="F2291" t="s">
        <v>13</v>
      </c>
      <c r="G2291" t="s">
        <v>187</v>
      </c>
      <c r="H2291">
        <v>2</v>
      </c>
      <c r="I2291">
        <v>2004</v>
      </c>
      <c r="J2291" t="s">
        <v>15</v>
      </c>
      <c r="K2291" t="s">
        <v>96</v>
      </c>
    </row>
    <row r="2292" spans="1:11">
      <c r="A2292" t="s">
        <v>63</v>
      </c>
      <c r="B2292">
        <v>10270</v>
      </c>
      <c r="C2292">
        <v>21</v>
      </c>
      <c r="D2292" s="21">
        <v>63.35</v>
      </c>
      <c r="E2292" s="22">
        <v>38187</v>
      </c>
      <c r="F2292" t="s">
        <v>13</v>
      </c>
      <c r="G2292" t="s">
        <v>187</v>
      </c>
      <c r="H2292">
        <v>3</v>
      </c>
      <c r="I2292">
        <v>2004</v>
      </c>
      <c r="J2292" t="s">
        <v>15</v>
      </c>
      <c r="K2292" t="s">
        <v>64</v>
      </c>
    </row>
    <row r="2293" spans="1:11">
      <c r="A2293" t="s">
        <v>58</v>
      </c>
      <c r="B2293">
        <v>10281</v>
      </c>
      <c r="C2293">
        <v>36</v>
      </c>
      <c r="D2293" s="21">
        <v>77.57</v>
      </c>
      <c r="E2293" s="22">
        <v>38218</v>
      </c>
      <c r="F2293" t="s">
        <v>13</v>
      </c>
      <c r="G2293" t="s">
        <v>187</v>
      </c>
      <c r="H2293">
        <v>3</v>
      </c>
      <c r="I2293">
        <v>2004</v>
      </c>
      <c r="J2293" t="s">
        <v>15</v>
      </c>
      <c r="K2293" t="s">
        <v>59</v>
      </c>
    </row>
    <row r="2294" spans="1:11">
      <c r="A2294" t="s">
        <v>99</v>
      </c>
      <c r="B2294">
        <v>10291</v>
      </c>
      <c r="C2294">
        <v>32</v>
      </c>
      <c r="D2294" s="21">
        <v>71.75</v>
      </c>
      <c r="E2294" s="22">
        <v>38238</v>
      </c>
      <c r="F2294" t="s">
        <v>13</v>
      </c>
      <c r="G2294" t="s">
        <v>187</v>
      </c>
      <c r="H2294">
        <v>3</v>
      </c>
      <c r="I2294">
        <v>2004</v>
      </c>
      <c r="J2294" t="s">
        <v>15</v>
      </c>
      <c r="K2294" t="s">
        <v>100</v>
      </c>
    </row>
    <row r="2295" spans="1:11">
      <c r="A2295" t="s">
        <v>101</v>
      </c>
      <c r="B2295">
        <v>10304</v>
      </c>
      <c r="C2295">
        <v>36</v>
      </c>
      <c r="D2295" s="21">
        <v>73.04</v>
      </c>
      <c r="E2295" s="22">
        <v>38271</v>
      </c>
      <c r="F2295" t="s">
        <v>13</v>
      </c>
      <c r="G2295" t="s">
        <v>187</v>
      </c>
      <c r="H2295">
        <v>4</v>
      </c>
      <c r="I2295">
        <v>2004</v>
      </c>
      <c r="J2295" t="s">
        <v>15</v>
      </c>
      <c r="K2295" t="s">
        <v>102</v>
      </c>
    </row>
    <row r="2296" spans="1:11">
      <c r="A2296" t="s">
        <v>87</v>
      </c>
      <c r="B2296">
        <v>10313</v>
      </c>
      <c r="C2296">
        <v>34</v>
      </c>
      <c r="D2296" s="21">
        <v>56.24</v>
      </c>
      <c r="E2296" s="22">
        <v>38282</v>
      </c>
      <c r="F2296" t="s">
        <v>13</v>
      </c>
      <c r="G2296" t="s">
        <v>187</v>
      </c>
      <c r="H2296">
        <v>4</v>
      </c>
      <c r="I2296">
        <v>2004</v>
      </c>
      <c r="J2296" t="s">
        <v>15</v>
      </c>
      <c r="K2296" t="s">
        <v>88</v>
      </c>
    </row>
    <row r="2297" spans="1:11">
      <c r="A2297" t="s">
        <v>44</v>
      </c>
      <c r="B2297">
        <v>10324</v>
      </c>
      <c r="C2297">
        <v>48</v>
      </c>
      <c r="D2297" s="21">
        <v>100</v>
      </c>
      <c r="E2297" s="22">
        <v>38296</v>
      </c>
      <c r="F2297" t="s">
        <v>13</v>
      </c>
      <c r="G2297" t="s">
        <v>187</v>
      </c>
      <c r="H2297">
        <v>4</v>
      </c>
      <c r="I2297">
        <v>2004</v>
      </c>
      <c r="J2297" t="s">
        <v>61</v>
      </c>
      <c r="K2297" t="s">
        <v>45</v>
      </c>
    </row>
    <row r="2298" spans="1:11">
      <c r="A2298" t="s">
        <v>38</v>
      </c>
      <c r="B2298">
        <v>10333</v>
      </c>
      <c r="C2298">
        <v>33</v>
      </c>
      <c r="D2298" s="21">
        <v>73.69</v>
      </c>
      <c r="E2298" s="22">
        <v>38309</v>
      </c>
      <c r="F2298" t="s">
        <v>13</v>
      </c>
      <c r="G2298" t="s">
        <v>187</v>
      </c>
      <c r="H2298">
        <v>4</v>
      </c>
      <c r="I2298">
        <v>2004</v>
      </c>
      <c r="J2298" t="s">
        <v>15</v>
      </c>
      <c r="K2298" t="s">
        <v>39</v>
      </c>
    </row>
    <row r="2299" spans="1:11">
      <c r="A2299" t="s">
        <v>75</v>
      </c>
      <c r="B2299">
        <v>10348</v>
      </c>
      <c r="C2299">
        <v>31</v>
      </c>
      <c r="D2299" s="21">
        <v>100</v>
      </c>
      <c r="E2299" s="22">
        <v>38292</v>
      </c>
      <c r="F2299" t="s">
        <v>13</v>
      </c>
      <c r="G2299" t="s">
        <v>187</v>
      </c>
      <c r="H2299">
        <v>4</v>
      </c>
      <c r="I2299">
        <v>2004</v>
      </c>
      <c r="J2299" t="s">
        <v>22</v>
      </c>
      <c r="K2299" t="s">
        <v>76</v>
      </c>
    </row>
    <row r="2300" spans="1:11">
      <c r="A2300" t="s">
        <v>69</v>
      </c>
      <c r="B2300">
        <v>10358</v>
      </c>
      <c r="C2300">
        <v>36</v>
      </c>
      <c r="D2300" s="21">
        <v>100</v>
      </c>
      <c r="E2300" s="22">
        <v>38331</v>
      </c>
      <c r="F2300" t="s">
        <v>13</v>
      </c>
      <c r="G2300" t="s">
        <v>187</v>
      </c>
      <c r="H2300">
        <v>4</v>
      </c>
      <c r="I2300">
        <v>2004</v>
      </c>
      <c r="J2300" t="s">
        <v>22</v>
      </c>
      <c r="K2300" t="s">
        <v>71</v>
      </c>
    </row>
    <row r="2301" spans="1:11">
      <c r="A2301" t="s">
        <v>109</v>
      </c>
      <c r="B2301">
        <v>10370</v>
      </c>
      <c r="C2301">
        <v>25</v>
      </c>
      <c r="D2301" s="21">
        <v>100</v>
      </c>
      <c r="E2301" s="22">
        <v>38372</v>
      </c>
      <c r="F2301" t="s">
        <v>13</v>
      </c>
      <c r="G2301" t="s">
        <v>187</v>
      </c>
      <c r="H2301">
        <v>1</v>
      </c>
      <c r="I2301">
        <v>2005</v>
      </c>
      <c r="J2301" t="s">
        <v>22</v>
      </c>
      <c r="K2301" t="s">
        <v>110</v>
      </c>
    </row>
    <row r="2302" spans="1:11">
      <c r="A2302" t="s">
        <v>103</v>
      </c>
      <c r="B2302">
        <v>10382</v>
      </c>
      <c r="C2302">
        <v>48</v>
      </c>
      <c r="D2302" s="21">
        <v>100</v>
      </c>
      <c r="E2302" s="22">
        <v>38400</v>
      </c>
      <c r="F2302" t="s">
        <v>13</v>
      </c>
      <c r="G2302" t="s">
        <v>187</v>
      </c>
      <c r="H2302">
        <v>1</v>
      </c>
      <c r="I2302">
        <v>2005</v>
      </c>
      <c r="J2302" t="s">
        <v>22</v>
      </c>
      <c r="K2302" t="s">
        <v>104</v>
      </c>
    </row>
    <row r="2303" spans="1:11">
      <c r="A2303" t="s">
        <v>111</v>
      </c>
      <c r="B2303">
        <v>10411</v>
      </c>
      <c r="C2303">
        <v>27</v>
      </c>
      <c r="D2303" s="21">
        <v>69.16</v>
      </c>
      <c r="E2303" s="22">
        <v>38473</v>
      </c>
      <c r="F2303" t="s">
        <v>13</v>
      </c>
      <c r="G2303" t="s">
        <v>187</v>
      </c>
      <c r="H2303">
        <v>2</v>
      </c>
      <c r="I2303">
        <v>2005</v>
      </c>
      <c r="J2303" t="s">
        <v>15</v>
      </c>
      <c r="K2303" t="s">
        <v>112</v>
      </c>
    </row>
    <row r="2304" spans="1:11">
      <c r="A2304" t="s">
        <v>69</v>
      </c>
      <c r="B2304">
        <v>10424</v>
      </c>
      <c r="C2304">
        <v>44</v>
      </c>
      <c r="D2304" s="21">
        <v>61.41</v>
      </c>
      <c r="E2304" s="22">
        <v>38503</v>
      </c>
      <c r="F2304" t="s">
        <v>113</v>
      </c>
      <c r="G2304" t="s">
        <v>187</v>
      </c>
      <c r="H2304">
        <v>2</v>
      </c>
      <c r="I2304">
        <v>2005</v>
      </c>
      <c r="J2304" t="s">
        <v>15</v>
      </c>
      <c r="K2304" t="s">
        <v>71</v>
      </c>
    </row>
    <row r="2305" spans="1:11">
      <c r="A2305" t="s">
        <v>203</v>
      </c>
      <c r="B2305">
        <v>10106</v>
      </c>
      <c r="C2305">
        <v>33</v>
      </c>
      <c r="D2305" s="21">
        <v>72.92</v>
      </c>
      <c r="E2305" s="22">
        <v>37669</v>
      </c>
      <c r="F2305" t="s">
        <v>13</v>
      </c>
      <c r="G2305" t="s">
        <v>202</v>
      </c>
      <c r="H2305">
        <v>1</v>
      </c>
      <c r="I2305">
        <v>2003</v>
      </c>
      <c r="J2305" t="s">
        <v>15</v>
      </c>
      <c r="K2305" t="s">
        <v>204</v>
      </c>
    </row>
    <row r="2306" spans="1:11">
      <c r="A2306" t="s">
        <v>42</v>
      </c>
      <c r="B2306">
        <v>10120</v>
      </c>
      <c r="C2306">
        <v>29</v>
      </c>
      <c r="D2306" s="21">
        <v>72.23</v>
      </c>
      <c r="E2306" s="22">
        <v>37740</v>
      </c>
      <c r="F2306" t="s">
        <v>13</v>
      </c>
      <c r="G2306" t="s">
        <v>202</v>
      </c>
      <c r="H2306">
        <v>2</v>
      </c>
      <c r="I2306">
        <v>2003</v>
      </c>
      <c r="J2306" t="s">
        <v>15</v>
      </c>
      <c r="K2306" t="s">
        <v>43</v>
      </c>
    </row>
    <row r="2307" spans="1:11">
      <c r="A2307" t="s">
        <v>69</v>
      </c>
      <c r="B2307">
        <v>10133</v>
      </c>
      <c r="C2307">
        <v>49</v>
      </c>
      <c r="D2307" s="21">
        <v>57.1</v>
      </c>
      <c r="E2307" s="22">
        <v>37799</v>
      </c>
      <c r="F2307" t="s">
        <v>13</v>
      </c>
      <c r="G2307" t="s">
        <v>202</v>
      </c>
      <c r="H2307">
        <v>2</v>
      </c>
      <c r="I2307">
        <v>2003</v>
      </c>
      <c r="J2307" t="s">
        <v>15</v>
      </c>
      <c r="K2307" t="s">
        <v>71</v>
      </c>
    </row>
    <row r="2308" spans="1:11">
      <c r="A2308" t="s">
        <v>212</v>
      </c>
      <c r="B2308">
        <v>10144</v>
      </c>
      <c r="C2308">
        <v>20</v>
      </c>
      <c r="D2308" s="21">
        <v>81.86</v>
      </c>
      <c r="E2308" s="22">
        <v>37846</v>
      </c>
      <c r="F2308" t="s">
        <v>13</v>
      </c>
      <c r="G2308" t="s">
        <v>202</v>
      </c>
      <c r="H2308">
        <v>3</v>
      </c>
      <c r="I2308">
        <v>2003</v>
      </c>
      <c r="J2308" t="s">
        <v>15</v>
      </c>
      <c r="K2308" t="s">
        <v>213</v>
      </c>
    </row>
    <row r="2309" spans="1:11">
      <c r="A2309" t="s">
        <v>31</v>
      </c>
      <c r="B2309">
        <v>10168</v>
      </c>
      <c r="C2309">
        <v>31</v>
      </c>
      <c r="D2309" s="21">
        <v>73.61</v>
      </c>
      <c r="E2309" s="22">
        <v>37922</v>
      </c>
      <c r="F2309" t="s">
        <v>13</v>
      </c>
      <c r="G2309" t="s">
        <v>202</v>
      </c>
      <c r="H2309">
        <v>4</v>
      </c>
      <c r="I2309">
        <v>2003</v>
      </c>
      <c r="J2309" t="s">
        <v>15</v>
      </c>
      <c r="K2309" t="s">
        <v>32</v>
      </c>
    </row>
    <row r="2310" spans="1:11">
      <c r="A2310" t="s">
        <v>114</v>
      </c>
      <c r="B2310">
        <v>10210</v>
      </c>
      <c r="C2310">
        <v>39</v>
      </c>
      <c r="D2310" s="21">
        <v>59.16</v>
      </c>
      <c r="E2310" s="22">
        <v>37998</v>
      </c>
      <c r="F2310" t="s">
        <v>13</v>
      </c>
      <c r="G2310" t="s">
        <v>202</v>
      </c>
      <c r="H2310">
        <v>1</v>
      </c>
      <c r="I2310">
        <v>2004</v>
      </c>
      <c r="J2310" t="s">
        <v>15</v>
      </c>
      <c r="K2310" t="s">
        <v>115</v>
      </c>
    </row>
    <row r="2311" spans="1:11">
      <c r="A2311" t="s">
        <v>42</v>
      </c>
      <c r="B2311">
        <v>10223</v>
      </c>
      <c r="C2311">
        <v>20</v>
      </c>
      <c r="D2311" s="21">
        <v>66.04</v>
      </c>
      <c r="E2311" s="22">
        <v>38037</v>
      </c>
      <c r="F2311" t="s">
        <v>13</v>
      </c>
      <c r="G2311" t="s">
        <v>202</v>
      </c>
      <c r="H2311">
        <v>1</v>
      </c>
      <c r="I2311">
        <v>2004</v>
      </c>
      <c r="J2311" t="s">
        <v>15</v>
      </c>
      <c r="K2311" t="s">
        <v>43</v>
      </c>
    </row>
    <row r="2312" spans="1:11">
      <c r="A2312" t="s">
        <v>141</v>
      </c>
      <c r="B2312">
        <v>10235</v>
      </c>
      <c r="C2312">
        <v>34</v>
      </c>
      <c r="D2312" s="21">
        <v>77.73</v>
      </c>
      <c r="E2312" s="22">
        <v>38079</v>
      </c>
      <c r="F2312" t="s">
        <v>13</v>
      </c>
      <c r="G2312" t="s">
        <v>202</v>
      </c>
      <c r="H2312">
        <v>2</v>
      </c>
      <c r="I2312">
        <v>2004</v>
      </c>
      <c r="J2312" t="s">
        <v>15</v>
      </c>
      <c r="K2312" t="s">
        <v>142</v>
      </c>
    </row>
    <row r="2313" spans="1:11">
      <c r="A2313" t="s">
        <v>149</v>
      </c>
      <c r="B2313">
        <v>10250</v>
      </c>
      <c r="C2313">
        <v>50</v>
      </c>
      <c r="D2313" s="21">
        <v>61.22</v>
      </c>
      <c r="E2313" s="22">
        <v>38118</v>
      </c>
      <c r="F2313" t="s">
        <v>13</v>
      </c>
      <c r="G2313" t="s">
        <v>202</v>
      </c>
      <c r="H2313">
        <v>2</v>
      </c>
      <c r="I2313">
        <v>2004</v>
      </c>
      <c r="J2313" t="s">
        <v>22</v>
      </c>
      <c r="K2313" t="s">
        <v>150</v>
      </c>
    </row>
    <row r="2314" spans="1:11">
      <c r="A2314" t="s">
        <v>69</v>
      </c>
      <c r="B2314">
        <v>10262</v>
      </c>
      <c r="C2314">
        <v>40</v>
      </c>
      <c r="D2314" s="21">
        <v>79.11</v>
      </c>
      <c r="E2314" s="22">
        <v>38162</v>
      </c>
      <c r="F2314" t="s">
        <v>128</v>
      </c>
      <c r="G2314" t="s">
        <v>202</v>
      </c>
      <c r="H2314">
        <v>2</v>
      </c>
      <c r="I2314">
        <v>2004</v>
      </c>
      <c r="J2314" t="s">
        <v>22</v>
      </c>
      <c r="K2314" t="s">
        <v>71</v>
      </c>
    </row>
    <row r="2315" spans="1:11">
      <c r="A2315" t="s">
        <v>50</v>
      </c>
      <c r="B2315">
        <v>10275</v>
      </c>
      <c r="C2315">
        <v>28</v>
      </c>
      <c r="D2315" s="21">
        <v>63.97</v>
      </c>
      <c r="E2315" s="22">
        <v>38191</v>
      </c>
      <c r="F2315" t="s">
        <v>13</v>
      </c>
      <c r="G2315" t="s">
        <v>202</v>
      </c>
      <c r="H2315">
        <v>3</v>
      </c>
      <c r="I2315">
        <v>2004</v>
      </c>
      <c r="J2315" t="s">
        <v>15</v>
      </c>
      <c r="K2315" t="s">
        <v>51</v>
      </c>
    </row>
    <row r="2316" spans="1:11">
      <c r="A2316" t="s">
        <v>200</v>
      </c>
      <c r="B2316">
        <v>10284</v>
      </c>
      <c r="C2316">
        <v>50</v>
      </c>
      <c r="D2316" s="21">
        <v>81.86</v>
      </c>
      <c r="E2316" s="22">
        <v>38220</v>
      </c>
      <c r="F2316" t="s">
        <v>13</v>
      </c>
      <c r="G2316" t="s">
        <v>202</v>
      </c>
      <c r="H2316">
        <v>3</v>
      </c>
      <c r="I2316">
        <v>2004</v>
      </c>
      <c r="J2316" t="s">
        <v>22</v>
      </c>
      <c r="K2316" t="s">
        <v>201</v>
      </c>
    </row>
    <row r="2317" spans="1:11">
      <c r="A2317" t="s">
        <v>179</v>
      </c>
      <c r="B2317">
        <v>10297</v>
      </c>
      <c r="C2317">
        <v>28</v>
      </c>
      <c r="D2317" s="21">
        <v>79.8</v>
      </c>
      <c r="E2317" s="22">
        <v>38246</v>
      </c>
      <c r="F2317" t="s">
        <v>13</v>
      </c>
      <c r="G2317" t="s">
        <v>202</v>
      </c>
      <c r="H2317">
        <v>3</v>
      </c>
      <c r="I2317">
        <v>2004</v>
      </c>
      <c r="J2317" t="s">
        <v>15</v>
      </c>
      <c r="K2317" t="s">
        <v>180</v>
      </c>
    </row>
    <row r="2318" spans="1:11">
      <c r="A2318" t="s">
        <v>120</v>
      </c>
      <c r="B2318">
        <v>10308</v>
      </c>
      <c r="C2318">
        <v>46</v>
      </c>
      <c r="D2318" s="21">
        <v>66.04</v>
      </c>
      <c r="E2318" s="22">
        <v>38275</v>
      </c>
      <c r="F2318" t="s">
        <v>13</v>
      </c>
      <c r="G2318" t="s">
        <v>202</v>
      </c>
      <c r="H2318">
        <v>4</v>
      </c>
      <c r="I2318">
        <v>2004</v>
      </c>
      <c r="J2318" t="s">
        <v>22</v>
      </c>
      <c r="K2318" t="s">
        <v>121</v>
      </c>
    </row>
    <row r="2319" spans="1:11">
      <c r="A2319" t="s">
        <v>145</v>
      </c>
      <c r="B2319">
        <v>10316</v>
      </c>
      <c r="C2319">
        <v>24</v>
      </c>
      <c r="D2319" s="21">
        <v>59.16</v>
      </c>
      <c r="E2319" s="22">
        <v>38292</v>
      </c>
      <c r="F2319" t="s">
        <v>13</v>
      </c>
      <c r="G2319" t="s">
        <v>202</v>
      </c>
      <c r="H2319">
        <v>4</v>
      </c>
      <c r="I2319">
        <v>2004</v>
      </c>
      <c r="J2319" t="s">
        <v>15</v>
      </c>
      <c r="K2319" t="s">
        <v>146</v>
      </c>
    </row>
    <row r="2320" spans="1:11">
      <c r="A2320" t="s">
        <v>203</v>
      </c>
      <c r="B2320">
        <v>10328</v>
      </c>
      <c r="C2320">
        <v>24</v>
      </c>
      <c r="D2320" s="21">
        <v>81.17</v>
      </c>
      <c r="E2320" s="22">
        <v>38303</v>
      </c>
      <c r="F2320" t="s">
        <v>13</v>
      </c>
      <c r="G2320" t="s">
        <v>202</v>
      </c>
      <c r="H2320">
        <v>4</v>
      </c>
      <c r="I2320">
        <v>2004</v>
      </c>
      <c r="J2320" t="s">
        <v>15</v>
      </c>
      <c r="K2320" t="s">
        <v>204</v>
      </c>
    </row>
    <row r="2321" spans="1:11">
      <c r="A2321" t="s">
        <v>133</v>
      </c>
      <c r="B2321">
        <v>10340</v>
      </c>
      <c r="C2321">
        <v>39</v>
      </c>
      <c r="D2321" s="21">
        <v>59.16</v>
      </c>
      <c r="E2321" s="22">
        <v>38315</v>
      </c>
      <c r="F2321" t="s">
        <v>13</v>
      </c>
      <c r="G2321" t="s">
        <v>202</v>
      </c>
      <c r="H2321">
        <v>4</v>
      </c>
      <c r="I2321">
        <v>2004</v>
      </c>
      <c r="J2321" t="s">
        <v>15</v>
      </c>
      <c r="K2321" t="s">
        <v>134</v>
      </c>
    </row>
    <row r="2322" spans="1:11">
      <c r="A2322" t="s">
        <v>208</v>
      </c>
      <c r="B2322">
        <v>10353</v>
      </c>
      <c r="C2322">
        <v>40</v>
      </c>
      <c r="D2322" s="21">
        <v>44.51</v>
      </c>
      <c r="E2322" s="22">
        <v>38325</v>
      </c>
      <c r="F2322" t="s">
        <v>13</v>
      </c>
      <c r="G2322" t="s">
        <v>202</v>
      </c>
      <c r="H2322">
        <v>4</v>
      </c>
      <c r="I2322">
        <v>2004</v>
      </c>
      <c r="J2322" t="s">
        <v>15</v>
      </c>
      <c r="K2322" t="s">
        <v>209</v>
      </c>
    </row>
    <row r="2323" spans="1:11">
      <c r="A2323" t="s">
        <v>63</v>
      </c>
      <c r="B2323">
        <v>10361</v>
      </c>
      <c r="C2323">
        <v>49</v>
      </c>
      <c r="D2323" s="21">
        <v>72.33</v>
      </c>
      <c r="E2323" s="22">
        <v>38338</v>
      </c>
      <c r="F2323" t="s">
        <v>13</v>
      </c>
      <c r="G2323" t="s">
        <v>202</v>
      </c>
      <c r="H2323">
        <v>4</v>
      </c>
      <c r="I2323">
        <v>2004</v>
      </c>
      <c r="J2323" t="s">
        <v>22</v>
      </c>
      <c r="K2323" t="s">
        <v>64</v>
      </c>
    </row>
    <row r="2324" spans="1:11">
      <c r="A2324" t="s">
        <v>50</v>
      </c>
      <c r="B2324">
        <v>10375</v>
      </c>
      <c r="C2324">
        <v>44</v>
      </c>
      <c r="D2324" s="21">
        <v>82.26</v>
      </c>
      <c r="E2324" s="22">
        <v>38386</v>
      </c>
      <c r="F2324" t="s">
        <v>13</v>
      </c>
      <c r="G2324" t="s">
        <v>202</v>
      </c>
      <c r="H2324">
        <v>1</v>
      </c>
      <c r="I2324">
        <v>2005</v>
      </c>
      <c r="J2324" t="s">
        <v>22</v>
      </c>
      <c r="K2324" t="s">
        <v>51</v>
      </c>
    </row>
    <row r="2325" spans="1:11">
      <c r="A2325" t="s">
        <v>65</v>
      </c>
      <c r="B2325">
        <v>10388</v>
      </c>
      <c r="C2325">
        <v>35</v>
      </c>
      <c r="D2325" s="21">
        <v>100</v>
      </c>
      <c r="E2325" s="22">
        <v>38414</v>
      </c>
      <c r="F2325" t="s">
        <v>13</v>
      </c>
      <c r="G2325" t="s">
        <v>202</v>
      </c>
      <c r="H2325">
        <v>1</v>
      </c>
      <c r="I2325">
        <v>2005</v>
      </c>
      <c r="J2325" t="s">
        <v>22</v>
      </c>
      <c r="K2325" t="s">
        <v>66</v>
      </c>
    </row>
    <row r="2326" spans="1:11">
      <c r="A2326" t="s">
        <v>18</v>
      </c>
      <c r="B2326">
        <v>10398</v>
      </c>
      <c r="C2326">
        <v>22</v>
      </c>
      <c r="D2326" s="21">
        <v>67.41</v>
      </c>
      <c r="E2326" s="22">
        <v>38441</v>
      </c>
      <c r="F2326" t="s">
        <v>13</v>
      </c>
      <c r="G2326" t="s">
        <v>202</v>
      </c>
      <c r="H2326">
        <v>1</v>
      </c>
      <c r="I2326">
        <v>2005</v>
      </c>
      <c r="J2326" t="s">
        <v>15</v>
      </c>
      <c r="K2326" t="s">
        <v>19</v>
      </c>
    </row>
    <row r="2327" spans="1:11">
      <c r="A2327" t="s">
        <v>46</v>
      </c>
      <c r="B2327">
        <v>10401</v>
      </c>
      <c r="C2327">
        <v>62</v>
      </c>
      <c r="D2327" s="21">
        <v>77.73</v>
      </c>
      <c r="E2327" s="22">
        <v>38445</v>
      </c>
      <c r="F2327" t="s">
        <v>151</v>
      </c>
      <c r="G2327" t="s">
        <v>202</v>
      </c>
      <c r="H2327">
        <v>2</v>
      </c>
      <c r="I2327">
        <v>2005</v>
      </c>
      <c r="J2327" t="s">
        <v>22</v>
      </c>
      <c r="K2327" t="s">
        <v>47</v>
      </c>
    </row>
    <row r="2328" spans="1:11">
      <c r="A2328" t="s">
        <v>169</v>
      </c>
      <c r="B2328">
        <v>10416</v>
      </c>
      <c r="C2328">
        <v>26</v>
      </c>
      <c r="D2328" s="21">
        <v>61.22</v>
      </c>
      <c r="E2328" s="22">
        <v>38482</v>
      </c>
      <c r="F2328" t="s">
        <v>13</v>
      </c>
      <c r="G2328" t="s">
        <v>202</v>
      </c>
      <c r="H2328">
        <v>2</v>
      </c>
      <c r="I2328">
        <v>2005</v>
      </c>
      <c r="J2328" t="s">
        <v>15</v>
      </c>
      <c r="K2328" t="s">
        <v>170</v>
      </c>
    </row>
    <row r="2329" spans="1:11">
      <c r="A2329" t="s">
        <v>161</v>
      </c>
      <c r="B2329">
        <v>10108</v>
      </c>
      <c r="C2329">
        <v>31</v>
      </c>
      <c r="D2329" s="21">
        <v>100</v>
      </c>
      <c r="E2329" s="22">
        <v>37683</v>
      </c>
      <c r="F2329" t="s">
        <v>13</v>
      </c>
      <c r="G2329" t="s">
        <v>14</v>
      </c>
      <c r="H2329">
        <v>1</v>
      </c>
      <c r="I2329">
        <v>2003</v>
      </c>
      <c r="J2329" t="s">
        <v>22</v>
      </c>
      <c r="K2329" t="s">
        <v>162</v>
      </c>
    </row>
    <row r="2330" spans="1:11">
      <c r="A2330" t="s">
        <v>18</v>
      </c>
      <c r="B2330">
        <v>10121</v>
      </c>
      <c r="C2330">
        <v>25</v>
      </c>
      <c r="D2330" s="21">
        <v>86.74</v>
      </c>
      <c r="E2330" s="22">
        <v>37748</v>
      </c>
      <c r="F2330" t="s">
        <v>13</v>
      </c>
      <c r="G2330" t="s">
        <v>14</v>
      </c>
      <c r="H2330">
        <v>2</v>
      </c>
      <c r="I2330">
        <v>2003</v>
      </c>
      <c r="J2330" t="s">
        <v>15</v>
      </c>
      <c r="K2330" t="s">
        <v>19</v>
      </c>
    </row>
    <row r="2331" spans="1:11">
      <c r="A2331" t="s">
        <v>103</v>
      </c>
      <c r="B2331">
        <v>10135</v>
      </c>
      <c r="C2331">
        <v>30</v>
      </c>
      <c r="D2331" s="21">
        <v>89.8</v>
      </c>
      <c r="E2331" s="22">
        <v>37804</v>
      </c>
      <c r="F2331" t="s">
        <v>13</v>
      </c>
      <c r="G2331" t="s">
        <v>14</v>
      </c>
      <c r="H2331">
        <v>3</v>
      </c>
      <c r="I2331">
        <v>2003</v>
      </c>
      <c r="J2331" t="s">
        <v>15</v>
      </c>
      <c r="K2331" t="s">
        <v>104</v>
      </c>
    </row>
    <row r="2332" spans="1:11">
      <c r="A2332" t="s">
        <v>25</v>
      </c>
      <c r="B2332">
        <v>10145</v>
      </c>
      <c r="C2332">
        <v>27</v>
      </c>
      <c r="D2332" s="21">
        <v>100</v>
      </c>
      <c r="E2332" s="22">
        <v>37858</v>
      </c>
      <c r="F2332" t="s">
        <v>13</v>
      </c>
      <c r="G2332" t="s">
        <v>14</v>
      </c>
      <c r="H2332">
        <v>3</v>
      </c>
      <c r="I2332">
        <v>2003</v>
      </c>
      <c r="J2332" t="s">
        <v>22</v>
      </c>
      <c r="K2332" t="s">
        <v>26</v>
      </c>
    </row>
    <row r="2333" spans="1:11">
      <c r="A2333" t="s">
        <v>28</v>
      </c>
      <c r="B2333">
        <v>10159</v>
      </c>
      <c r="C2333">
        <v>23</v>
      </c>
      <c r="D2333" s="21">
        <v>100</v>
      </c>
      <c r="E2333" s="22">
        <v>37904</v>
      </c>
      <c r="F2333" t="s">
        <v>13</v>
      </c>
      <c r="G2333" t="s">
        <v>14</v>
      </c>
      <c r="H2333">
        <v>4</v>
      </c>
      <c r="I2333">
        <v>2003</v>
      </c>
      <c r="J2333" t="s">
        <v>15</v>
      </c>
      <c r="K2333" t="s">
        <v>29</v>
      </c>
    </row>
    <row r="2334" spans="1:11">
      <c r="A2334" t="s">
        <v>109</v>
      </c>
      <c r="B2334">
        <v>10169</v>
      </c>
      <c r="C2334">
        <v>34</v>
      </c>
      <c r="D2334" s="21">
        <v>100</v>
      </c>
      <c r="E2334" s="22">
        <v>37929</v>
      </c>
      <c r="F2334" t="s">
        <v>13</v>
      </c>
      <c r="G2334" t="s">
        <v>14</v>
      </c>
      <c r="H2334">
        <v>4</v>
      </c>
      <c r="I2334">
        <v>2003</v>
      </c>
      <c r="J2334" t="s">
        <v>22</v>
      </c>
      <c r="K2334" t="s">
        <v>110</v>
      </c>
    </row>
    <row r="2335" spans="1:11">
      <c r="A2335" t="s">
        <v>34</v>
      </c>
      <c r="B2335">
        <v>10180</v>
      </c>
      <c r="C2335">
        <v>22</v>
      </c>
      <c r="D2335" s="21">
        <v>100</v>
      </c>
      <c r="E2335" s="22">
        <v>37936</v>
      </c>
      <c r="F2335" t="s">
        <v>13</v>
      </c>
      <c r="G2335" t="s">
        <v>14</v>
      </c>
      <c r="H2335">
        <v>4</v>
      </c>
      <c r="I2335">
        <v>2003</v>
      </c>
      <c r="J2335" t="s">
        <v>15</v>
      </c>
      <c r="K2335" t="s">
        <v>35</v>
      </c>
    </row>
    <row r="2336" spans="1:11">
      <c r="A2336" t="s">
        <v>69</v>
      </c>
      <c r="B2336">
        <v>10190</v>
      </c>
      <c r="C2336">
        <v>42</v>
      </c>
      <c r="D2336" s="21">
        <v>85.72</v>
      </c>
      <c r="E2336" s="22">
        <v>37944</v>
      </c>
      <c r="F2336" t="s">
        <v>13</v>
      </c>
      <c r="G2336" t="s">
        <v>14</v>
      </c>
      <c r="H2336">
        <v>4</v>
      </c>
      <c r="I2336">
        <v>2003</v>
      </c>
      <c r="J2336" t="s">
        <v>22</v>
      </c>
      <c r="K2336" t="s">
        <v>71</v>
      </c>
    </row>
    <row r="2337" spans="1:11">
      <c r="A2337" t="s">
        <v>40</v>
      </c>
      <c r="B2337">
        <v>10211</v>
      </c>
      <c r="C2337">
        <v>37</v>
      </c>
      <c r="D2337" s="21">
        <v>100</v>
      </c>
      <c r="E2337" s="22">
        <v>38001</v>
      </c>
      <c r="F2337" t="s">
        <v>13</v>
      </c>
      <c r="G2337" t="s">
        <v>14</v>
      </c>
      <c r="H2337">
        <v>1</v>
      </c>
      <c r="I2337">
        <v>2004</v>
      </c>
      <c r="J2337" t="s">
        <v>22</v>
      </c>
      <c r="K2337" t="s">
        <v>41</v>
      </c>
    </row>
    <row r="2338" spans="1:11">
      <c r="A2338" t="s">
        <v>34</v>
      </c>
      <c r="B2338">
        <v>10224</v>
      </c>
      <c r="C2338">
        <v>30</v>
      </c>
      <c r="D2338" s="21">
        <v>100</v>
      </c>
      <c r="E2338" s="22">
        <v>38038</v>
      </c>
      <c r="F2338" t="s">
        <v>13</v>
      </c>
      <c r="G2338" t="s">
        <v>14</v>
      </c>
      <c r="H2338">
        <v>1</v>
      </c>
      <c r="I2338">
        <v>2004</v>
      </c>
      <c r="J2338" t="s">
        <v>22</v>
      </c>
      <c r="K2338" t="s">
        <v>35</v>
      </c>
    </row>
    <row r="2339" spans="1:11">
      <c r="A2339" t="s">
        <v>44</v>
      </c>
      <c r="B2339">
        <v>10237</v>
      </c>
      <c r="C2339">
        <v>27</v>
      </c>
      <c r="D2339" s="21">
        <v>100</v>
      </c>
      <c r="E2339" s="22">
        <v>38082</v>
      </c>
      <c r="F2339" t="s">
        <v>13</v>
      </c>
      <c r="G2339" t="s">
        <v>14</v>
      </c>
      <c r="H2339">
        <v>2</v>
      </c>
      <c r="I2339">
        <v>2004</v>
      </c>
      <c r="J2339" t="s">
        <v>22</v>
      </c>
      <c r="K2339" t="s">
        <v>45</v>
      </c>
    </row>
    <row r="2340" spans="1:11">
      <c r="A2340" t="s">
        <v>40</v>
      </c>
      <c r="B2340">
        <v>10252</v>
      </c>
      <c r="C2340">
        <v>25</v>
      </c>
      <c r="D2340" s="21">
        <v>100</v>
      </c>
      <c r="E2340" s="22">
        <v>38133</v>
      </c>
      <c r="F2340" t="s">
        <v>13</v>
      </c>
      <c r="G2340" t="s">
        <v>14</v>
      </c>
      <c r="H2340">
        <v>2</v>
      </c>
      <c r="I2340">
        <v>2004</v>
      </c>
      <c r="J2340" t="s">
        <v>15</v>
      </c>
      <c r="K2340" t="s">
        <v>41</v>
      </c>
    </row>
    <row r="2341" spans="1:11">
      <c r="A2341" t="s">
        <v>143</v>
      </c>
      <c r="B2341">
        <v>10264</v>
      </c>
      <c r="C2341">
        <v>34</v>
      </c>
      <c r="D2341" s="21">
        <v>97.97</v>
      </c>
      <c r="E2341" s="22">
        <v>38168</v>
      </c>
      <c r="F2341" t="s">
        <v>13</v>
      </c>
      <c r="G2341" t="s">
        <v>14</v>
      </c>
      <c r="H2341">
        <v>2</v>
      </c>
      <c r="I2341">
        <v>2004</v>
      </c>
      <c r="J2341" t="s">
        <v>22</v>
      </c>
      <c r="K2341" t="s">
        <v>144</v>
      </c>
    </row>
    <row r="2342" spans="1:11">
      <c r="A2342" t="s">
        <v>171</v>
      </c>
      <c r="B2342">
        <v>10276</v>
      </c>
      <c r="C2342">
        <v>38</v>
      </c>
      <c r="D2342" s="21">
        <v>100</v>
      </c>
      <c r="E2342" s="22">
        <v>38201</v>
      </c>
      <c r="F2342" t="s">
        <v>13</v>
      </c>
      <c r="G2342" t="s">
        <v>14</v>
      </c>
      <c r="H2342">
        <v>3</v>
      </c>
      <c r="I2342">
        <v>2004</v>
      </c>
      <c r="J2342" t="s">
        <v>22</v>
      </c>
      <c r="K2342" t="s">
        <v>172</v>
      </c>
    </row>
    <row r="2343" spans="1:11">
      <c r="A2343" t="s">
        <v>52</v>
      </c>
      <c r="B2343">
        <v>10285</v>
      </c>
      <c r="C2343">
        <v>26</v>
      </c>
      <c r="D2343" s="21">
        <v>100</v>
      </c>
      <c r="E2343" s="22">
        <v>38226</v>
      </c>
      <c r="F2343" t="s">
        <v>13</v>
      </c>
      <c r="G2343" t="s">
        <v>14</v>
      </c>
      <c r="H2343">
        <v>3</v>
      </c>
      <c r="I2343">
        <v>2004</v>
      </c>
      <c r="J2343" t="s">
        <v>15</v>
      </c>
      <c r="K2343" t="s">
        <v>53</v>
      </c>
    </row>
    <row r="2344" spans="1:11">
      <c r="A2344" t="s">
        <v>54</v>
      </c>
      <c r="B2344">
        <v>10299</v>
      </c>
      <c r="C2344">
        <v>38</v>
      </c>
      <c r="D2344" s="21">
        <v>100</v>
      </c>
      <c r="E2344" s="22">
        <v>38260</v>
      </c>
      <c r="F2344" t="s">
        <v>13</v>
      </c>
      <c r="G2344" t="s">
        <v>14</v>
      </c>
      <c r="H2344">
        <v>3</v>
      </c>
      <c r="I2344">
        <v>2004</v>
      </c>
      <c r="J2344" t="s">
        <v>22</v>
      </c>
      <c r="K2344" t="s">
        <v>55</v>
      </c>
    </row>
    <row r="2345" spans="1:11">
      <c r="A2345" t="s">
        <v>56</v>
      </c>
      <c r="B2345">
        <v>10309</v>
      </c>
      <c r="C2345">
        <v>50</v>
      </c>
      <c r="D2345" s="21">
        <v>84.7</v>
      </c>
      <c r="E2345" s="22">
        <v>38275</v>
      </c>
      <c r="F2345" t="s">
        <v>13</v>
      </c>
      <c r="G2345" t="s">
        <v>14</v>
      </c>
      <c r="H2345">
        <v>4</v>
      </c>
      <c r="I2345">
        <v>2004</v>
      </c>
      <c r="J2345" t="s">
        <v>22</v>
      </c>
      <c r="K2345" t="s">
        <v>57</v>
      </c>
    </row>
    <row r="2346" spans="1:11">
      <c r="A2346" t="s">
        <v>188</v>
      </c>
      <c r="B2346">
        <v>10319</v>
      </c>
      <c r="C2346">
        <v>22</v>
      </c>
      <c r="D2346" s="21">
        <v>100</v>
      </c>
      <c r="E2346" s="22">
        <v>38294</v>
      </c>
      <c r="F2346" t="s">
        <v>13</v>
      </c>
      <c r="G2346" t="s">
        <v>14</v>
      </c>
      <c r="H2346">
        <v>4</v>
      </c>
      <c r="I2346">
        <v>2004</v>
      </c>
      <c r="J2346" t="s">
        <v>15</v>
      </c>
      <c r="K2346" t="s">
        <v>189</v>
      </c>
    </row>
    <row r="2347" spans="1:11">
      <c r="A2347" t="s">
        <v>116</v>
      </c>
      <c r="B2347">
        <v>10331</v>
      </c>
      <c r="C2347">
        <v>32</v>
      </c>
      <c r="D2347" s="21">
        <v>100</v>
      </c>
      <c r="E2347" s="22">
        <v>38308</v>
      </c>
      <c r="F2347" t="s">
        <v>13</v>
      </c>
      <c r="G2347" t="s">
        <v>14</v>
      </c>
      <c r="H2347">
        <v>4</v>
      </c>
      <c r="I2347">
        <v>2004</v>
      </c>
      <c r="J2347" t="s">
        <v>22</v>
      </c>
      <c r="K2347" t="s">
        <v>117</v>
      </c>
    </row>
    <row r="2348" spans="1:11">
      <c r="A2348" t="s">
        <v>60</v>
      </c>
      <c r="B2348">
        <v>10341</v>
      </c>
      <c r="C2348">
        <v>31</v>
      </c>
      <c r="D2348" s="21">
        <v>71.02</v>
      </c>
      <c r="E2348" s="22">
        <v>38315</v>
      </c>
      <c r="F2348" t="s">
        <v>13</v>
      </c>
      <c r="G2348" t="s">
        <v>14</v>
      </c>
      <c r="H2348">
        <v>4</v>
      </c>
      <c r="I2348">
        <v>2004</v>
      </c>
      <c r="J2348" t="s">
        <v>15</v>
      </c>
      <c r="K2348" t="s">
        <v>62</v>
      </c>
    </row>
    <row r="2349" spans="1:11">
      <c r="A2349" t="s">
        <v>69</v>
      </c>
      <c r="B2349">
        <v>10355</v>
      </c>
      <c r="C2349">
        <v>40</v>
      </c>
      <c r="D2349" s="21">
        <v>100</v>
      </c>
      <c r="E2349" s="22">
        <v>38328</v>
      </c>
      <c r="F2349" t="s">
        <v>13</v>
      </c>
      <c r="G2349" t="s">
        <v>14</v>
      </c>
      <c r="H2349">
        <v>4</v>
      </c>
      <c r="I2349">
        <v>2004</v>
      </c>
      <c r="J2349" t="s">
        <v>22</v>
      </c>
      <c r="K2349" t="s">
        <v>71</v>
      </c>
    </row>
    <row r="2350" spans="1:11">
      <c r="A2350" t="s">
        <v>126</v>
      </c>
      <c r="B2350">
        <v>10365</v>
      </c>
      <c r="C2350">
        <v>22</v>
      </c>
      <c r="D2350" s="21">
        <v>100</v>
      </c>
      <c r="E2350" s="22">
        <v>38359</v>
      </c>
      <c r="F2350" t="s">
        <v>13</v>
      </c>
      <c r="G2350" t="s">
        <v>14</v>
      </c>
      <c r="H2350">
        <v>1</v>
      </c>
      <c r="I2350">
        <v>2005</v>
      </c>
      <c r="J2350" t="s">
        <v>22</v>
      </c>
      <c r="K2350" t="s">
        <v>127</v>
      </c>
    </row>
    <row r="2351" spans="1:11">
      <c r="A2351" t="s">
        <v>50</v>
      </c>
      <c r="B2351">
        <v>10375</v>
      </c>
      <c r="C2351">
        <v>41</v>
      </c>
      <c r="D2351" s="21">
        <v>100</v>
      </c>
      <c r="E2351" s="22">
        <v>38386</v>
      </c>
      <c r="F2351" t="s">
        <v>13</v>
      </c>
      <c r="G2351" t="s">
        <v>14</v>
      </c>
      <c r="H2351">
        <v>1</v>
      </c>
      <c r="I2351">
        <v>2005</v>
      </c>
      <c r="J2351" t="s">
        <v>22</v>
      </c>
      <c r="K2351" t="s">
        <v>51</v>
      </c>
    </row>
    <row r="2352" spans="1:11">
      <c r="A2352" t="s">
        <v>103</v>
      </c>
      <c r="B2352">
        <v>10390</v>
      </c>
      <c r="C2352">
        <v>45</v>
      </c>
      <c r="D2352" s="21">
        <v>48.98</v>
      </c>
      <c r="E2352" s="22">
        <v>38415</v>
      </c>
      <c r="F2352" t="s">
        <v>13</v>
      </c>
      <c r="G2352" t="s">
        <v>14</v>
      </c>
      <c r="H2352">
        <v>1</v>
      </c>
      <c r="I2352">
        <v>2005</v>
      </c>
      <c r="J2352" t="s">
        <v>15</v>
      </c>
      <c r="K2352" t="s">
        <v>104</v>
      </c>
    </row>
    <row r="2353" spans="1:11">
      <c r="A2353" t="s">
        <v>67</v>
      </c>
      <c r="B2353">
        <v>10403</v>
      </c>
      <c r="C2353">
        <v>45</v>
      </c>
      <c r="D2353" s="21">
        <v>100</v>
      </c>
      <c r="E2353" s="22">
        <v>38450</v>
      </c>
      <c r="F2353" t="s">
        <v>13</v>
      </c>
      <c r="G2353" t="s">
        <v>14</v>
      </c>
      <c r="H2353">
        <v>2</v>
      </c>
      <c r="I2353">
        <v>2005</v>
      </c>
      <c r="J2353" t="s">
        <v>22</v>
      </c>
      <c r="K2353" t="s">
        <v>68</v>
      </c>
    </row>
    <row r="2354" spans="1:11">
      <c r="A2354" t="s">
        <v>203</v>
      </c>
      <c r="B2354">
        <v>10106</v>
      </c>
      <c r="C2354">
        <v>39</v>
      </c>
      <c r="D2354" s="21">
        <v>40.15</v>
      </c>
      <c r="E2354" s="22">
        <v>37669</v>
      </c>
      <c r="F2354" t="s">
        <v>13</v>
      </c>
      <c r="G2354" t="s">
        <v>202</v>
      </c>
      <c r="H2354">
        <v>1</v>
      </c>
      <c r="I2354">
        <v>2003</v>
      </c>
      <c r="J2354" t="s">
        <v>15</v>
      </c>
      <c r="K2354" t="s">
        <v>204</v>
      </c>
    </row>
    <row r="2355" spans="1:11">
      <c r="A2355" t="s">
        <v>42</v>
      </c>
      <c r="B2355">
        <v>10120</v>
      </c>
      <c r="C2355">
        <v>49</v>
      </c>
      <c r="D2355" s="21">
        <v>50.62</v>
      </c>
      <c r="E2355" s="22">
        <v>37740</v>
      </c>
      <c r="F2355" t="s">
        <v>13</v>
      </c>
      <c r="G2355" t="s">
        <v>202</v>
      </c>
      <c r="H2355">
        <v>2</v>
      </c>
      <c r="I2355">
        <v>2003</v>
      </c>
      <c r="J2355" t="s">
        <v>15</v>
      </c>
      <c r="K2355" t="s">
        <v>43</v>
      </c>
    </row>
    <row r="2356" spans="1:11">
      <c r="A2356" t="s">
        <v>69</v>
      </c>
      <c r="B2356">
        <v>10133</v>
      </c>
      <c r="C2356">
        <v>27</v>
      </c>
      <c r="D2356" s="21">
        <v>50.19</v>
      </c>
      <c r="E2356" s="22">
        <v>37799</v>
      </c>
      <c r="F2356" t="s">
        <v>13</v>
      </c>
      <c r="G2356" t="s">
        <v>202</v>
      </c>
      <c r="H2356">
        <v>2</v>
      </c>
      <c r="I2356">
        <v>2003</v>
      </c>
      <c r="J2356" t="s">
        <v>15</v>
      </c>
      <c r="K2356" t="s">
        <v>71</v>
      </c>
    </row>
    <row r="2357" spans="1:11">
      <c r="A2357" t="s">
        <v>126</v>
      </c>
      <c r="B2357">
        <v>10143</v>
      </c>
      <c r="C2357">
        <v>34</v>
      </c>
      <c r="D2357" s="21">
        <v>36.66</v>
      </c>
      <c r="E2357" s="22">
        <v>37843</v>
      </c>
      <c r="F2357" t="s">
        <v>13</v>
      </c>
      <c r="G2357" t="s">
        <v>202</v>
      </c>
      <c r="H2357">
        <v>3</v>
      </c>
      <c r="I2357">
        <v>2003</v>
      </c>
      <c r="J2357" t="s">
        <v>15</v>
      </c>
      <c r="K2357" t="s">
        <v>127</v>
      </c>
    </row>
    <row r="2358" spans="1:11">
      <c r="A2358" t="s">
        <v>69</v>
      </c>
      <c r="B2358">
        <v>10156</v>
      </c>
      <c r="C2358">
        <v>20</v>
      </c>
      <c r="D2358" s="21">
        <v>41.02</v>
      </c>
      <c r="E2358" s="22">
        <v>37902</v>
      </c>
      <c r="F2358" t="s">
        <v>13</v>
      </c>
      <c r="G2358" t="s">
        <v>202</v>
      </c>
      <c r="H2358">
        <v>4</v>
      </c>
      <c r="I2358">
        <v>2003</v>
      </c>
      <c r="J2358" t="s">
        <v>15</v>
      </c>
      <c r="K2358" t="s">
        <v>71</v>
      </c>
    </row>
    <row r="2359" spans="1:11">
      <c r="A2359" t="s">
        <v>31</v>
      </c>
      <c r="B2359">
        <v>10168</v>
      </c>
      <c r="C2359">
        <v>48</v>
      </c>
      <c r="D2359" s="21">
        <v>51.93</v>
      </c>
      <c r="E2359" s="22">
        <v>37922</v>
      </c>
      <c r="F2359" t="s">
        <v>13</v>
      </c>
      <c r="G2359" t="s">
        <v>202</v>
      </c>
      <c r="H2359">
        <v>4</v>
      </c>
      <c r="I2359">
        <v>2003</v>
      </c>
      <c r="J2359" t="s">
        <v>15</v>
      </c>
      <c r="K2359" t="s">
        <v>32</v>
      </c>
    </row>
    <row r="2360" spans="1:11">
      <c r="A2360" t="s">
        <v>89</v>
      </c>
      <c r="B2360">
        <v>10199</v>
      </c>
      <c r="C2360">
        <v>29</v>
      </c>
      <c r="D2360" s="21">
        <v>38.4</v>
      </c>
      <c r="E2360" s="22">
        <v>37956</v>
      </c>
      <c r="F2360" t="s">
        <v>13</v>
      </c>
      <c r="G2360" t="s">
        <v>202</v>
      </c>
      <c r="H2360">
        <v>4</v>
      </c>
      <c r="I2360">
        <v>2003</v>
      </c>
      <c r="J2360" t="s">
        <v>15</v>
      </c>
      <c r="K2360" t="s">
        <v>90</v>
      </c>
    </row>
    <row r="2361" spans="1:11">
      <c r="A2361" t="s">
        <v>114</v>
      </c>
      <c r="B2361">
        <v>10210</v>
      </c>
      <c r="C2361">
        <v>43</v>
      </c>
      <c r="D2361" s="21">
        <v>41.02</v>
      </c>
      <c r="E2361" s="22">
        <v>37998</v>
      </c>
      <c r="F2361" t="s">
        <v>13</v>
      </c>
      <c r="G2361" t="s">
        <v>202</v>
      </c>
      <c r="H2361">
        <v>1</v>
      </c>
      <c r="I2361">
        <v>2004</v>
      </c>
      <c r="J2361" t="s">
        <v>15</v>
      </c>
      <c r="K2361" t="s">
        <v>115</v>
      </c>
    </row>
    <row r="2362" spans="1:11">
      <c r="A2362" t="s">
        <v>42</v>
      </c>
      <c r="B2362">
        <v>10223</v>
      </c>
      <c r="C2362">
        <v>41</v>
      </c>
      <c r="D2362" s="21">
        <v>46.26</v>
      </c>
      <c r="E2362" s="22">
        <v>38037</v>
      </c>
      <c r="F2362" t="s">
        <v>13</v>
      </c>
      <c r="G2362" t="s">
        <v>202</v>
      </c>
      <c r="H2362">
        <v>1</v>
      </c>
      <c r="I2362">
        <v>2004</v>
      </c>
      <c r="J2362" t="s">
        <v>15</v>
      </c>
      <c r="K2362" t="s">
        <v>43</v>
      </c>
    </row>
    <row r="2363" spans="1:11">
      <c r="A2363" t="s">
        <v>141</v>
      </c>
      <c r="B2363">
        <v>10235</v>
      </c>
      <c r="C2363">
        <v>41</v>
      </c>
      <c r="D2363" s="21">
        <v>35.35</v>
      </c>
      <c r="E2363" s="22">
        <v>38079</v>
      </c>
      <c r="F2363" t="s">
        <v>13</v>
      </c>
      <c r="G2363" t="s">
        <v>202</v>
      </c>
      <c r="H2363">
        <v>2</v>
      </c>
      <c r="I2363">
        <v>2004</v>
      </c>
      <c r="J2363" t="s">
        <v>15</v>
      </c>
      <c r="K2363" t="s">
        <v>142</v>
      </c>
    </row>
    <row r="2364" spans="1:11">
      <c r="A2364" t="s">
        <v>149</v>
      </c>
      <c r="B2364">
        <v>10250</v>
      </c>
      <c r="C2364">
        <v>36</v>
      </c>
      <c r="D2364" s="21">
        <v>51.93</v>
      </c>
      <c r="E2364" s="22">
        <v>38118</v>
      </c>
      <c r="F2364" t="s">
        <v>13</v>
      </c>
      <c r="G2364" t="s">
        <v>202</v>
      </c>
      <c r="H2364">
        <v>2</v>
      </c>
      <c r="I2364">
        <v>2004</v>
      </c>
      <c r="J2364" t="s">
        <v>15</v>
      </c>
      <c r="K2364" t="s">
        <v>150</v>
      </c>
    </row>
    <row r="2365" spans="1:11">
      <c r="A2365" t="s">
        <v>69</v>
      </c>
      <c r="B2365">
        <v>10262</v>
      </c>
      <c r="C2365">
        <v>49</v>
      </c>
      <c r="D2365" s="21">
        <v>37.97</v>
      </c>
      <c r="E2365" s="22">
        <v>38162</v>
      </c>
      <c r="F2365" t="s">
        <v>128</v>
      </c>
      <c r="G2365" t="s">
        <v>202</v>
      </c>
      <c r="H2365">
        <v>2</v>
      </c>
      <c r="I2365">
        <v>2004</v>
      </c>
      <c r="J2365" t="s">
        <v>15</v>
      </c>
      <c r="K2365" t="s">
        <v>71</v>
      </c>
    </row>
    <row r="2366" spans="1:11">
      <c r="A2366" t="s">
        <v>50</v>
      </c>
      <c r="B2366">
        <v>10275</v>
      </c>
      <c r="C2366">
        <v>38</v>
      </c>
      <c r="D2366" s="21">
        <v>45.39</v>
      </c>
      <c r="E2366" s="22">
        <v>38191</v>
      </c>
      <c r="F2366" t="s">
        <v>13</v>
      </c>
      <c r="G2366" t="s">
        <v>202</v>
      </c>
      <c r="H2366">
        <v>3</v>
      </c>
      <c r="I2366">
        <v>2004</v>
      </c>
      <c r="J2366" t="s">
        <v>15</v>
      </c>
      <c r="K2366" t="s">
        <v>51</v>
      </c>
    </row>
    <row r="2367" spans="1:11">
      <c r="A2367" t="s">
        <v>200</v>
      </c>
      <c r="B2367">
        <v>10284</v>
      </c>
      <c r="C2367">
        <v>33</v>
      </c>
      <c r="D2367" s="21">
        <v>51.93</v>
      </c>
      <c r="E2367" s="22">
        <v>38220</v>
      </c>
      <c r="F2367" t="s">
        <v>13</v>
      </c>
      <c r="G2367" t="s">
        <v>202</v>
      </c>
      <c r="H2367">
        <v>3</v>
      </c>
      <c r="I2367">
        <v>2004</v>
      </c>
      <c r="J2367" t="s">
        <v>15</v>
      </c>
      <c r="K2367" t="s">
        <v>201</v>
      </c>
    </row>
    <row r="2368" spans="1:11">
      <c r="A2368" t="s">
        <v>210</v>
      </c>
      <c r="B2368">
        <v>10296</v>
      </c>
      <c r="C2368">
        <v>26</v>
      </c>
      <c r="D2368" s="21">
        <v>48.44</v>
      </c>
      <c r="E2368" s="22">
        <v>38245</v>
      </c>
      <c r="F2368" t="s">
        <v>13</v>
      </c>
      <c r="G2368" t="s">
        <v>202</v>
      </c>
      <c r="H2368">
        <v>3</v>
      </c>
      <c r="I2368">
        <v>2004</v>
      </c>
      <c r="J2368" t="s">
        <v>15</v>
      </c>
      <c r="K2368" t="s">
        <v>211</v>
      </c>
    </row>
    <row r="2369" spans="1:11">
      <c r="A2369" t="s">
        <v>120</v>
      </c>
      <c r="B2369">
        <v>10308</v>
      </c>
      <c r="C2369">
        <v>47</v>
      </c>
      <c r="D2369" s="21">
        <v>43.64</v>
      </c>
      <c r="E2369" s="22">
        <v>38275</v>
      </c>
      <c r="F2369" t="s">
        <v>13</v>
      </c>
      <c r="G2369" t="s">
        <v>202</v>
      </c>
      <c r="H2369">
        <v>4</v>
      </c>
      <c r="I2369">
        <v>2004</v>
      </c>
      <c r="J2369" t="s">
        <v>15</v>
      </c>
      <c r="K2369" t="s">
        <v>121</v>
      </c>
    </row>
    <row r="2370" spans="1:11">
      <c r="A2370" t="s">
        <v>145</v>
      </c>
      <c r="B2370">
        <v>10316</v>
      </c>
      <c r="C2370">
        <v>34</v>
      </c>
      <c r="D2370" s="21">
        <v>47.57</v>
      </c>
      <c r="E2370" s="22">
        <v>38292</v>
      </c>
      <c r="F2370" t="s">
        <v>13</v>
      </c>
      <c r="G2370" t="s">
        <v>202</v>
      </c>
      <c r="H2370">
        <v>4</v>
      </c>
      <c r="I2370">
        <v>2004</v>
      </c>
      <c r="J2370" t="s">
        <v>15</v>
      </c>
      <c r="K2370" t="s">
        <v>146</v>
      </c>
    </row>
    <row r="2371" spans="1:11">
      <c r="A2371" t="s">
        <v>203</v>
      </c>
      <c r="B2371">
        <v>10328</v>
      </c>
      <c r="C2371">
        <v>34</v>
      </c>
      <c r="D2371" s="21">
        <v>51.93</v>
      </c>
      <c r="E2371" s="22">
        <v>38303</v>
      </c>
      <c r="F2371" t="s">
        <v>13</v>
      </c>
      <c r="G2371" t="s">
        <v>202</v>
      </c>
      <c r="H2371">
        <v>4</v>
      </c>
      <c r="I2371">
        <v>2004</v>
      </c>
      <c r="J2371" t="s">
        <v>15</v>
      </c>
      <c r="K2371" t="s">
        <v>204</v>
      </c>
    </row>
    <row r="2372" spans="1:11">
      <c r="A2372" t="s">
        <v>133</v>
      </c>
      <c r="B2372">
        <v>10340</v>
      </c>
      <c r="C2372">
        <v>40</v>
      </c>
      <c r="D2372" s="21">
        <v>50.62</v>
      </c>
      <c r="E2372" s="22">
        <v>38315</v>
      </c>
      <c r="F2372" t="s">
        <v>13</v>
      </c>
      <c r="G2372" t="s">
        <v>202</v>
      </c>
      <c r="H2372">
        <v>4</v>
      </c>
      <c r="I2372">
        <v>2004</v>
      </c>
      <c r="J2372" t="s">
        <v>15</v>
      </c>
      <c r="K2372" t="s">
        <v>134</v>
      </c>
    </row>
    <row r="2373" spans="1:11">
      <c r="A2373" t="s">
        <v>208</v>
      </c>
      <c r="B2373">
        <v>10353</v>
      </c>
      <c r="C2373">
        <v>40</v>
      </c>
      <c r="D2373" s="21">
        <v>82.21</v>
      </c>
      <c r="E2373" s="22">
        <v>38325</v>
      </c>
      <c r="F2373" t="s">
        <v>13</v>
      </c>
      <c r="G2373" t="s">
        <v>202</v>
      </c>
      <c r="H2373">
        <v>4</v>
      </c>
      <c r="I2373">
        <v>2004</v>
      </c>
      <c r="J2373" t="s">
        <v>22</v>
      </c>
      <c r="K2373" t="s">
        <v>209</v>
      </c>
    </row>
    <row r="2374" spans="1:11">
      <c r="A2374" t="s">
        <v>63</v>
      </c>
      <c r="B2374">
        <v>10361</v>
      </c>
      <c r="C2374">
        <v>33</v>
      </c>
      <c r="D2374" s="21">
        <v>82.59</v>
      </c>
      <c r="E2374" s="22">
        <v>38338</v>
      </c>
      <c r="F2374" t="s">
        <v>13</v>
      </c>
      <c r="G2374" t="s">
        <v>202</v>
      </c>
      <c r="H2374">
        <v>4</v>
      </c>
      <c r="I2374">
        <v>2004</v>
      </c>
      <c r="J2374" t="s">
        <v>15</v>
      </c>
      <c r="K2374" t="s">
        <v>64</v>
      </c>
    </row>
    <row r="2375" spans="1:11">
      <c r="A2375" t="s">
        <v>50</v>
      </c>
      <c r="B2375">
        <v>10375</v>
      </c>
      <c r="C2375">
        <v>49</v>
      </c>
      <c r="D2375" s="21">
        <v>65.8</v>
      </c>
      <c r="E2375" s="22">
        <v>38386</v>
      </c>
      <c r="F2375" t="s">
        <v>13</v>
      </c>
      <c r="G2375" t="s">
        <v>202</v>
      </c>
      <c r="H2375">
        <v>1</v>
      </c>
      <c r="I2375">
        <v>2005</v>
      </c>
      <c r="J2375" t="s">
        <v>22</v>
      </c>
      <c r="K2375" t="s">
        <v>51</v>
      </c>
    </row>
    <row r="2376" spans="1:11">
      <c r="A2376" t="s">
        <v>65</v>
      </c>
      <c r="B2376">
        <v>10388</v>
      </c>
      <c r="C2376">
        <v>27</v>
      </c>
      <c r="D2376" s="21">
        <v>100</v>
      </c>
      <c r="E2376" s="22">
        <v>38414</v>
      </c>
      <c r="F2376" t="s">
        <v>13</v>
      </c>
      <c r="G2376" t="s">
        <v>202</v>
      </c>
      <c r="H2376">
        <v>1</v>
      </c>
      <c r="I2376">
        <v>2005</v>
      </c>
      <c r="J2376" t="s">
        <v>22</v>
      </c>
      <c r="K2376" t="s">
        <v>66</v>
      </c>
    </row>
    <row r="2377" spans="1:11">
      <c r="A2377" t="s">
        <v>18</v>
      </c>
      <c r="B2377">
        <v>10398</v>
      </c>
      <c r="C2377">
        <v>49</v>
      </c>
      <c r="D2377" s="21">
        <v>36.66</v>
      </c>
      <c r="E2377" s="22">
        <v>38441</v>
      </c>
      <c r="F2377" t="s">
        <v>13</v>
      </c>
      <c r="G2377" t="s">
        <v>202</v>
      </c>
      <c r="H2377">
        <v>1</v>
      </c>
      <c r="I2377">
        <v>2005</v>
      </c>
      <c r="J2377" t="s">
        <v>15</v>
      </c>
      <c r="K2377" t="s">
        <v>19</v>
      </c>
    </row>
    <row r="2378" spans="1:11">
      <c r="A2378" t="s">
        <v>46</v>
      </c>
      <c r="B2378">
        <v>10401</v>
      </c>
      <c r="C2378">
        <v>56</v>
      </c>
      <c r="D2378" s="21">
        <v>35.35</v>
      </c>
      <c r="E2378" s="22">
        <v>38445</v>
      </c>
      <c r="F2378" t="s">
        <v>151</v>
      </c>
      <c r="G2378" t="s">
        <v>202</v>
      </c>
      <c r="H2378">
        <v>2</v>
      </c>
      <c r="I2378">
        <v>2005</v>
      </c>
      <c r="J2378" t="s">
        <v>15</v>
      </c>
      <c r="K2378" t="s">
        <v>47</v>
      </c>
    </row>
    <row r="2379" spans="1:11">
      <c r="A2379" t="s">
        <v>169</v>
      </c>
      <c r="B2379">
        <v>10416</v>
      </c>
      <c r="C2379">
        <v>37</v>
      </c>
      <c r="D2379" s="21">
        <v>51.93</v>
      </c>
      <c r="E2379" s="22">
        <v>38482</v>
      </c>
      <c r="F2379" t="s">
        <v>13</v>
      </c>
      <c r="G2379" t="s">
        <v>202</v>
      </c>
      <c r="H2379">
        <v>2</v>
      </c>
      <c r="I2379">
        <v>2005</v>
      </c>
      <c r="J2379" t="s">
        <v>15</v>
      </c>
      <c r="K2379" t="s">
        <v>170</v>
      </c>
    </row>
    <row r="2380" spans="1:11">
      <c r="A2380" t="s">
        <v>69</v>
      </c>
      <c r="B2380">
        <v>10104</v>
      </c>
      <c r="C2380">
        <v>33</v>
      </c>
      <c r="D2380" s="21">
        <v>100</v>
      </c>
      <c r="E2380" s="22">
        <v>37652</v>
      </c>
      <c r="F2380" t="s">
        <v>13</v>
      </c>
      <c r="G2380" t="s">
        <v>187</v>
      </c>
      <c r="H2380">
        <v>1</v>
      </c>
      <c r="I2380">
        <v>2003</v>
      </c>
      <c r="J2380" t="s">
        <v>22</v>
      </c>
      <c r="K2380" t="s">
        <v>71</v>
      </c>
    </row>
    <row r="2381" spans="1:11">
      <c r="A2381" t="s">
        <v>79</v>
      </c>
      <c r="B2381">
        <v>10115</v>
      </c>
      <c r="C2381">
        <v>27</v>
      </c>
      <c r="D2381" s="21">
        <v>100</v>
      </c>
      <c r="E2381" s="22">
        <v>37715</v>
      </c>
      <c r="F2381" t="s">
        <v>13</v>
      </c>
      <c r="G2381" t="s">
        <v>187</v>
      </c>
      <c r="H2381">
        <v>2</v>
      </c>
      <c r="I2381">
        <v>2003</v>
      </c>
      <c r="J2381" t="s">
        <v>15</v>
      </c>
      <c r="K2381" t="s">
        <v>80</v>
      </c>
    </row>
    <row r="2382" spans="1:11">
      <c r="A2382" t="s">
        <v>177</v>
      </c>
      <c r="B2382">
        <v>10127</v>
      </c>
      <c r="C2382">
        <v>46</v>
      </c>
      <c r="D2382" s="21">
        <v>100</v>
      </c>
      <c r="E2382" s="22">
        <v>37775</v>
      </c>
      <c r="F2382" t="s">
        <v>13</v>
      </c>
      <c r="G2382" t="s">
        <v>187</v>
      </c>
      <c r="H2382">
        <v>2</v>
      </c>
      <c r="I2382">
        <v>2003</v>
      </c>
      <c r="J2382" t="s">
        <v>22</v>
      </c>
      <c r="K2382" t="s">
        <v>178</v>
      </c>
    </row>
    <row r="2383" spans="1:11">
      <c r="A2383" t="s">
        <v>175</v>
      </c>
      <c r="B2383">
        <v>10141</v>
      </c>
      <c r="C2383">
        <v>44</v>
      </c>
      <c r="D2383" s="21">
        <v>100</v>
      </c>
      <c r="E2383" s="22">
        <v>37834</v>
      </c>
      <c r="F2383" t="s">
        <v>13</v>
      </c>
      <c r="G2383" t="s">
        <v>187</v>
      </c>
      <c r="H2383">
        <v>3</v>
      </c>
      <c r="I2383">
        <v>2003</v>
      </c>
      <c r="J2383" t="s">
        <v>22</v>
      </c>
      <c r="K2383" t="s">
        <v>176</v>
      </c>
    </row>
    <row r="2384" spans="1:11">
      <c r="A2384" t="s">
        <v>147</v>
      </c>
      <c r="B2384">
        <v>10151</v>
      </c>
      <c r="C2384">
        <v>26</v>
      </c>
      <c r="D2384" s="21">
        <v>100</v>
      </c>
      <c r="E2384" s="22">
        <v>37885</v>
      </c>
      <c r="F2384" t="s">
        <v>13</v>
      </c>
      <c r="G2384" t="s">
        <v>187</v>
      </c>
      <c r="H2384">
        <v>3</v>
      </c>
      <c r="I2384">
        <v>2003</v>
      </c>
      <c r="J2384" t="s">
        <v>22</v>
      </c>
      <c r="K2384" t="s">
        <v>148</v>
      </c>
    </row>
    <row r="2385" spans="1:11">
      <c r="A2385" t="s">
        <v>77</v>
      </c>
      <c r="B2385">
        <v>10165</v>
      </c>
      <c r="C2385">
        <v>48</v>
      </c>
      <c r="D2385" s="21">
        <v>94.92</v>
      </c>
      <c r="E2385" s="22">
        <v>37916</v>
      </c>
      <c r="F2385" t="s">
        <v>13</v>
      </c>
      <c r="G2385" t="s">
        <v>187</v>
      </c>
      <c r="H2385">
        <v>4</v>
      </c>
      <c r="I2385">
        <v>2003</v>
      </c>
      <c r="J2385" t="s">
        <v>22</v>
      </c>
      <c r="K2385" t="s">
        <v>78</v>
      </c>
    </row>
    <row r="2386" spans="1:11">
      <c r="A2386" t="s">
        <v>169</v>
      </c>
      <c r="B2386">
        <v>10176</v>
      </c>
      <c r="C2386">
        <v>23</v>
      </c>
      <c r="D2386" s="21">
        <v>100</v>
      </c>
      <c r="E2386" s="22">
        <v>37931</v>
      </c>
      <c r="F2386" t="s">
        <v>13</v>
      </c>
      <c r="G2386" t="s">
        <v>187</v>
      </c>
      <c r="H2386">
        <v>4</v>
      </c>
      <c r="I2386">
        <v>2003</v>
      </c>
      <c r="J2386" t="s">
        <v>22</v>
      </c>
      <c r="K2386" t="s">
        <v>170</v>
      </c>
    </row>
    <row r="2387" spans="1:11">
      <c r="A2387" t="s">
        <v>192</v>
      </c>
      <c r="B2387">
        <v>10184</v>
      </c>
      <c r="C2387">
        <v>45</v>
      </c>
      <c r="D2387" s="21">
        <v>100</v>
      </c>
      <c r="E2387" s="22">
        <v>37939</v>
      </c>
      <c r="F2387" t="s">
        <v>13</v>
      </c>
      <c r="G2387" t="s">
        <v>187</v>
      </c>
      <c r="H2387">
        <v>4</v>
      </c>
      <c r="I2387">
        <v>2003</v>
      </c>
      <c r="J2387" t="s">
        <v>22</v>
      </c>
      <c r="K2387" t="s">
        <v>193</v>
      </c>
    </row>
    <row r="2388" spans="1:11">
      <c r="A2388" t="s">
        <v>120</v>
      </c>
      <c r="B2388">
        <v>10195</v>
      </c>
      <c r="C2388">
        <v>49</v>
      </c>
      <c r="D2388" s="21">
        <v>100</v>
      </c>
      <c r="E2388" s="22">
        <v>37950</v>
      </c>
      <c r="F2388" t="s">
        <v>13</v>
      </c>
      <c r="G2388" t="s">
        <v>187</v>
      </c>
      <c r="H2388">
        <v>4</v>
      </c>
      <c r="I2388">
        <v>2003</v>
      </c>
      <c r="J2388" t="s">
        <v>22</v>
      </c>
      <c r="K2388" t="s">
        <v>121</v>
      </c>
    </row>
    <row r="2389" spans="1:11">
      <c r="A2389" t="s">
        <v>157</v>
      </c>
      <c r="B2389">
        <v>10207</v>
      </c>
      <c r="C2389">
        <v>28</v>
      </c>
      <c r="D2389" s="21">
        <v>94.92</v>
      </c>
      <c r="E2389" s="22">
        <v>37964</v>
      </c>
      <c r="F2389" t="s">
        <v>13</v>
      </c>
      <c r="G2389" t="s">
        <v>187</v>
      </c>
      <c r="H2389">
        <v>4</v>
      </c>
      <c r="I2389">
        <v>2003</v>
      </c>
      <c r="J2389" t="s">
        <v>15</v>
      </c>
      <c r="K2389" t="s">
        <v>158</v>
      </c>
    </row>
    <row r="2390" spans="1:11">
      <c r="A2390" t="s">
        <v>179</v>
      </c>
      <c r="B2390">
        <v>10220</v>
      </c>
      <c r="C2390">
        <v>37</v>
      </c>
      <c r="D2390" s="21">
        <v>100</v>
      </c>
      <c r="E2390" s="22">
        <v>38029</v>
      </c>
      <c r="F2390" t="s">
        <v>13</v>
      </c>
      <c r="G2390" t="s">
        <v>187</v>
      </c>
      <c r="H2390">
        <v>1</v>
      </c>
      <c r="I2390">
        <v>2004</v>
      </c>
      <c r="J2390" t="s">
        <v>22</v>
      </c>
      <c r="K2390" t="s">
        <v>180</v>
      </c>
    </row>
    <row r="2391" spans="1:11">
      <c r="A2391" t="s">
        <v>173</v>
      </c>
      <c r="B2391">
        <v>10230</v>
      </c>
      <c r="C2391">
        <v>34</v>
      </c>
      <c r="D2391" s="21">
        <v>100</v>
      </c>
      <c r="E2391" s="22">
        <v>38061</v>
      </c>
      <c r="F2391" t="s">
        <v>13</v>
      </c>
      <c r="G2391" t="s">
        <v>187</v>
      </c>
      <c r="H2391">
        <v>1</v>
      </c>
      <c r="I2391">
        <v>2004</v>
      </c>
      <c r="J2391" t="s">
        <v>22</v>
      </c>
      <c r="K2391" t="s">
        <v>174</v>
      </c>
    </row>
    <row r="2392" spans="1:11">
      <c r="A2392" t="s">
        <v>69</v>
      </c>
      <c r="B2392">
        <v>10246</v>
      </c>
      <c r="C2392">
        <v>22</v>
      </c>
      <c r="D2392" s="21">
        <v>100</v>
      </c>
      <c r="E2392" s="22">
        <v>38112</v>
      </c>
      <c r="F2392" t="s">
        <v>13</v>
      </c>
      <c r="G2392" t="s">
        <v>187</v>
      </c>
      <c r="H2392">
        <v>2</v>
      </c>
      <c r="I2392">
        <v>2004</v>
      </c>
      <c r="J2392" t="s">
        <v>15</v>
      </c>
      <c r="K2392" t="s">
        <v>71</v>
      </c>
    </row>
    <row r="2393" spans="1:11">
      <c r="A2393" t="s">
        <v>159</v>
      </c>
      <c r="B2393">
        <v>10259</v>
      </c>
      <c r="C2393">
        <v>29</v>
      </c>
      <c r="D2393" s="21">
        <v>100</v>
      </c>
      <c r="E2393" s="22">
        <v>38153</v>
      </c>
      <c r="F2393" t="s">
        <v>13</v>
      </c>
      <c r="G2393" t="s">
        <v>187</v>
      </c>
      <c r="H2393">
        <v>2</v>
      </c>
      <c r="I2393">
        <v>2004</v>
      </c>
      <c r="J2393" t="s">
        <v>22</v>
      </c>
      <c r="K2393" t="s">
        <v>160</v>
      </c>
    </row>
    <row r="2394" spans="1:11">
      <c r="A2394" t="s">
        <v>103</v>
      </c>
      <c r="B2394">
        <v>10271</v>
      </c>
      <c r="C2394">
        <v>34</v>
      </c>
      <c r="D2394" s="21">
        <v>98.39</v>
      </c>
      <c r="E2394" s="22">
        <v>38188</v>
      </c>
      <c r="F2394" t="s">
        <v>13</v>
      </c>
      <c r="G2394" t="s">
        <v>187</v>
      </c>
      <c r="H2394">
        <v>3</v>
      </c>
      <c r="I2394">
        <v>2004</v>
      </c>
      <c r="J2394" t="s">
        <v>22</v>
      </c>
      <c r="K2394" t="s">
        <v>104</v>
      </c>
    </row>
    <row r="2395" spans="1:11">
      <c r="A2395" t="s">
        <v>103</v>
      </c>
      <c r="B2395">
        <v>10282</v>
      </c>
      <c r="C2395">
        <v>38</v>
      </c>
      <c r="D2395" s="21">
        <v>100</v>
      </c>
      <c r="E2395" s="22">
        <v>38219</v>
      </c>
      <c r="F2395" t="s">
        <v>13</v>
      </c>
      <c r="G2395" t="s">
        <v>187</v>
      </c>
      <c r="H2395">
        <v>3</v>
      </c>
      <c r="I2395">
        <v>2004</v>
      </c>
      <c r="J2395" t="s">
        <v>22</v>
      </c>
      <c r="K2395" t="s">
        <v>104</v>
      </c>
    </row>
    <row r="2396" spans="1:11">
      <c r="A2396" t="s">
        <v>12</v>
      </c>
      <c r="B2396">
        <v>10292</v>
      </c>
      <c r="C2396">
        <v>41</v>
      </c>
      <c r="D2396" s="21">
        <v>100</v>
      </c>
      <c r="E2396" s="22">
        <v>38238</v>
      </c>
      <c r="F2396" t="s">
        <v>13</v>
      </c>
      <c r="G2396" t="s">
        <v>187</v>
      </c>
      <c r="H2396">
        <v>3</v>
      </c>
      <c r="I2396">
        <v>2004</v>
      </c>
      <c r="J2396" t="s">
        <v>22</v>
      </c>
      <c r="K2396" t="s">
        <v>16</v>
      </c>
    </row>
    <row r="2397" spans="1:11">
      <c r="A2397" t="s">
        <v>52</v>
      </c>
      <c r="B2397">
        <v>10305</v>
      </c>
      <c r="C2397">
        <v>42</v>
      </c>
      <c r="D2397" s="21">
        <v>100</v>
      </c>
      <c r="E2397" s="22">
        <v>38273</v>
      </c>
      <c r="F2397" t="s">
        <v>13</v>
      </c>
      <c r="G2397" t="s">
        <v>187</v>
      </c>
      <c r="H2397">
        <v>4</v>
      </c>
      <c r="I2397">
        <v>2004</v>
      </c>
      <c r="J2397" t="s">
        <v>22</v>
      </c>
      <c r="K2397" t="s">
        <v>53</v>
      </c>
    </row>
    <row r="2398" spans="1:11">
      <c r="A2398" t="s">
        <v>185</v>
      </c>
      <c r="B2398">
        <v>10314</v>
      </c>
      <c r="C2398">
        <v>28</v>
      </c>
      <c r="D2398" s="21">
        <v>100</v>
      </c>
      <c r="E2398" s="22">
        <v>38282</v>
      </c>
      <c r="F2398" t="s">
        <v>13</v>
      </c>
      <c r="G2398" t="s">
        <v>187</v>
      </c>
      <c r="H2398">
        <v>4</v>
      </c>
      <c r="I2398">
        <v>2004</v>
      </c>
      <c r="J2398" t="s">
        <v>22</v>
      </c>
      <c r="K2398" t="s">
        <v>186</v>
      </c>
    </row>
    <row r="2399" spans="1:11">
      <c r="A2399" t="s">
        <v>56</v>
      </c>
      <c r="B2399">
        <v>10325</v>
      </c>
      <c r="C2399">
        <v>38</v>
      </c>
      <c r="D2399" s="21">
        <v>100</v>
      </c>
      <c r="E2399" s="22">
        <v>38296</v>
      </c>
      <c r="F2399" t="s">
        <v>13</v>
      </c>
      <c r="G2399" t="s">
        <v>187</v>
      </c>
      <c r="H2399">
        <v>4</v>
      </c>
      <c r="I2399">
        <v>2004</v>
      </c>
      <c r="J2399" t="s">
        <v>22</v>
      </c>
      <c r="K2399" t="s">
        <v>57</v>
      </c>
    </row>
    <row r="2400" spans="1:11">
      <c r="A2400" t="s">
        <v>152</v>
      </c>
      <c r="B2400">
        <v>10336</v>
      </c>
      <c r="C2400">
        <v>23</v>
      </c>
      <c r="D2400" s="21">
        <v>100</v>
      </c>
      <c r="E2400" s="22">
        <v>38311</v>
      </c>
      <c r="F2400" t="s">
        <v>13</v>
      </c>
      <c r="G2400" t="s">
        <v>187</v>
      </c>
      <c r="H2400">
        <v>4</v>
      </c>
      <c r="I2400">
        <v>2004</v>
      </c>
      <c r="J2400" t="s">
        <v>22</v>
      </c>
      <c r="K2400" t="s">
        <v>153</v>
      </c>
    </row>
    <row r="2401" spans="1:11">
      <c r="A2401" t="s">
        <v>69</v>
      </c>
      <c r="B2401">
        <v>10350</v>
      </c>
      <c r="C2401">
        <v>31</v>
      </c>
      <c r="D2401" s="21">
        <v>71.4</v>
      </c>
      <c r="E2401" s="22">
        <v>38323</v>
      </c>
      <c r="F2401" t="s">
        <v>13</v>
      </c>
      <c r="G2401" t="s">
        <v>187</v>
      </c>
      <c r="H2401">
        <v>4</v>
      </c>
      <c r="I2401">
        <v>2004</v>
      </c>
      <c r="J2401" t="s">
        <v>15</v>
      </c>
      <c r="K2401" t="s">
        <v>71</v>
      </c>
    </row>
    <row r="2402" spans="1:11">
      <c r="A2402" t="s">
        <v>18</v>
      </c>
      <c r="B2402">
        <v>10359</v>
      </c>
      <c r="C2402">
        <v>46</v>
      </c>
      <c r="D2402" s="21">
        <v>100</v>
      </c>
      <c r="E2402" s="22">
        <v>38336</v>
      </c>
      <c r="F2402" t="s">
        <v>13</v>
      </c>
      <c r="G2402" t="s">
        <v>187</v>
      </c>
      <c r="H2402">
        <v>4</v>
      </c>
      <c r="I2402">
        <v>2004</v>
      </c>
      <c r="J2402" t="s">
        <v>22</v>
      </c>
      <c r="K2402" t="s">
        <v>19</v>
      </c>
    </row>
    <row r="2403" spans="1:11">
      <c r="A2403" t="s">
        <v>103</v>
      </c>
      <c r="B2403">
        <v>10371</v>
      </c>
      <c r="C2403">
        <v>48</v>
      </c>
      <c r="D2403" s="21">
        <v>56.55</v>
      </c>
      <c r="E2403" s="22">
        <v>38375</v>
      </c>
      <c r="F2403" t="s">
        <v>13</v>
      </c>
      <c r="G2403" t="s">
        <v>187</v>
      </c>
      <c r="H2403">
        <v>1</v>
      </c>
      <c r="I2403">
        <v>2005</v>
      </c>
      <c r="J2403" t="s">
        <v>15</v>
      </c>
      <c r="K2403" t="s">
        <v>104</v>
      </c>
    </row>
    <row r="2404" spans="1:11">
      <c r="A2404" t="s">
        <v>69</v>
      </c>
      <c r="B2404">
        <v>10383</v>
      </c>
      <c r="C2404">
        <v>29</v>
      </c>
      <c r="D2404" s="21">
        <v>100</v>
      </c>
      <c r="E2404" s="22">
        <v>38405</v>
      </c>
      <c r="F2404" t="s">
        <v>13</v>
      </c>
      <c r="G2404" t="s">
        <v>187</v>
      </c>
      <c r="H2404">
        <v>1</v>
      </c>
      <c r="I2404">
        <v>2005</v>
      </c>
      <c r="J2404" t="s">
        <v>22</v>
      </c>
      <c r="K2404" t="s">
        <v>71</v>
      </c>
    </row>
    <row r="2405" spans="1:11">
      <c r="A2405" t="s">
        <v>21</v>
      </c>
      <c r="B2405">
        <v>10395</v>
      </c>
      <c r="C2405">
        <v>46</v>
      </c>
      <c r="D2405" s="21">
        <v>100</v>
      </c>
      <c r="E2405" s="22">
        <v>38428</v>
      </c>
      <c r="F2405" t="s">
        <v>13</v>
      </c>
      <c r="G2405" t="s">
        <v>187</v>
      </c>
      <c r="H2405">
        <v>1</v>
      </c>
      <c r="I2405">
        <v>2005</v>
      </c>
      <c r="J2405" t="s">
        <v>22</v>
      </c>
      <c r="K2405" t="s">
        <v>23</v>
      </c>
    </row>
    <row r="2406" spans="1:11">
      <c r="A2406" t="s">
        <v>69</v>
      </c>
      <c r="B2406">
        <v>10412</v>
      </c>
      <c r="C2406">
        <v>26</v>
      </c>
      <c r="D2406" s="21">
        <v>100</v>
      </c>
      <c r="E2406" s="22">
        <v>38475</v>
      </c>
      <c r="F2406" t="s">
        <v>13</v>
      </c>
      <c r="G2406" t="s">
        <v>187</v>
      </c>
      <c r="H2406">
        <v>2</v>
      </c>
      <c r="I2406">
        <v>2005</v>
      </c>
      <c r="J2406" t="s">
        <v>22</v>
      </c>
      <c r="K2406" t="s">
        <v>71</v>
      </c>
    </row>
    <row r="2407" spans="1:11">
      <c r="A2407" t="s">
        <v>50</v>
      </c>
      <c r="B2407">
        <v>10425</v>
      </c>
      <c r="C2407">
        <v>18</v>
      </c>
      <c r="D2407" s="21">
        <v>100</v>
      </c>
      <c r="E2407" s="22">
        <v>38503</v>
      </c>
      <c r="F2407" t="s">
        <v>113</v>
      </c>
      <c r="G2407" t="s">
        <v>187</v>
      </c>
      <c r="H2407">
        <v>2</v>
      </c>
      <c r="I2407">
        <v>2005</v>
      </c>
      <c r="J2407" t="s">
        <v>15</v>
      </c>
      <c r="K2407" t="s">
        <v>51</v>
      </c>
    </row>
    <row r="2408" spans="1:11">
      <c r="A2408" t="s">
        <v>69</v>
      </c>
      <c r="B2408">
        <v>10104</v>
      </c>
      <c r="C2408">
        <v>32</v>
      </c>
      <c r="D2408" s="21">
        <v>53.31</v>
      </c>
      <c r="E2408" s="22">
        <v>37652</v>
      </c>
      <c r="F2408" t="s">
        <v>13</v>
      </c>
      <c r="G2408" t="s">
        <v>217</v>
      </c>
      <c r="H2408">
        <v>1</v>
      </c>
      <c r="I2408">
        <v>2003</v>
      </c>
      <c r="J2408" t="s">
        <v>15</v>
      </c>
      <c r="K2408" t="s">
        <v>71</v>
      </c>
    </row>
    <row r="2409" spans="1:11">
      <c r="A2409" t="s">
        <v>77</v>
      </c>
      <c r="B2409">
        <v>10117</v>
      </c>
      <c r="C2409">
        <v>21</v>
      </c>
      <c r="D2409" s="21">
        <v>49.21</v>
      </c>
      <c r="E2409" s="22">
        <v>37727</v>
      </c>
      <c r="F2409" t="s">
        <v>13</v>
      </c>
      <c r="G2409" t="s">
        <v>217</v>
      </c>
      <c r="H2409">
        <v>2</v>
      </c>
      <c r="I2409">
        <v>2003</v>
      </c>
      <c r="J2409" t="s">
        <v>15</v>
      </c>
      <c r="K2409" t="s">
        <v>78</v>
      </c>
    </row>
    <row r="2410" spans="1:11">
      <c r="A2410" t="s">
        <v>177</v>
      </c>
      <c r="B2410">
        <v>10127</v>
      </c>
      <c r="C2410">
        <v>46</v>
      </c>
      <c r="D2410" s="21">
        <v>69.12</v>
      </c>
      <c r="E2410" s="22">
        <v>37775</v>
      </c>
      <c r="F2410" t="s">
        <v>13</v>
      </c>
      <c r="G2410" t="s">
        <v>217</v>
      </c>
      <c r="H2410">
        <v>2</v>
      </c>
      <c r="I2410">
        <v>2003</v>
      </c>
      <c r="J2410" t="s">
        <v>22</v>
      </c>
      <c r="K2410" t="s">
        <v>178</v>
      </c>
    </row>
    <row r="2411" spans="1:11">
      <c r="A2411" t="s">
        <v>103</v>
      </c>
      <c r="B2411">
        <v>10142</v>
      </c>
      <c r="C2411">
        <v>42</v>
      </c>
      <c r="D2411" s="21">
        <v>49.79</v>
      </c>
      <c r="E2411" s="22">
        <v>37841</v>
      </c>
      <c r="F2411" t="s">
        <v>13</v>
      </c>
      <c r="G2411" t="s">
        <v>217</v>
      </c>
      <c r="H2411">
        <v>3</v>
      </c>
      <c r="I2411">
        <v>2003</v>
      </c>
      <c r="J2411" t="s">
        <v>15</v>
      </c>
      <c r="K2411" t="s">
        <v>104</v>
      </c>
    </row>
    <row r="2412" spans="1:11">
      <c r="A2412" t="s">
        <v>69</v>
      </c>
      <c r="B2412">
        <v>10153</v>
      </c>
      <c r="C2412">
        <v>31</v>
      </c>
      <c r="D2412" s="21">
        <v>57.41</v>
      </c>
      <c r="E2412" s="22">
        <v>37892</v>
      </c>
      <c r="F2412" t="s">
        <v>13</v>
      </c>
      <c r="G2412" t="s">
        <v>217</v>
      </c>
      <c r="H2412">
        <v>3</v>
      </c>
      <c r="I2412">
        <v>2003</v>
      </c>
      <c r="J2412" t="s">
        <v>15</v>
      </c>
      <c r="K2412" t="s">
        <v>71</v>
      </c>
    </row>
    <row r="2413" spans="1:11">
      <c r="A2413" t="s">
        <v>77</v>
      </c>
      <c r="B2413">
        <v>10165</v>
      </c>
      <c r="C2413">
        <v>38</v>
      </c>
      <c r="D2413" s="21">
        <v>66.78</v>
      </c>
      <c r="E2413" s="22">
        <v>37916</v>
      </c>
      <c r="F2413" t="s">
        <v>13</v>
      </c>
      <c r="G2413" t="s">
        <v>217</v>
      </c>
      <c r="H2413">
        <v>4</v>
      </c>
      <c r="I2413">
        <v>2003</v>
      </c>
      <c r="J2413" t="s">
        <v>15</v>
      </c>
      <c r="K2413" t="s">
        <v>78</v>
      </c>
    </row>
    <row r="2414" spans="1:11">
      <c r="A2414" t="s">
        <v>169</v>
      </c>
      <c r="B2414">
        <v>10176</v>
      </c>
      <c r="C2414">
        <v>38</v>
      </c>
      <c r="D2414" s="21">
        <v>64.44</v>
      </c>
      <c r="E2414" s="22">
        <v>37931</v>
      </c>
      <c r="F2414" t="s">
        <v>13</v>
      </c>
      <c r="G2414" t="s">
        <v>217</v>
      </c>
      <c r="H2414">
        <v>4</v>
      </c>
      <c r="I2414">
        <v>2003</v>
      </c>
      <c r="J2414" t="s">
        <v>15</v>
      </c>
      <c r="K2414" t="s">
        <v>170</v>
      </c>
    </row>
    <row r="2415" spans="1:11">
      <c r="A2415" t="s">
        <v>126</v>
      </c>
      <c r="B2415">
        <v>10185</v>
      </c>
      <c r="C2415">
        <v>20</v>
      </c>
      <c r="D2415" s="21">
        <v>48.62</v>
      </c>
      <c r="E2415" s="22">
        <v>37939</v>
      </c>
      <c r="F2415" t="s">
        <v>13</v>
      </c>
      <c r="G2415" t="s">
        <v>217</v>
      </c>
      <c r="H2415">
        <v>4</v>
      </c>
      <c r="I2415">
        <v>2003</v>
      </c>
      <c r="J2415" t="s">
        <v>15</v>
      </c>
      <c r="K2415" t="s">
        <v>127</v>
      </c>
    </row>
    <row r="2416" spans="1:11">
      <c r="A2416" t="s">
        <v>93</v>
      </c>
      <c r="B2416">
        <v>10196</v>
      </c>
      <c r="C2416">
        <v>46</v>
      </c>
      <c r="D2416" s="21">
        <v>62.09</v>
      </c>
      <c r="E2416" s="22">
        <v>37951</v>
      </c>
      <c r="F2416" t="s">
        <v>13</v>
      </c>
      <c r="G2416" t="s">
        <v>217</v>
      </c>
      <c r="H2416">
        <v>4</v>
      </c>
      <c r="I2416">
        <v>2003</v>
      </c>
      <c r="J2416" t="s">
        <v>15</v>
      </c>
      <c r="K2416" t="s">
        <v>94</v>
      </c>
    </row>
    <row r="2417" spans="1:11">
      <c r="A2417" t="s">
        <v>85</v>
      </c>
      <c r="B2417">
        <v>10208</v>
      </c>
      <c r="C2417">
        <v>30</v>
      </c>
      <c r="D2417" s="21">
        <v>65.61</v>
      </c>
      <c r="E2417" s="22">
        <v>37988</v>
      </c>
      <c r="F2417" t="s">
        <v>13</v>
      </c>
      <c r="G2417" t="s">
        <v>217</v>
      </c>
      <c r="H2417">
        <v>1</v>
      </c>
      <c r="I2417">
        <v>2004</v>
      </c>
      <c r="J2417" t="s">
        <v>15</v>
      </c>
      <c r="K2417" t="s">
        <v>86</v>
      </c>
    </row>
    <row r="2418" spans="1:11">
      <c r="A2418" t="s">
        <v>179</v>
      </c>
      <c r="B2418">
        <v>10220</v>
      </c>
      <c r="C2418">
        <v>30</v>
      </c>
      <c r="D2418" s="21">
        <v>68.54</v>
      </c>
      <c r="E2418" s="22">
        <v>38029</v>
      </c>
      <c r="F2418" t="s">
        <v>13</v>
      </c>
      <c r="G2418" t="s">
        <v>217</v>
      </c>
      <c r="H2418">
        <v>1</v>
      </c>
      <c r="I2418">
        <v>2004</v>
      </c>
      <c r="J2418" t="s">
        <v>15</v>
      </c>
      <c r="K2418" t="s">
        <v>180</v>
      </c>
    </row>
    <row r="2419" spans="1:11">
      <c r="A2419" t="s">
        <v>173</v>
      </c>
      <c r="B2419">
        <v>10230</v>
      </c>
      <c r="C2419">
        <v>43</v>
      </c>
      <c r="D2419" s="21">
        <v>52.14</v>
      </c>
      <c r="E2419" s="22">
        <v>38061</v>
      </c>
      <c r="F2419" t="s">
        <v>13</v>
      </c>
      <c r="G2419" t="s">
        <v>217</v>
      </c>
      <c r="H2419">
        <v>1</v>
      </c>
      <c r="I2419">
        <v>2004</v>
      </c>
      <c r="J2419" t="s">
        <v>15</v>
      </c>
      <c r="K2419" t="s">
        <v>174</v>
      </c>
    </row>
    <row r="2420" spans="1:11">
      <c r="A2420" t="s">
        <v>175</v>
      </c>
      <c r="B2420">
        <v>10247</v>
      </c>
      <c r="C2420">
        <v>49</v>
      </c>
      <c r="D2420" s="21">
        <v>63.85</v>
      </c>
      <c r="E2420" s="22">
        <v>38112</v>
      </c>
      <c r="F2420" t="s">
        <v>13</v>
      </c>
      <c r="G2420" t="s">
        <v>217</v>
      </c>
      <c r="H2420">
        <v>2</v>
      </c>
      <c r="I2420">
        <v>2004</v>
      </c>
      <c r="J2420" t="s">
        <v>22</v>
      </c>
      <c r="K2420" t="s">
        <v>176</v>
      </c>
    </row>
    <row r="2421" spans="1:11">
      <c r="A2421" t="s">
        <v>58</v>
      </c>
      <c r="B2421">
        <v>10272</v>
      </c>
      <c r="C2421">
        <v>43</v>
      </c>
      <c r="D2421" s="21">
        <v>56.82</v>
      </c>
      <c r="E2421" s="22">
        <v>38188</v>
      </c>
      <c r="F2421" t="s">
        <v>13</v>
      </c>
      <c r="G2421" t="s">
        <v>217</v>
      </c>
      <c r="H2421">
        <v>3</v>
      </c>
      <c r="I2421">
        <v>2004</v>
      </c>
      <c r="J2421" t="s">
        <v>15</v>
      </c>
      <c r="K2421" t="s">
        <v>59</v>
      </c>
    </row>
    <row r="2422" spans="1:11">
      <c r="A2422" t="s">
        <v>103</v>
      </c>
      <c r="B2422">
        <v>10282</v>
      </c>
      <c r="C2422">
        <v>37</v>
      </c>
      <c r="D2422" s="21">
        <v>66.78</v>
      </c>
      <c r="E2422" s="22">
        <v>38219</v>
      </c>
      <c r="F2422" t="s">
        <v>13</v>
      </c>
      <c r="G2422" t="s">
        <v>217</v>
      </c>
      <c r="H2422">
        <v>3</v>
      </c>
      <c r="I2422">
        <v>2004</v>
      </c>
      <c r="J2422" t="s">
        <v>15</v>
      </c>
      <c r="K2422" t="s">
        <v>104</v>
      </c>
    </row>
    <row r="2423" spans="1:11">
      <c r="A2423" t="s">
        <v>12</v>
      </c>
      <c r="B2423">
        <v>10292</v>
      </c>
      <c r="C2423">
        <v>35</v>
      </c>
      <c r="D2423" s="21">
        <v>55.07</v>
      </c>
      <c r="E2423" s="22">
        <v>38238</v>
      </c>
      <c r="F2423" t="s">
        <v>13</v>
      </c>
      <c r="G2423" t="s">
        <v>217</v>
      </c>
      <c r="H2423">
        <v>3</v>
      </c>
      <c r="I2423">
        <v>2004</v>
      </c>
      <c r="J2423" t="s">
        <v>15</v>
      </c>
      <c r="K2423" t="s">
        <v>16</v>
      </c>
    </row>
    <row r="2424" spans="1:11">
      <c r="A2424" t="s">
        <v>183</v>
      </c>
      <c r="B2424">
        <v>10306</v>
      </c>
      <c r="C2424">
        <v>34</v>
      </c>
      <c r="D2424" s="21">
        <v>60.34</v>
      </c>
      <c r="E2424" s="22">
        <v>38274</v>
      </c>
      <c r="F2424" t="s">
        <v>13</v>
      </c>
      <c r="G2424" t="s">
        <v>217</v>
      </c>
      <c r="H2424">
        <v>4</v>
      </c>
      <c r="I2424">
        <v>2004</v>
      </c>
      <c r="J2424" t="s">
        <v>15</v>
      </c>
      <c r="K2424" t="s">
        <v>184</v>
      </c>
    </row>
    <row r="2425" spans="1:11">
      <c r="A2425" t="s">
        <v>185</v>
      </c>
      <c r="B2425">
        <v>10314</v>
      </c>
      <c r="C2425">
        <v>38</v>
      </c>
      <c r="D2425" s="21">
        <v>61.51</v>
      </c>
      <c r="E2425" s="22">
        <v>38282</v>
      </c>
      <c r="F2425" t="s">
        <v>13</v>
      </c>
      <c r="G2425" t="s">
        <v>217</v>
      </c>
      <c r="H2425">
        <v>4</v>
      </c>
      <c r="I2425">
        <v>2004</v>
      </c>
      <c r="J2425" t="s">
        <v>15</v>
      </c>
      <c r="K2425" t="s">
        <v>186</v>
      </c>
    </row>
    <row r="2426" spans="1:11">
      <c r="A2426" t="s">
        <v>56</v>
      </c>
      <c r="B2426">
        <v>10325</v>
      </c>
      <c r="C2426">
        <v>44</v>
      </c>
      <c r="D2426" s="21">
        <v>100</v>
      </c>
      <c r="E2426" s="22">
        <v>38296</v>
      </c>
      <c r="F2426" t="s">
        <v>13</v>
      </c>
      <c r="G2426" t="s">
        <v>217</v>
      </c>
      <c r="H2426">
        <v>4</v>
      </c>
      <c r="I2426">
        <v>2004</v>
      </c>
      <c r="J2426" t="s">
        <v>22</v>
      </c>
      <c r="K2426" t="s">
        <v>57</v>
      </c>
    </row>
    <row r="2427" spans="1:11">
      <c r="A2427" t="s">
        <v>79</v>
      </c>
      <c r="B2427">
        <v>10337</v>
      </c>
      <c r="C2427">
        <v>21</v>
      </c>
      <c r="D2427" s="21">
        <v>100</v>
      </c>
      <c r="E2427" s="22">
        <v>38312</v>
      </c>
      <c r="F2427" t="s">
        <v>13</v>
      </c>
      <c r="G2427" t="s">
        <v>217</v>
      </c>
      <c r="H2427">
        <v>4</v>
      </c>
      <c r="I2427">
        <v>2004</v>
      </c>
      <c r="J2427" t="s">
        <v>15</v>
      </c>
      <c r="K2427" t="s">
        <v>80</v>
      </c>
    </row>
    <row r="2428" spans="1:11">
      <c r="A2428" t="s">
        <v>69</v>
      </c>
      <c r="B2428">
        <v>10350</v>
      </c>
      <c r="C2428">
        <v>44</v>
      </c>
      <c r="D2428" s="21">
        <v>100</v>
      </c>
      <c r="E2428" s="22">
        <v>38323</v>
      </c>
      <c r="F2428" t="s">
        <v>13</v>
      </c>
      <c r="G2428" t="s">
        <v>217</v>
      </c>
      <c r="H2428">
        <v>4</v>
      </c>
      <c r="I2428">
        <v>2004</v>
      </c>
      <c r="J2428" t="s">
        <v>22</v>
      </c>
      <c r="K2428" t="s">
        <v>71</v>
      </c>
    </row>
    <row r="2429" spans="1:11">
      <c r="A2429" t="s">
        <v>18</v>
      </c>
      <c r="B2429">
        <v>10359</v>
      </c>
      <c r="C2429">
        <v>25</v>
      </c>
      <c r="D2429" s="21">
        <v>64.93</v>
      </c>
      <c r="E2429" s="22">
        <v>38336</v>
      </c>
      <c r="F2429" t="s">
        <v>13</v>
      </c>
      <c r="G2429" t="s">
        <v>217</v>
      </c>
      <c r="H2429">
        <v>4</v>
      </c>
      <c r="I2429">
        <v>2004</v>
      </c>
      <c r="J2429" t="s">
        <v>15</v>
      </c>
      <c r="K2429" t="s">
        <v>19</v>
      </c>
    </row>
    <row r="2430" spans="1:11">
      <c r="A2430" t="s">
        <v>95</v>
      </c>
      <c r="B2430">
        <v>10372</v>
      </c>
      <c r="C2430">
        <v>24</v>
      </c>
      <c r="D2430" s="21">
        <v>58.58</v>
      </c>
      <c r="E2430" s="22">
        <v>38378</v>
      </c>
      <c r="F2430" t="s">
        <v>13</v>
      </c>
      <c r="G2430" t="s">
        <v>217</v>
      </c>
      <c r="H2430">
        <v>1</v>
      </c>
      <c r="I2430">
        <v>2005</v>
      </c>
      <c r="J2430" t="s">
        <v>15</v>
      </c>
      <c r="K2430" t="s">
        <v>96</v>
      </c>
    </row>
    <row r="2431" spans="1:11">
      <c r="A2431" t="s">
        <v>69</v>
      </c>
      <c r="B2431">
        <v>10383</v>
      </c>
      <c r="C2431">
        <v>38</v>
      </c>
      <c r="D2431" s="21">
        <v>60.06</v>
      </c>
      <c r="E2431" s="22">
        <v>38405</v>
      </c>
      <c r="F2431" t="s">
        <v>13</v>
      </c>
      <c r="G2431" t="s">
        <v>217</v>
      </c>
      <c r="H2431">
        <v>1</v>
      </c>
      <c r="I2431">
        <v>2005</v>
      </c>
      <c r="J2431" t="s">
        <v>15</v>
      </c>
      <c r="K2431" t="s">
        <v>71</v>
      </c>
    </row>
    <row r="2432" spans="1:11">
      <c r="A2432" t="s">
        <v>21</v>
      </c>
      <c r="B2432">
        <v>10395</v>
      </c>
      <c r="C2432">
        <v>45</v>
      </c>
      <c r="D2432" s="21">
        <v>100</v>
      </c>
      <c r="E2432" s="22">
        <v>38428</v>
      </c>
      <c r="F2432" t="s">
        <v>13</v>
      </c>
      <c r="G2432" t="s">
        <v>217</v>
      </c>
      <c r="H2432">
        <v>1</v>
      </c>
      <c r="I2432">
        <v>2005</v>
      </c>
      <c r="J2432" t="s">
        <v>61</v>
      </c>
      <c r="K2432" t="s">
        <v>23</v>
      </c>
    </row>
    <row r="2433" spans="1:11">
      <c r="A2433" t="s">
        <v>48</v>
      </c>
      <c r="B2433">
        <v>10413</v>
      </c>
      <c r="C2433">
        <v>51</v>
      </c>
      <c r="D2433" s="21">
        <v>63.85</v>
      </c>
      <c r="E2433" s="22">
        <v>38477</v>
      </c>
      <c r="F2433" t="s">
        <v>13</v>
      </c>
      <c r="G2433" t="s">
        <v>217</v>
      </c>
      <c r="H2433">
        <v>2</v>
      </c>
      <c r="I2433">
        <v>2005</v>
      </c>
      <c r="J2433" t="s">
        <v>22</v>
      </c>
      <c r="K2433" t="s">
        <v>49</v>
      </c>
    </row>
    <row r="2434" spans="1:11">
      <c r="A2434" t="s">
        <v>161</v>
      </c>
      <c r="B2434">
        <v>10108</v>
      </c>
      <c r="C2434">
        <v>34</v>
      </c>
      <c r="D2434" s="21">
        <v>82.99</v>
      </c>
      <c r="E2434" s="22">
        <v>37683</v>
      </c>
      <c r="F2434" t="s">
        <v>13</v>
      </c>
      <c r="G2434" t="s">
        <v>14</v>
      </c>
      <c r="H2434">
        <v>1</v>
      </c>
      <c r="I2434">
        <v>2003</v>
      </c>
      <c r="J2434" t="s">
        <v>15</v>
      </c>
      <c r="K2434" t="s">
        <v>162</v>
      </c>
    </row>
    <row r="2435" spans="1:11">
      <c r="A2435" t="s">
        <v>18</v>
      </c>
      <c r="B2435">
        <v>10121</v>
      </c>
      <c r="C2435">
        <v>44</v>
      </c>
      <c r="D2435" s="21">
        <v>74.85</v>
      </c>
      <c r="E2435" s="22">
        <v>37748</v>
      </c>
      <c r="F2435" t="s">
        <v>13</v>
      </c>
      <c r="G2435" t="s">
        <v>14</v>
      </c>
      <c r="H2435">
        <v>2</v>
      </c>
      <c r="I2435">
        <v>2003</v>
      </c>
      <c r="J2435" t="s">
        <v>22</v>
      </c>
      <c r="K2435" t="s">
        <v>19</v>
      </c>
    </row>
    <row r="2436" spans="1:11">
      <c r="A2436" t="s">
        <v>103</v>
      </c>
      <c r="B2436">
        <v>10135</v>
      </c>
      <c r="C2436">
        <v>44</v>
      </c>
      <c r="D2436" s="21">
        <v>96</v>
      </c>
      <c r="E2436" s="22">
        <v>37804</v>
      </c>
      <c r="F2436" t="s">
        <v>13</v>
      </c>
      <c r="G2436" t="s">
        <v>14</v>
      </c>
      <c r="H2436">
        <v>3</v>
      </c>
      <c r="I2436">
        <v>2003</v>
      </c>
      <c r="J2436" t="s">
        <v>22</v>
      </c>
      <c r="K2436" t="s">
        <v>104</v>
      </c>
    </row>
    <row r="2437" spans="1:11">
      <c r="A2437" t="s">
        <v>25</v>
      </c>
      <c r="B2437">
        <v>10145</v>
      </c>
      <c r="C2437">
        <v>38</v>
      </c>
      <c r="D2437" s="21">
        <v>81.36</v>
      </c>
      <c r="E2437" s="22">
        <v>37858</v>
      </c>
      <c r="F2437" t="s">
        <v>13</v>
      </c>
      <c r="G2437" t="s">
        <v>14</v>
      </c>
      <c r="H2437">
        <v>3</v>
      </c>
      <c r="I2437">
        <v>2003</v>
      </c>
      <c r="J2437" t="s">
        <v>22</v>
      </c>
      <c r="K2437" t="s">
        <v>26</v>
      </c>
    </row>
    <row r="2438" spans="1:11">
      <c r="A2438" t="s">
        <v>28</v>
      </c>
      <c r="B2438">
        <v>10159</v>
      </c>
      <c r="C2438">
        <v>31</v>
      </c>
      <c r="D2438" s="21">
        <v>71.6</v>
      </c>
      <c r="E2438" s="22">
        <v>37904</v>
      </c>
      <c r="F2438" t="s">
        <v>13</v>
      </c>
      <c r="G2438" t="s">
        <v>14</v>
      </c>
      <c r="H2438">
        <v>4</v>
      </c>
      <c r="I2438">
        <v>2003</v>
      </c>
      <c r="J2438" t="s">
        <v>15</v>
      </c>
      <c r="K2438" t="s">
        <v>29</v>
      </c>
    </row>
    <row r="2439" spans="1:11">
      <c r="A2439" t="s">
        <v>109</v>
      </c>
      <c r="B2439">
        <v>10169</v>
      </c>
      <c r="C2439">
        <v>48</v>
      </c>
      <c r="D2439" s="21">
        <v>80.55</v>
      </c>
      <c r="E2439" s="22">
        <v>37929</v>
      </c>
      <c r="F2439" t="s">
        <v>13</v>
      </c>
      <c r="G2439" t="s">
        <v>14</v>
      </c>
      <c r="H2439">
        <v>4</v>
      </c>
      <c r="I2439">
        <v>2003</v>
      </c>
      <c r="J2439" t="s">
        <v>22</v>
      </c>
      <c r="K2439" t="s">
        <v>110</v>
      </c>
    </row>
    <row r="2440" spans="1:11">
      <c r="A2440" t="s">
        <v>34</v>
      </c>
      <c r="B2440">
        <v>10180</v>
      </c>
      <c r="C2440">
        <v>21</v>
      </c>
      <c r="D2440" s="21">
        <v>93.56</v>
      </c>
      <c r="E2440" s="22">
        <v>37936</v>
      </c>
      <c r="F2440" t="s">
        <v>13</v>
      </c>
      <c r="G2440" t="s">
        <v>14</v>
      </c>
      <c r="H2440">
        <v>4</v>
      </c>
      <c r="I2440">
        <v>2003</v>
      </c>
      <c r="J2440" t="s">
        <v>15</v>
      </c>
      <c r="K2440" t="s">
        <v>35</v>
      </c>
    </row>
    <row r="2441" spans="1:11">
      <c r="A2441" t="s">
        <v>69</v>
      </c>
      <c r="B2441">
        <v>10190</v>
      </c>
      <c r="C2441">
        <v>40</v>
      </c>
      <c r="D2441" s="21">
        <v>66.72</v>
      </c>
      <c r="E2441" s="22">
        <v>37944</v>
      </c>
      <c r="F2441" t="s">
        <v>13</v>
      </c>
      <c r="G2441" t="s">
        <v>14</v>
      </c>
      <c r="H2441">
        <v>4</v>
      </c>
      <c r="I2441">
        <v>2003</v>
      </c>
      <c r="J2441" t="s">
        <v>15</v>
      </c>
      <c r="K2441" t="s">
        <v>71</v>
      </c>
    </row>
    <row r="2442" spans="1:11">
      <c r="A2442" t="s">
        <v>40</v>
      </c>
      <c r="B2442">
        <v>10211</v>
      </c>
      <c r="C2442">
        <v>40</v>
      </c>
      <c r="D2442" s="21">
        <v>80.55</v>
      </c>
      <c r="E2442" s="22">
        <v>38001</v>
      </c>
      <c r="F2442" t="s">
        <v>13</v>
      </c>
      <c r="G2442" t="s">
        <v>14</v>
      </c>
      <c r="H2442">
        <v>1</v>
      </c>
      <c r="I2442">
        <v>2004</v>
      </c>
      <c r="J2442" t="s">
        <v>22</v>
      </c>
      <c r="K2442" t="s">
        <v>41</v>
      </c>
    </row>
    <row r="2443" spans="1:11">
      <c r="A2443" t="s">
        <v>34</v>
      </c>
      <c r="B2443">
        <v>10224</v>
      </c>
      <c r="C2443">
        <v>50</v>
      </c>
      <c r="D2443" s="21">
        <v>77.29</v>
      </c>
      <c r="E2443" s="22">
        <v>38038</v>
      </c>
      <c r="F2443" t="s">
        <v>13</v>
      </c>
      <c r="G2443" t="s">
        <v>14</v>
      </c>
      <c r="H2443">
        <v>1</v>
      </c>
      <c r="I2443">
        <v>2004</v>
      </c>
      <c r="J2443" t="s">
        <v>22</v>
      </c>
      <c r="K2443" t="s">
        <v>35</v>
      </c>
    </row>
    <row r="2444" spans="1:11">
      <c r="A2444" t="s">
        <v>44</v>
      </c>
      <c r="B2444">
        <v>10237</v>
      </c>
      <c r="C2444">
        <v>20</v>
      </c>
      <c r="D2444" s="21">
        <v>68.34</v>
      </c>
      <c r="E2444" s="22">
        <v>38082</v>
      </c>
      <c r="F2444" t="s">
        <v>13</v>
      </c>
      <c r="G2444" t="s">
        <v>14</v>
      </c>
      <c r="H2444">
        <v>2</v>
      </c>
      <c r="I2444">
        <v>2004</v>
      </c>
      <c r="J2444" t="s">
        <v>15</v>
      </c>
      <c r="K2444" t="s">
        <v>45</v>
      </c>
    </row>
    <row r="2445" spans="1:11">
      <c r="A2445" t="s">
        <v>40</v>
      </c>
      <c r="B2445">
        <v>10252</v>
      </c>
      <c r="C2445">
        <v>48</v>
      </c>
      <c r="D2445" s="21">
        <v>72.41</v>
      </c>
      <c r="E2445" s="22">
        <v>38133</v>
      </c>
      <c r="F2445" t="s">
        <v>13</v>
      </c>
      <c r="G2445" t="s">
        <v>14</v>
      </c>
      <c r="H2445">
        <v>2</v>
      </c>
      <c r="I2445">
        <v>2004</v>
      </c>
      <c r="J2445" t="s">
        <v>22</v>
      </c>
      <c r="K2445" t="s">
        <v>41</v>
      </c>
    </row>
    <row r="2446" spans="1:11">
      <c r="A2446" t="s">
        <v>143</v>
      </c>
      <c r="B2446">
        <v>10264</v>
      </c>
      <c r="C2446">
        <v>47</v>
      </c>
      <c r="D2446" s="21">
        <v>89.5</v>
      </c>
      <c r="E2446" s="22">
        <v>38168</v>
      </c>
      <c r="F2446" t="s">
        <v>13</v>
      </c>
      <c r="G2446" t="s">
        <v>14</v>
      </c>
      <c r="H2446">
        <v>2</v>
      </c>
      <c r="I2446">
        <v>2004</v>
      </c>
      <c r="J2446" t="s">
        <v>22</v>
      </c>
      <c r="K2446" t="s">
        <v>144</v>
      </c>
    </row>
    <row r="2447" spans="1:11">
      <c r="A2447" t="s">
        <v>171</v>
      </c>
      <c r="B2447">
        <v>10276</v>
      </c>
      <c r="C2447">
        <v>21</v>
      </c>
      <c r="D2447" s="21">
        <v>70.78</v>
      </c>
      <c r="E2447" s="22">
        <v>38201</v>
      </c>
      <c r="F2447" t="s">
        <v>13</v>
      </c>
      <c r="G2447" t="s">
        <v>14</v>
      </c>
      <c r="H2447">
        <v>3</v>
      </c>
      <c r="I2447">
        <v>2004</v>
      </c>
      <c r="J2447" t="s">
        <v>15</v>
      </c>
      <c r="K2447" t="s">
        <v>172</v>
      </c>
    </row>
    <row r="2448" spans="1:11">
      <c r="A2448" t="s">
        <v>52</v>
      </c>
      <c r="B2448">
        <v>10285</v>
      </c>
      <c r="C2448">
        <v>39</v>
      </c>
      <c r="D2448" s="21">
        <v>78.92</v>
      </c>
      <c r="E2448" s="22">
        <v>38226</v>
      </c>
      <c r="F2448" t="s">
        <v>13</v>
      </c>
      <c r="G2448" t="s">
        <v>14</v>
      </c>
      <c r="H2448">
        <v>3</v>
      </c>
      <c r="I2448">
        <v>2004</v>
      </c>
      <c r="J2448" t="s">
        <v>22</v>
      </c>
      <c r="K2448" t="s">
        <v>53</v>
      </c>
    </row>
    <row r="2449" spans="1:11">
      <c r="A2449" t="s">
        <v>54</v>
      </c>
      <c r="B2449">
        <v>10299</v>
      </c>
      <c r="C2449">
        <v>44</v>
      </c>
      <c r="D2449" s="21">
        <v>80.55</v>
      </c>
      <c r="E2449" s="22">
        <v>38260</v>
      </c>
      <c r="F2449" t="s">
        <v>13</v>
      </c>
      <c r="G2449" t="s">
        <v>14</v>
      </c>
      <c r="H2449">
        <v>3</v>
      </c>
      <c r="I2449">
        <v>2004</v>
      </c>
      <c r="J2449" t="s">
        <v>22</v>
      </c>
      <c r="K2449" t="s">
        <v>55</v>
      </c>
    </row>
    <row r="2450" spans="1:11">
      <c r="A2450" t="s">
        <v>56</v>
      </c>
      <c r="B2450">
        <v>10309</v>
      </c>
      <c r="C2450">
        <v>28</v>
      </c>
      <c r="D2450" s="21">
        <v>88.68</v>
      </c>
      <c r="E2450" s="22">
        <v>38275</v>
      </c>
      <c r="F2450" t="s">
        <v>13</v>
      </c>
      <c r="G2450" t="s">
        <v>14</v>
      </c>
      <c r="H2450">
        <v>4</v>
      </c>
      <c r="I2450">
        <v>2004</v>
      </c>
      <c r="J2450" t="s">
        <v>15</v>
      </c>
      <c r="K2450" t="s">
        <v>57</v>
      </c>
    </row>
    <row r="2451" spans="1:11">
      <c r="A2451" t="s">
        <v>188</v>
      </c>
      <c r="B2451">
        <v>10319</v>
      </c>
      <c r="C2451">
        <v>45</v>
      </c>
      <c r="D2451" s="21">
        <v>77.29</v>
      </c>
      <c r="E2451" s="22">
        <v>38294</v>
      </c>
      <c r="F2451" t="s">
        <v>13</v>
      </c>
      <c r="G2451" t="s">
        <v>14</v>
      </c>
      <c r="H2451">
        <v>4</v>
      </c>
      <c r="I2451">
        <v>2004</v>
      </c>
      <c r="J2451" t="s">
        <v>22</v>
      </c>
      <c r="K2451" t="s">
        <v>189</v>
      </c>
    </row>
    <row r="2452" spans="1:11">
      <c r="A2452" t="s">
        <v>116</v>
      </c>
      <c r="B2452">
        <v>10331</v>
      </c>
      <c r="C2452">
        <v>20</v>
      </c>
      <c r="D2452" s="21">
        <v>100</v>
      </c>
      <c r="E2452" s="22">
        <v>38308</v>
      </c>
      <c r="F2452" t="s">
        <v>13</v>
      </c>
      <c r="G2452" t="s">
        <v>14</v>
      </c>
      <c r="H2452">
        <v>4</v>
      </c>
      <c r="I2452">
        <v>2004</v>
      </c>
      <c r="J2452" t="s">
        <v>22</v>
      </c>
      <c r="K2452" t="s">
        <v>117</v>
      </c>
    </row>
    <row r="2453" spans="1:11">
      <c r="A2453" t="s">
        <v>60</v>
      </c>
      <c r="B2453">
        <v>10341</v>
      </c>
      <c r="C2453">
        <v>38</v>
      </c>
      <c r="D2453" s="21">
        <v>100</v>
      </c>
      <c r="E2453" s="22">
        <v>38315</v>
      </c>
      <c r="F2453" t="s">
        <v>13</v>
      </c>
      <c r="G2453" t="s">
        <v>14</v>
      </c>
      <c r="H2453">
        <v>4</v>
      </c>
      <c r="I2453">
        <v>2004</v>
      </c>
      <c r="J2453" t="s">
        <v>22</v>
      </c>
      <c r="K2453" t="s">
        <v>62</v>
      </c>
    </row>
    <row r="2454" spans="1:11">
      <c r="A2454" t="s">
        <v>21</v>
      </c>
      <c r="B2454">
        <v>10356</v>
      </c>
      <c r="C2454">
        <v>26</v>
      </c>
      <c r="D2454" s="21">
        <v>100</v>
      </c>
      <c r="E2454" s="22">
        <v>38330</v>
      </c>
      <c r="F2454" t="s">
        <v>13</v>
      </c>
      <c r="G2454" t="s">
        <v>14</v>
      </c>
      <c r="H2454">
        <v>4</v>
      </c>
      <c r="I2454">
        <v>2004</v>
      </c>
      <c r="J2454" t="s">
        <v>22</v>
      </c>
      <c r="K2454" t="s">
        <v>23</v>
      </c>
    </row>
    <row r="2455" spans="1:11">
      <c r="A2455" t="s">
        <v>126</v>
      </c>
      <c r="B2455">
        <v>10365</v>
      </c>
      <c r="C2455">
        <v>44</v>
      </c>
      <c r="D2455" s="21">
        <v>100</v>
      </c>
      <c r="E2455" s="22">
        <v>38359</v>
      </c>
      <c r="F2455" t="s">
        <v>13</v>
      </c>
      <c r="G2455" t="s">
        <v>14</v>
      </c>
      <c r="H2455">
        <v>1</v>
      </c>
      <c r="I2455">
        <v>2005</v>
      </c>
      <c r="J2455" t="s">
        <v>22</v>
      </c>
      <c r="K2455" t="s">
        <v>127</v>
      </c>
    </row>
    <row r="2456" spans="1:11">
      <c r="A2456" t="s">
        <v>50</v>
      </c>
      <c r="B2456">
        <v>10375</v>
      </c>
      <c r="C2456">
        <v>49</v>
      </c>
      <c r="D2456" s="21">
        <v>100</v>
      </c>
      <c r="E2456" s="22">
        <v>38386</v>
      </c>
      <c r="F2456" t="s">
        <v>13</v>
      </c>
      <c r="G2456" t="s">
        <v>14</v>
      </c>
      <c r="H2456">
        <v>1</v>
      </c>
      <c r="I2456">
        <v>2005</v>
      </c>
      <c r="J2456" t="s">
        <v>22</v>
      </c>
      <c r="K2456" t="s">
        <v>51</v>
      </c>
    </row>
    <row r="2457" spans="1:11">
      <c r="A2457" t="s">
        <v>103</v>
      </c>
      <c r="B2457">
        <v>10390</v>
      </c>
      <c r="C2457">
        <v>22</v>
      </c>
      <c r="D2457" s="21">
        <v>100</v>
      </c>
      <c r="E2457" s="22">
        <v>38415</v>
      </c>
      <c r="F2457" t="s">
        <v>13</v>
      </c>
      <c r="G2457" t="s">
        <v>14</v>
      </c>
      <c r="H2457">
        <v>1</v>
      </c>
      <c r="I2457">
        <v>2005</v>
      </c>
      <c r="J2457" t="s">
        <v>22</v>
      </c>
      <c r="K2457" t="s">
        <v>104</v>
      </c>
    </row>
    <row r="2458" spans="1:11">
      <c r="A2458" t="s">
        <v>67</v>
      </c>
      <c r="B2458">
        <v>10403</v>
      </c>
      <c r="C2458">
        <v>31</v>
      </c>
      <c r="D2458" s="21">
        <v>68.34</v>
      </c>
      <c r="E2458" s="22">
        <v>38450</v>
      </c>
      <c r="F2458" t="s">
        <v>13</v>
      </c>
      <c r="G2458" t="s">
        <v>14</v>
      </c>
      <c r="H2458">
        <v>2</v>
      </c>
      <c r="I2458">
        <v>2005</v>
      </c>
      <c r="J2458" t="s">
        <v>15</v>
      </c>
      <c r="K2458" t="s">
        <v>68</v>
      </c>
    </row>
    <row r="2459" spans="1:11">
      <c r="A2459" t="s">
        <v>122</v>
      </c>
      <c r="B2459">
        <v>10105</v>
      </c>
      <c r="C2459">
        <v>41</v>
      </c>
      <c r="D2459" s="21">
        <v>70.67</v>
      </c>
      <c r="E2459" s="22">
        <v>37663</v>
      </c>
      <c r="F2459" t="s">
        <v>13</v>
      </c>
      <c r="G2459" t="s">
        <v>214</v>
      </c>
      <c r="H2459">
        <v>1</v>
      </c>
      <c r="I2459">
        <v>2003</v>
      </c>
      <c r="J2459" t="s">
        <v>15</v>
      </c>
      <c r="K2459" t="s">
        <v>123</v>
      </c>
    </row>
    <row r="2460" spans="1:11">
      <c r="A2460" t="s">
        <v>60</v>
      </c>
      <c r="B2460">
        <v>10119</v>
      </c>
      <c r="C2460">
        <v>25</v>
      </c>
      <c r="D2460" s="21">
        <v>76.67</v>
      </c>
      <c r="E2460" s="22">
        <v>37739</v>
      </c>
      <c r="F2460" t="s">
        <v>13</v>
      </c>
      <c r="G2460" t="s">
        <v>214</v>
      </c>
      <c r="H2460">
        <v>2</v>
      </c>
      <c r="I2460">
        <v>2003</v>
      </c>
      <c r="J2460" t="s">
        <v>15</v>
      </c>
      <c r="K2460" t="s">
        <v>62</v>
      </c>
    </row>
    <row r="2461" spans="1:11">
      <c r="A2461" t="s">
        <v>124</v>
      </c>
      <c r="B2461">
        <v>10129</v>
      </c>
      <c r="C2461">
        <v>31</v>
      </c>
      <c r="D2461" s="21">
        <v>60</v>
      </c>
      <c r="E2461" s="22">
        <v>37784</v>
      </c>
      <c r="F2461" t="s">
        <v>13</v>
      </c>
      <c r="G2461" t="s">
        <v>214</v>
      </c>
      <c r="H2461">
        <v>2</v>
      </c>
      <c r="I2461">
        <v>2003</v>
      </c>
      <c r="J2461" t="s">
        <v>15</v>
      </c>
      <c r="K2461" t="s">
        <v>125</v>
      </c>
    </row>
    <row r="2462" spans="1:11">
      <c r="A2462" t="s">
        <v>103</v>
      </c>
      <c r="B2462">
        <v>10142</v>
      </c>
      <c r="C2462">
        <v>41</v>
      </c>
      <c r="D2462" s="21">
        <v>64</v>
      </c>
      <c r="E2462" s="22">
        <v>37841</v>
      </c>
      <c r="F2462" t="s">
        <v>13</v>
      </c>
      <c r="G2462" t="s">
        <v>214</v>
      </c>
      <c r="H2462">
        <v>3</v>
      </c>
      <c r="I2462">
        <v>2003</v>
      </c>
      <c r="J2462" t="s">
        <v>15</v>
      </c>
      <c r="K2462" t="s">
        <v>104</v>
      </c>
    </row>
    <row r="2463" spans="1:11">
      <c r="A2463" t="s">
        <v>69</v>
      </c>
      <c r="B2463">
        <v>10153</v>
      </c>
      <c r="C2463">
        <v>43</v>
      </c>
      <c r="D2463" s="21">
        <v>64.67</v>
      </c>
      <c r="E2463" s="22">
        <v>37892</v>
      </c>
      <c r="F2463" t="s">
        <v>13</v>
      </c>
      <c r="G2463" t="s">
        <v>214</v>
      </c>
      <c r="H2463">
        <v>3</v>
      </c>
      <c r="I2463">
        <v>2003</v>
      </c>
      <c r="J2463" t="s">
        <v>15</v>
      </c>
      <c r="K2463" t="s">
        <v>71</v>
      </c>
    </row>
    <row r="2464" spans="1:11">
      <c r="A2464" t="s">
        <v>99</v>
      </c>
      <c r="B2464">
        <v>10167</v>
      </c>
      <c r="C2464">
        <v>43</v>
      </c>
      <c r="D2464" s="21">
        <v>75.34</v>
      </c>
      <c r="E2464" s="22">
        <v>37917</v>
      </c>
      <c r="F2464" t="s">
        <v>128</v>
      </c>
      <c r="G2464" t="s">
        <v>214</v>
      </c>
      <c r="H2464">
        <v>4</v>
      </c>
      <c r="I2464">
        <v>2003</v>
      </c>
      <c r="J2464" t="s">
        <v>22</v>
      </c>
      <c r="K2464" t="s">
        <v>100</v>
      </c>
    </row>
    <row r="2465" spans="1:11">
      <c r="A2465" t="s">
        <v>181</v>
      </c>
      <c r="B2465">
        <v>10177</v>
      </c>
      <c r="C2465">
        <v>24</v>
      </c>
      <c r="D2465" s="21">
        <v>76</v>
      </c>
      <c r="E2465" s="22">
        <v>37932</v>
      </c>
      <c r="F2465" t="s">
        <v>13</v>
      </c>
      <c r="G2465" t="s">
        <v>214</v>
      </c>
      <c r="H2465">
        <v>4</v>
      </c>
      <c r="I2465">
        <v>2003</v>
      </c>
      <c r="J2465" t="s">
        <v>15</v>
      </c>
      <c r="K2465" t="s">
        <v>182</v>
      </c>
    </row>
    <row r="2466" spans="1:11">
      <c r="A2466" t="s">
        <v>126</v>
      </c>
      <c r="B2466">
        <v>10185</v>
      </c>
      <c r="C2466">
        <v>21</v>
      </c>
      <c r="D2466" s="21">
        <v>54</v>
      </c>
      <c r="E2466" s="22">
        <v>37939</v>
      </c>
      <c r="F2466" t="s">
        <v>13</v>
      </c>
      <c r="G2466" t="s">
        <v>214</v>
      </c>
      <c r="H2466">
        <v>4</v>
      </c>
      <c r="I2466">
        <v>2003</v>
      </c>
      <c r="J2466" t="s">
        <v>15</v>
      </c>
      <c r="K2466" t="s">
        <v>127</v>
      </c>
    </row>
    <row r="2467" spans="1:11">
      <c r="A2467" t="s">
        <v>133</v>
      </c>
      <c r="B2467">
        <v>10197</v>
      </c>
      <c r="C2467">
        <v>23</v>
      </c>
      <c r="D2467" s="21">
        <v>64.67</v>
      </c>
      <c r="E2467" s="22">
        <v>37951</v>
      </c>
      <c r="F2467" t="s">
        <v>13</v>
      </c>
      <c r="G2467" t="s">
        <v>214</v>
      </c>
      <c r="H2467">
        <v>4</v>
      </c>
      <c r="I2467">
        <v>2003</v>
      </c>
      <c r="J2467" t="s">
        <v>15</v>
      </c>
      <c r="K2467" t="s">
        <v>134</v>
      </c>
    </row>
    <row r="2468" spans="1:11">
      <c r="A2468" t="s">
        <v>85</v>
      </c>
      <c r="B2468">
        <v>10208</v>
      </c>
      <c r="C2468">
        <v>38</v>
      </c>
      <c r="D2468" s="21">
        <v>74.67</v>
      </c>
      <c r="E2468" s="22">
        <v>37988</v>
      </c>
      <c r="F2468" t="s">
        <v>13</v>
      </c>
      <c r="G2468" t="s">
        <v>214</v>
      </c>
      <c r="H2468">
        <v>1</v>
      </c>
      <c r="I2468">
        <v>2004</v>
      </c>
      <c r="J2468" t="s">
        <v>15</v>
      </c>
      <c r="K2468" t="s">
        <v>86</v>
      </c>
    </row>
    <row r="2469" spans="1:11">
      <c r="A2469" t="s">
        <v>137</v>
      </c>
      <c r="B2469">
        <v>10222</v>
      </c>
      <c r="C2469">
        <v>31</v>
      </c>
      <c r="D2469" s="21">
        <v>62.67</v>
      </c>
      <c r="E2469" s="22">
        <v>38036</v>
      </c>
      <c r="F2469" t="s">
        <v>13</v>
      </c>
      <c r="G2469" t="s">
        <v>214</v>
      </c>
      <c r="H2469">
        <v>1</v>
      </c>
      <c r="I2469">
        <v>2004</v>
      </c>
      <c r="J2469" t="s">
        <v>15</v>
      </c>
      <c r="K2469" t="s">
        <v>138</v>
      </c>
    </row>
    <row r="2470" spans="1:11">
      <c r="A2470" t="s">
        <v>46</v>
      </c>
      <c r="B2470">
        <v>10233</v>
      </c>
      <c r="C2470">
        <v>36</v>
      </c>
      <c r="D2470" s="21">
        <v>70.67</v>
      </c>
      <c r="E2470" s="22">
        <v>38075</v>
      </c>
      <c r="F2470" t="s">
        <v>13</v>
      </c>
      <c r="G2470" t="s">
        <v>214</v>
      </c>
      <c r="H2470">
        <v>1</v>
      </c>
      <c r="I2470">
        <v>2004</v>
      </c>
      <c r="J2470" t="s">
        <v>15</v>
      </c>
      <c r="K2470" t="s">
        <v>47</v>
      </c>
    </row>
    <row r="2471" spans="1:11">
      <c r="A2471" t="s">
        <v>12</v>
      </c>
      <c r="B2471">
        <v>10248</v>
      </c>
      <c r="C2471">
        <v>36</v>
      </c>
      <c r="D2471" s="21">
        <v>71.34</v>
      </c>
      <c r="E2471" s="22">
        <v>38114</v>
      </c>
      <c r="F2471" t="s">
        <v>128</v>
      </c>
      <c r="G2471" t="s">
        <v>214</v>
      </c>
      <c r="H2471">
        <v>2</v>
      </c>
      <c r="I2471">
        <v>2004</v>
      </c>
      <c r="J2471" t="s">
        <v>15</v>
      </c>
      <c r="K2471" t="s">
        <v>16</v>
      </c>
    </row>
    <row r="2472" spans="1:11">
      <c r="A2472" t="s">
        <v>111</v>
      </c>
      <c r="B2472">
        <v>10261</v>
      </c>
      <c r="C2472">
        <v>34</v>
      </c>
      <c r="D2472" s="21">
        <v>62</v>
      </c>
      <c r="E2472" s="22">
        <v>38155</v>
      </c>
      <c r="F2472" t="s">
        <v>13</v>
      </c>
      <c r="G2472" t="s">
        <v>214</v>
      </c>
      <c r="H2472">
        <v>2</v>
      </c>
      <c r="I2472">
        <v>2004</v>
      </c>
      <c r="J2472" t="s">
        <v>15</v>
      </c>
      <c r="K2472" t="s">
        <v>112</v>
      </c>
    </row>
    <row r="2473" spans="1:11">
      <c r="A2473" t="s">
        <v>139</v>
      </c>
      <c r="B2473">
        <v>10273</v>
      </c>
      <c r="C2473">
        <v>21</v>
      </c>
      <c r="D2473" s="21">
        <v>65.34</v>
      </c>
      <c r="E2473" s="22">
        <v>38189</v>
      </c>
      <c r="F2473" t="s">
        <v>13</v>
      </c>
      <c r="G2473" t="s">
        <v>214</v>
      </c>
      <c r="H2473">
        <v>3</v>
      </c>
      <c r="I2473">
        <v>2004</v>
      </c>
      <c r="J2473" t="s">
        <v>15</v>
      </c>
      <c r="K2473" t="s">
        <v>140</v>
      </c>
    </row>
    <row r="2474" spans="1:11">
      <c r="A2474" t="s">
        <v>141</v>
      </c>
      <c r="B2474">
        <v>10283</v>
      </c>
      <c r="C2474">
        <v>45</v>
      </c>
      <c r="D2474" s="21">
        <v>78.67</v>
      </c>
      <c r="E2474" s="22">
        <v>38219</v>
      </c>
      <c r="F2474" t="s">
        <v>13</v>
      </c>
      <c r="G2474" t="s">
        <v>214</v>
      </c>
      <c r="H2474">
        <v>3</v>
      </c>
      <c r="I2474">
        <v>2004</v>
      </c>
      <c r="J2474" t="s">
        <v>22</v>
      </c>
      <c r="K2474" t="s">
        <v>142</v>
      </c>
    </row>
    <row r="2475" spans="1:11">
      <c r="A2475" t="s">
        <v>143</v>
      </c>
      <c r="B2475">
        <v>10295</v>
      </c>
      <c r="C2475">
        <v>26</v>
      </c>
      <c r="D2475" s="21">
        <v>75.34</v>
      </c>
      <c r="E2475" s="22">
        <v>38240</v>
      </c>
      <c r="F2475" t="s">
        <v>13</v>
      </c>
      <c r="G2475" t="s">
        <v>214</v>
      </c>
      <c r="H2475">
        <v>3</v>
      </c>
      <c r="I2475">
        <v>2004</v>
      </c>
      <c r="J2475" t="s">
        <v>15</v>
      </c>
      <c r="K2475" t="s">
        <v>144</v>
      </c>
    </row>
    <row r="2476" spans="1:11">
      <c r="A2476" t="s">
        <v>183</v>
      </c>
      <c r="B2476">
        <v>10306</v>
      </c>
      <c r="C2476">
        <v>50</v>
      </c>
      <c r="D2476" s="21">
        <v>54</v>
      </c>
      <c r="E2476" s="22">
        <v>38274</v>
      </c>
      <c r="F2476" t="s">
        <v>13</v>
      </c>
      <c r="G2476" t="s">
        <v>214</v>
      </c>
      <c r="H2476">
        <v>4</v>
      </c>
      <c r="I2476">
        <v>2004</v>
      </c>
      <c r="J2476" t="s">
        <v>15</v>
      </c>
      <c r="K2476" t="s">
        <v>184</v>
      </c>
    </row>
    <row r="2477" spans="1:11">
      <c r="A2477" t="s">
        <v>50</v>
      </c>
      <c r="B2477">
        <v>10315</v>
      </c>
      <c r="C2477">
        <v>41</v>
      </c>
      <c r="D2477" s="21">
        <v>62</v>
      </c>
      <c r="E2477" s="22">
        <v>38289</v>
      </c>
      <c r="F2477" t="s">
        <v>13</v>
      </c>
      <c r="G2477" t="s">
        <v>214</v>
      </c>
      <c r="H2477">
        <v>4</v>
      </c>
      <c r="I2477">
        <v>2004</v>
      </c>
      <c r="J2477" t="s">
        <v>15</v>
      </c>
      <c r="K2477" t="s">
        <v>51</v>
      </c>
    </row>
    <row r="2478" spans="1:11">
      <c r="A2478" t="s">
        <v>73</v>
      </c>
      <c r="B2478">
        <v>10326</v>
      </c>
      <c r="C2478">
        <v>39</v>
      </c>
      <c r="D2478" s="21">
        <v>60</v>
      </c>
      <c r="E2478" s="22">
        <v>38300</v>
      </c>
      <c r="F2478" t="s">
        <v>13</v>
      </c>
      <c r="G2478" t="s">
        <v>214</v>
      </c>
      <c r="H2478">
        <v>4</v>
      </c>
      <c r="I2478">
        <v>2004</v>
      </c>
      <c r="J2478" t="s">
        <v>15</v>
      </c>
      <c r="K2478" t="s">
        <v>74</v>
      </c>
    </row>
    <row r="2479" spans="1:11">
      <c r="A2479" t="s">
        <v>95</v>
      </c>
      <c r="B2479">
        <v>10339</v>
      </c>
      <c r="C2479">
        <v>22</v>
      </c>
      <c r="D2479" s="21">
        <v>100</v>
      </c>
      <c r="E2479" s="22">
        <v>38314</v>
      </c>
      <c r="F2479" t="s">
        <v>13</v>
      </c>
      <c r="G2479" t="s">
        <v>214</v>
      </c>
      <c r="H2479">
        <v>4</v>
      </c>
      <c r="I2479">
        <v>2004</v>
      </c>
      <c r="J2479" t="s">
        <v>15</v>
      </c>
      <c r="K2479" t="s">
        <v>96</v>
      </c>
    </row>
    <row r="2480" spans="1:11">
      <c r="A2480" t="s">
        <v>69</v>
      </c>
      <c r="B2480">
        <v>10350</v>
      </c>
      <c r="C2480">
        <v>46</v>
      </c>
      <c r="D2480" s="21">
        <v>76.67</v>
      </c>
      <c r="E2480" s="22">
        <v>38323</v>
      </c>
      <c r="F2480" t="s">
        <v>13</v>
      </c>
      <c r="G2480" t="s">
        <v>214</v>
      </c>
      <c r="H2480">
        <v>4</v>
      </c>
      <c r="I2480">
        <v>2004</v>
      </c>
      <c r="J2480" t="s">
        <v>22</v>
      </c>
      <c r="K2480" t="s">
        <v>71</v>
      </c>
    </row>
    <row r="2481" spans="1:11">
      <c r="A2481" t="s">
        <v>147</v>
      </c>
      <c r="B2481">
        <v>10373</v>
      </c>
      <c r="C2481">
        <v>44</v>
      </c>
      <c r="D2481" s="21">
        <v>100</v>
      </c>
      <c r="E2481" s="22">
        <v>38383</v>
      </c>
      <c r="F2481" t="s">
        <v>13</v>
      </c>
      <c r="G2481" t="s">
        <v>214</v>
      </c>
      <c r="H2481">
        <v>1</v>
      </c>
      <c r="I2481">
        <v>2005</v>
      </c>
      <c r="J2481" t="s">
        <v>22</v>
      </c>
      <c r="K2481" t="s">
        <v>148</v>
      </c>
    </row>
    <row r="2482" spans="1:11">
      <c r="A2482" t="s">
        <v>103</v>
      </c>
      <c r="B2482">
        <v>10385</v>
      </c>
      <c r="C2482">
        <v>25</v>
      </c>
      <c r="D2482" s="21">
        <v>77.34</v>
      </c>
      <c r="E2482" s="22">
        <v>38411</v>
      </c>
      <c r="F2482" t="s">
        <v>13</v>
      </c>
      <c r="G2482" t="s">
        <v>214</v>
      </c>
      <c r="H2482">
        <v>1</v>
      </c>
      <c r="I2482">
        <v>2005</v>
      </c>
      <c r="J2482" t="s">
        <v>15</v>
      </c>
      <c r="K2482" t="s">
        <v>104</v>
      </c>
    </row>
    <row r="2483" spans="1:11">
      <c r="A2483" t="s">
        <v>103</v>
      </c>
      <c r="B2483">
        <v>10396</v>
      </c>
      <c r="C2483">
        <v>39</v>
      </c>
      <c r="D2483" s="21">
        <v>66.67</v>
      </c>
      <c r="E2483" s="22">
        <v>38434</v>
      </c>
      <c r="F2483" t="s">
        <v>13</v>
      </c>
      <c r="G2483" t="s">
        <v>214</v>
      </c>
      <c r="H2483">
        <v>1</v>
      </c>
      <c r="I2483">
        <v>2005</v>
      </c>
      <c r="J2483" t="s">
        <v>15</v>
      </c>
      <c r="K2483" t="s">
        <v>104</v>
      </c>
    </row>
    <row r="2484" spans="1:11">
      <c r="A2484" t="s">
        <v>143</v>
      </c>
      <c r="B2484">
        <v>10414</v>
      </c>
      <c r="C2484">
        <v>37</v>
      </c>
      <c r="D2484" s="21">
        <v>71.34</v>
      </c>
      <c r="E2484" s="22">
        <v>38478</v>
      </c>
      <c r="F2484" t="s">
        <v>151</v>
      </c>
      <c r="G2484" t="s">
        <v>214</v>
      </c>
      <c r="H2484">
        <v>2</v>
      </c>
      <c r="I2484">
        <v>2005</v>
      </c>
      <c r="J2484" t="s">
        <v>15</v>
      </c>
      <c r="K2484" t="s">
        <v>144</v>
      </c>
    </row>
    <row r="2485" spans="1:11">
      <c r="A2485" t="s">
        <v>203</v>
      </c>
      <c r="B2485">
        <v>10106</v>
      </c>
      <c r="C2485">
        <v>31</v>
      </c>
      <c r="D2485" s="21">
        <v>100</v>
      </c>
      <c r="E2485" s="22">
        <v>37669</v>
      </c>
      <c r="F2485" t="s">
        <v>13</v>
      </c>
      <c r="G2485" t="s">
        <v>207</v>
      </c>
      <c r="H2485">
        <v>1</v>
      </c>
      <c r="I2485">
        <v>2003</v>
      </c>
      <c r="J2485" t="s">
        <v>22</v>
      </c>
      <c r="K2485" t="s">
        <v>204</v>
      </c>
    </row>
    <row r="2486" spans="1:11">
      <c r="A2486" t="s">
        <v>42</v>
      </c>
      <c r="B2486">
        <v>10120</v>
      </c>
      <c r="C2486">
        <v>47</v>
      </c>
      <c r="D2486" s="21">
        <v>82.21</v>
      </c>
      <c r="E2486" s="22">
        <v>37740</v>
      </c>
      <c r="F2486" t="s">
        <v>13</v>
      </c>
      <c r="G2486" t="s">
        <v>207</v>
      </c>
      <c r="H2486">
        <v>2</v>
      </c>
      <c r="I2486">
        <v>2003</v>
      </c>
      <c r="J2486" t="s">
        <v>22</v>
      </c>
      <c r="K2486" t="s">
        <v>43</v>
      </c>
    </row>
    <row r="2487" spans="1:11">
      <c r="A2487" t="s">
        <v>69</v>
      </c>
      <c r="B2487">
        <v>10133</v>
      </c>
      <c r="C2487">
        <v>24</v>
      </c>
      <c r="D2487" s="21">
        <v>77.64</v>
      </c>
      <c r="E2487" s="22">
        <v>37799</v>
      </c>
      <c r="F2487" t="s">
        <v>13</v>
      </c>
      <c r="G2487" t="s">
        <v>207</v>
      </c>
      <c r="H2487">
        <v>2</v>
      </c>
      <c r="I2487">
        <v>2003</v>
      </c>
      <c r="J2487" t="s">
        <v>15</v>
      </c>
      <c r="K2487" t="s">
        <v>71</v>
      </c>
    </row>
    <row r="2488" spans="1:11">
      <c r="A2488" t="s">
        <v>126</v>
      </c>
      <c r="B2488">
        <v>10143</v>
      </c>
      <c r="C2488">
        <v>36</v>
      </c>
      <c r="D2488" s="21">
        <v>100</v>
      </c>
      <c r="E2488" s="22">
        <v>37843</v>
      </c>
      <c r="F2488" t="s">
        <v>13</v>
      </c>
      <c r="G2488" t="s">
        <v>207</v>
      </c>
      <c r="H2488">
        <v>3</v>
      </c>
      <c r="I2488">
        <v>2003</v>
      </c>
      <c r="J2488" t="s">
        <v>22</v>
      </c>
      <c r="K2488" t="s">
        <v>127</v>
      </c>
    </row>
    <row r="2489" spans="1:11">
      <c r="A2489" t="s">
        <v>69</v>
      </c>
      <c r="B2489">
        <v>10156</v>
      </c>
      <c r="C2489">
        <v>48</v>
      </c>
      <c r="D2489" s="21">
        <v>100</v>
      </c>
      <c r="E2489" s="22">
        <v>37902</v>
      </c>
      <c r="F2489" t="s">
        <v>13</v>
      </c>
      <c r="G2489" t="s">
        <v>207</v>
      </c>
      <c r="H2489">
        <v>4</v>
      </c>
      <c r="I2489">
        <v>2003</v>
      </c>
      <c r="J2489" t="s">
        <v>22</v>
      </c>
      <c r="K2489" t="s">
        <v>71</v>
      </c>
    </row>
    <row r="2490" spans="1:11">
      <c r="A2490" t="s">
        <v>31</v>
      </c>
      <c r="B2490">
        <v>10168</v>
      </c>
      <c r="C2490">
        <v>28</v>
      </c>
      <c r="D2490" s="21">
        <v>98.65</v>
      </c>
      <c r="E2490" s="22">
        <v>37922</v>
      </c>
      <c r="F2490" t="s">
        <v>13</v>
      </c>
      <c r="G2490" t="s">
        <v>207</v>
      </c>
      <c r="H2490">
        <v>4</v>
      </c>
      <c r="I2490">
        <v>2003</v>
      </c>
      <c r="J2490" t="s">
        <v>15</v>
      </c>
      <c r="K2490" t="s">
        <v>32</v>
      </c>
    </row>
    <row r="2491" spans="1:11">
      <c r="A2491" t="s">
        <v>89</v>
      </c>
      <c r="B2491">
        <v>10199</v>
      </c>
      <c r="C2491">
        <v>48</v>
      </c>
      <c r="D2491" s="21">
        <v>83.12</v>
      </c>
      <c r="E2491" s="22">
        <v>37956</v>
      </c>
      <c r="F2491" t="s">
        <v>13</v>
      </c>
      <c r="G2491" t="s">
        <v>207</v>
      </c>
      <c r="H2491">
        <v>4</v>
      </c>
      <c r="I2491">
        <v>2003</v>
      </c>
      <c r="J2491" t="s">
        <v>22</v>
      </c>
      <c r="K2491" t="s">
        <v>90</v>
      </c>
    </row>
    <row r="2492" spans="1:11">
      <c r="A2492" t="s">
        <v>114</v>
      </c>
      <c r="B2492">
        <v>10210</v>
      </c>
      <c r="C2492">
        <v>21</v>
      </c>
      <c r="D2492" s="21">
        <v>78.55</v>
      </c>
      <c r="E2492" s="22">
        <v>37998</v>
      </c>
      <c r="F2492" t="s">
        <v>13</v>
      </c>
      <c r="G2492" t="s">
        <v>207</v>
      </c>
      <c r="H2492">
        <v>1</v>
      </c>
      <c r="I2492">
        <v>2004</v>
      </c>
      <c r="J2492" t="s">
        <v>15</v>
      </c>
      <c r="K2492" t="s">
        <v>115</v>
      </c>
    </row>
    <row r="2493" spans="1:11">
      <c r="A2493" t="s">
        <v>42</v>
      </c>
      <c r="B2493">
        <v>10223</v>
      </c>
      <c r="C2493">
        <v>25</v>
      </c>
      <c r="D2493" s="21">
        <v>100</v>
      </c>
      <c r="E2493" s="22">
        <v>38037</v>
      </c>
      <c r="F2493" t="s">
        <v>13</v>
      </c>
      <c r="G2493" t="s">
        <v>207</v>
      </c>
      <c r="H2493">
        <v>1</v>
      </c>
      <c r="I2493">
        <v>2004</v>
      </c>
      <c r="J2493" t="s">
        <v>15</v>
      </c>
      <c r="K2493" t="s">
        <v>43</v>
      </c>
    </row>
    <row r="2494" spans="1:11">
      <c r="A2494" t="s">
        <v>141</v>
      </c>
      <c r="B2494">
        <v>10235</v>
      </c>
      <c r="C2494">
        <v>25</v>
      </c>
      <c r="D2494" s="21">
        <v>100</v>
      </c>
      <c r="E2494" s="22">
        <v>38079</v>
      </c>
      <c r="F2494" t="s">
        <v>13</v>
      </c>
      <c r="G2494" t="s">
        <v>207</v>
      </c>
      <c r="H2494">
        <v>2</v>
      </c>
      <c r="I2494">
        <v>2004</v>
      </c>
      <c r="J2494" t="s">
        <v>15</v>
      </c>
      <c r="K2494" t="s">
        <v>142</v>
      </c>
    </row>
    <row r="2495" spans="1:11">
      <c r="A2495" t="s">
        <v>149</v>
      </c>
      <c r="B2495">
        <v>10250</v>
      </c>
      <c r="C2495">
        <v>31</v>
      </c>
      <c r="D2495" s="21">
        <v>91.34</v>
      </c>
      <c r="E2495" s="22">
        <v>38118</v>
      </c>
      <c r="F2495" t="s">
        <v>13</v>
      </c>
      <c r="G2495" t="s">
        <v>207</v>
      </c>
      <c r="H2495">
        <v>2</v>
      </c>
      <c r="I2495">
        <v>2004</v>
      </c>
      <c r="J2495" t="s">
        <v>15</v>
      </c>
      <c r="K2495" t="s">
        <v>150</v>
      </c>
    </row>
    <row r="2496" spans="1:11">
      <c r="A2496" t="s">
        <v>69</v>
      </c>
      <c r="B2496">
        <v>10262</v>
      </c>
      <c r="C2496">
        <v>40</v>
      </c>
      <c r="D2496" s="21">
        <v>84.03</v>
      </c>
      <c r="E2496" s="22">
        <v>38162</v>
      </c>
      <c r="F2496" t="s">
        <v>128</v>
      </c>
      <c r="G2496" t="s">
        <v>207</v>
      </c>
      <c r="H2496">
        <v>2</v>
      </c>
      <c r="I2496">
        <v>2004</v>
      </c>
      <c r="J2496" t="s">
        <v>22</v>
      </c>
      <c r="K2496" t="s">
        <v>71</v>
      </c>
    </row>
    <row r="2497" spans="1:11">
      <c r="A2497" t="s">
        <v>50</v>
      </c>
      <c r="B2497">
        <v>10275</v>
      </c>
      <c r="C2497">
        <v>32</v>
      </c>
      <c r="D2497" s="21">
        <v>89.51</v>
      </c>
      <c r="E2497" s="22">
        <v>38191</v>
      </c>
      <c r="F2497" t="s">
        <v>13</v>
      </c>
      <c r="G2497" t="s">
        <v>207</v>
      </c>
      <c r="H2497">
        <v>3</v>
      </c>
      <c r="I2497">
        <v>2004</v>
      </c>
      <c r="J2497" t="s">
        <v>15</v>
      </c>
      <c r="K2497" t="s">
        <v>51</v>
      </c>
    </row>
    <row r="2498" spans="1:11">
      <c r="A2498" t="s">
        <v>200</v>
      </c>
      <c r="B2498">
        <v>10284</v>
      </c>
      <c r="C2498">
        <v>24</v>
      </c>
      <c r="D2498" s="21">
        <v>83.12</v>
      </c>
      <c r="E2498" s="22">
        <v>38220</v>
      </c>
      <c r="F2498" t="s">
        <v>13</v>
      </c>
      <c r="G2498" t="s">
        <v>207</v>
      </c>
      <c r="H2498">
        <v>3</v>
      </c>
      <c r="I2498">
        <v>2004</v>
      </c>
      <c r="J2498" t="s">
        <v>15</v>
      </c>
      <c r="K2498" t="s">
        <v>201</v>
      </c>
    </row>
    <row r="2499" spans="1:11">
      <c r="A2499" t="s">
        <v>210</v>
      </c>
      <c r="B2499">
        <v>10296</v>
      </c>
      <c r="C2499">
        <v>42</v>
      </c>
      <c r="D2499" s="21">
        <v>100</v>
      </c>
      <c r="E2499" s="22">
        <v>38245</v>
      </c>
      <c r="F2499" t="s">
        <v>13</v>
      </c>
      <c r="G2499" t="s">
        <v>207</v>
      </c>
      <c r="H2499">
        <v>3</v>
      </c>
      <c r="I2499">
        <v>2004</v>
      </c>
      <c r="J2499" t="s">
        <v>22</v>
      </c>
      <c r="K2499" t="s">
        <v>211</v>
      </c>
    </row>
    <row r="2500" spans="1:11">
      <c r="A2500" t="s">
        <v>120</v>
      </c>
      <c r="B2500">
        <v>10308</v>
      </c>
      <c r="C2500">
        <v>21</v>
      </c>
      <c r="D2500" s="21">
        <v>100</v>
      </c>
      <c r="E2500" s="22">
        <v>38275</v>
      </c>
      <c r="F2500" t="s">
        <v>13</v>
      </c>
      <c r="G2500" t="s">
        <v>207</v>
      </c>
      <c r="H2500">
        <v>4</v>
      </c>
      <c r="I2500">
        <v>2004</v>
      </c>
      <c r="J2500" t="s">
        <v>15</v>
      </c>
      <c r="K2500" t="s">
        <v>121</v>
      </c>
    </row>
    <row r="2501" spans="1:11">
      <c r="A2501" t="s">
        <v>145</v>
      </c>
      <c r="B2501">
        <v>10316</v>
      </c>
      <c r="C2501">
        <v>34</v>
      </c>
      <c r="D2501" s="21">
        <v>82.21</v>
      </c>
      <c r="E2501" s="22">
        <v>38292</v>
      </c>
      <c r="F2501" t="s">
        <v>13</v>
      </c>
      <c r="G2501" t="s">
        <v>207</v>
      </c>
      <c r="H2501">
        <v>4</v>
      </c>
      <c r="I2501">
        <v>2004</v>
      </c>
      <c r="J2501" t="s">
        <v>15</v>
      </c>
      <c r="K2501" t="s">
        <v>146</v>
      </c>
    </row>
    <row r="2502" spans="1:11">
      <c r="A2502" t="s">
        <v>203</v>
      </c>
      <c r="B2502">
        <v>10328</v>
      </c>
      <c r="C2502">
        <v>27</v>
      </c>
      <c r="D2502" s="21">
        <v>100</v>
      </c>
      <c r="E2502" s="22">
        <v>38303</v>
      </c>
      <c r="F2502" t="s">
        <v>13</v>
      </c>
      <c r="G2502" t="s">
        <v>207</v>
      </c>
      <c r="H2502">
        <v>4</v>
      </c>
      <c r="I2502">
        <v>2004</v>
      </c>
      <c r="J2502" t="s">
        <v>15</v>
      </c>
      <c r="K2502" t="s">
        <v>204</v>
      </c>
    </row>
    <row r="2503" spans="1:11">
      <c r="A2503" t="s">
        <v>133</v>
      </c>
      <c r="B2503">
        <v>10340</v>
      </c>
      <c r="C2503">
        <v>30</v>
      </c>
      <c r="D2503" s="21">
        <v>88.6</v>
      </c>
      <c r="E2503" s="22">
        <v>38315</v>
      </c>
      <c r="F2503" t="s">
        <v>13</v>
      </c>
      <c r="G2503" t="s">
        <v>207</v>
      </c>
      <c r="H2503">
        <v>4</v>
      </c>
      <c r="I2503">
        <v>2004</v>
      </c>
      <c r="J2503" t="s">
        <v>15</v>
      </c>
      <c r="K2503" t="s">
        <v>134</v>
      </c>
    </row>
    <row r="2504" spans="1:11">
      <c r="A2504" t="s">
        <v>208</v>
      </c>
      <c r="B2504">
        <v>10353</v>
      </c>
      <c r="C2504">
        <v>39</v>
      </c>
      <c r="D2504" s="21">
        <v>100</v>
      </c>
      <c r="E2504" s="22">
        <v>38325</v>
      </c>
      <c r="F2504" t="s">
        <v>13</v>
      </c>
      <c r="G2504" t="s">
        <v>207</v>
      </c>
      <c r="H2504">
        <v>4</v>
      </c>
      <c r="I2504">
        <v>2004</v>
      </c>
      <c r="J2504" t="s">
        <v>22</v>
      </c>
      <c r="K2504" t="s">
        <v>209</v>
      </c>
    </row>
    <row r="2505" spans="1:11">
      <c r="A2505" t="s">
        <v>63</v>
      </c>
      <c r="B2505">
        <v>10361</v>
      </c>
      <c r="C2505">
        <v>20</v>
      </c>
      <c r="D2505" s="21">
        <v>60.54</v>
      </c>
      <c r="E2505" s="22">
        <v>38338</v>
      </c>
      <c r="F2505" t="s">
        <v>13</v>
      </c>
      <c r="G2505" t="s">
        <v>207</v>
      </c>
      <c r="H2505">
        <v>4</v>
      </c>
      <c r="I2505">
        <v>2004</v>
      </c>
      <c r="J2505" t="s">
        <v>15</v>
      </c>
      <c r="K2505" t="s">
        <v>64</v>
      </c>
    </row>
    <row r="2506" spans="1:11">
      <c r="A2506" t="s">
        <v>50</v>
      </c>
      <c r="B2506">
        <v>10375</v>
      </c>
      <c r="C2506">
        <v>37</v>
      </c>
      <c r="D2506" s="21">
        <v>81.87</v>
      </c>
      <c r="E2506" s="22">
        <v>38386</v>
      </c>
      <c r="F2506" t="s">
        <v>13</v>
      </c>
      <c r="G2506" t="s">
        <v>207</v>
      </c>
      <c r="H2506">
        <v>1</v>
      </c>
      <c r="I2506">
        <v>2005</v>
      </c>
      <c r="J2506" t="s">
        <v>22</v>
      </c>
      <c r="K2506" t="s">
        <v>51</v>
      </c>
    </row>
    <row r="2507" spans="1:11">
      <c r="A2507" t="s">
        <v>65</v>
      </c>
      <c r="B2507">
        <v>10388</v>
      </c>
      <c r="C2507">
        <v>46</v>
      </c>
      <c r="D2507" s="21">
        <v>100</v>
      </c>
      <c r="E2507" s="22">
        <v>38414</v>
      </c>
      <c r="F2507" t="s">
        <v>13</v>
      </c>
      <c r="G2507" t="s">
        <v>207</v>
      </c>
      <c r="H2507">
        <v>1</v>
      </c>
      <c r="I2507">
        <v>2005</v>
      </c>
      <c r="J2507" t="s">
        <v>61</v>
      </c>
      <c r="K2507" t="s">
        <v>66</v>
      </c>
    </row>
    <row r="2508" spans="1:11">
      <c r="A2508" t="s">
        <v>18</v>
      </c>
      <c r="B2508">
        <v>10398</v>
      </c>
      <c r="C2508">
        <v>47</v>
      </c>
      <c r="D2508" s="21">
        <v>87.69</v>
      </c>
      <c r="E2508" s="22">
        <v>38441</v>
      </c>
      <c r="F2508" t="s">
        <v>13</v>
      </c>
      <c r="G2508" t="s">
        <v>207</v>
      </c>
      <c r="H2508">
        <v>1</v>
      </c>
      <c r="I2508">
        <v>2005</v>
      </c>
      <c r="J2508" t="s">
        <v>22</v>
      </c>
      <c r="K2508" t="s">
        <v>19</v>
      </c>
    </row>
    <row r="2509" spans="1:11">
      <c r="A2509" t="s">
        <v>46</v>
      </c>
      <c r="B2509">
        <v>10401</v>
      </c>
      <c r="C2509">
        <v>11</v>
      </c>
      <c r="D2509" s="21">
        <v>100</v>
      </c>
      <c r="E2509" s="22">
        <v>38445</v>
      </c>
      <c r="F2509" t="s">
        <v>151</v>
      </c>
      <c r="G2509" t="s">
        <v>207</v>
      </c>
      <c r="H2509">
        <v>2</v>
      </c>
      <c r="I2509">
        <v>2005</v>
      </c>
      <c r="J2509" t="s">
        <v>15</v>
      </c>
      <c r="K2509" t="s">
        <v>47</v>
      </c>
    </row>
    <row r="2510" spans="1:11">
      <c r="A2510" t="s">
        <v>169</v>
      </c>
      <c r="B2510">
        <v>10416</v>
      </c>
      <c r="C2510">
        <v>23</v>
      </c>
      <c r="D2510" s="21">
        <v>91.34</v>
      </c>
      <c r="E2510" s="22">
        <v>38482</v>
      </c>
      <c r="F2510" t="s">
        <v>13</v>
      </c>
      <c r="G2510" t="s">
        <v>207</v>
      </c>
      <c r="H2510">
        <v>2</v>
      </c>
      <c r="I2510">
        <v>2005</v>
      </c>
      <c r="J2510" t="s">
        <v>15</v>
      </c>
      <c r="K2510" t="s">
        <v>170</v>
      </c>
    </row>
    <row r="2511" spans="1:11">
      <c r="A2511" t="s">
        <v>122</v>
      </c>
      <c r="B2511">
        <v>10105</v>
      </c>
      <c r="C2511">
        <v>29</v>
      </c>
      <c r="D2511" s="21">
        <v>70.15</v>
      </c>
      <c r="E2511" s="22">
        <v>37663</v>
      </c>
      <c r="F2511" t="s">
        <v>13</v>
      </c>
      <c r="G2511" t="s">
        <v>214</v>
      </c>
      <c r="H2511">
        <v>1</v>
      </c>
      <c r="I2511">
        <v>2003</v>
      </c>
      <c r="J2511" t="s">
        <v>15</v>
      </c>
      <c r="K2511" t="s">
        <v>123</v>
      </c>
    </row>
    <row r="2512" spans="1:11">
      <c r="A2512" t="s">
        <v>77</v>
      </c>
      <c r="B2512">
        <v>10117</v>
      </c>
      <c r="C2512">
        <v>38</v>
      </c>
      <c r="D2512" s="21">
        <v>79.68</v>
      </c>
      <c r="E2512" s="22">
        <v>37727</v>
      </c>
      <c r="F2512" t="s">
        <v>13</v>
      </c>
      <c r="G2512" t="s">
        <v>214</v>
      </c>
      <c r="H2512">
        <v>2</v>
      </c>
      <c r="I2512">
        <v>2003</v>
      </c>
      <c r="J2512" t="s">
        <v>22</v>
      </c>
      <c r="K2512" t="s">
        <v>78</v>
      </c>
    </row>
    <row r="2513" spans="1:11">
      <c r="A2513" t="s">
        <v>69</v>
      </c>
      <c r="B2513">
        <v>10128</v>
      </c>
      <c r="C2513">
        <v>32</v>
      </c>
      <c r="D2513" s="21">
        <v>97</v>
      </c>
      <c r="E2513" s="22">
        <v>37778</v>
      </c>
      <c r="F2513" t="s">
        <v>13</v>
      </c>
      <c r="G2513" t="s">
        <v>214</v>
      </c>
      <c r="H2513">
        <v>2</v>
      </c>
      <c r="I2513">
        <v>2003</v>
      </c>
      <c r="J2513" t="s">
        <v>22</v>
      </c>
      <c r="K2513" t="s">
        <v>71</v>
      </c>
    </row>
    <row r="2514" spans="1:11">
      <c r="A2514" t="s">
        <v>103</v>
      </c>
      <c r="B2514">
        <v>10142</v>
      </c>
      <c r="C2514">
        <v>43</v>
      </c>
      <c r="D2514" s="21">
        <v>84.01</v>
      </c>
      <c r="E2514" s="22">
        <v>37841</v>
      </c>
      <c r="F2514" t="s">
        <v>13</v>
      </c>
      <c r="G2514" t="s">
        <v>214</v>
      </c>
      <c r="H2514">
        <v>3</v>
      </c>
      <c r="I2514">
        <v>2003</v>
      </c>
      <c r="J2514" t="s">
        <v>22</v>
      </c>
      <c r="K2514" t="s">
        <v>104</v>
      </c>
    </row>
    <row r="2515" spans="1:11">
      <c r="A2515" t="s">
        <v>69</v>
      </c>
      <c r="B2515">
        <v>10153</v>
      </c>
      <c r="C2515">
        <v>31</v>
      </c>
      <c r="D2515" s="21">
        <v>87.48</v>
      </c>
      <c r="E2515" s="22">
        <v>37892</v>
      </c>
      <c r="F2515" t="s">
        <v>13</v>
      </c>
      <c r="G2515" t="s">
        <v>214</v>
      </c>
      <c r="H2515">
        <v>3</v>
      </c>
      <c r="I2515">
        <v>2003</v>
      </c>
      <c r="J2515" t="s">
        <v>15</v>
      </c>
      <c r="K2515" t="s">
        <v>71</v>
      </c>
    </row>
    <row r="2516" spans="1:11">
      <c r="A2516" t="s">
        <v>65</v>
      </c>
      <c r="B2516">
        <v>10166</v>
      </c>
      <c r="C2516">
        <v>29</v>
      </c>
      <c r="D2516" s="21">
        <v>100</v>
      </c>
      <c r="E2516" s="22">
        <v>37915</v>
      </c>
      <c r="F2516" t="s">
        <v>13</v>
      </c>
      <c r="G2516" t="s">
        <v>214</v>
      </c>
      <c r="H2516">
        <v>4</v>
      </c>
      <c r="I2516">
        <v>2003</v>
      </c>
      <c r="J2516" t="s">
        <v>22</v>
      </c>
      <c r="K2516" t="s">
        <v>66</v>
      </c>
    </row>
    <row r="2517" spans="1:11">
      <c r="A2517" t="s">
        <v>181</v>
      </c>
      <c r="B2517">
        <v>10177</v>
      </c>
      <c r="C2517">
        <v>31</v>
      </c>
      <c r="D2517" s="21">
        <v>88.34</v>
      </c>
      <c r="E2517" s="22">
        <v>37932</v>
      </c>
      <c r="F2517" t="s">
        <v>13</v>
      </c>
      <c r="G2517" t="s">
        <v>214</v>
      </c>
      <c r="H2517">
        <v>4</v>
      </c>
      <c r="I2517">
        <v>2003</v>
      </c>
      <c r="J2517" t="s">
        <v>15</v>
      </c>
      <c r="K2517" t="s">
        <v>182</v>
      </c>
    </row>
    <row r="2518" spans="1:11">
      <c r="A2518" t="s">
        <v>126</v>
      </c>
      <c r="B2518">
        <v>10185</v>
      </c>
      <c r="C2518">
        <v>30</v>
      </c>
      <c r="D2518" s="21">
        <v>94.4</v>
      </c>
      <c r="E2518" s="22">
        <v>37939</v>
      </c>
      <c r="F2518" t="s">
        <v>13</v>
      </c>
      <c r="G2518" t="s">
        <v>214</v>
      </c>
      <c r="H2518">
        <v>4</v>
      </c>
      <c r="I2518">
        <v>2003</v>
      </c>
      <c r="J2518" t="s">
        <v>15</v>
      </c>
      <c r="K2518" t="s">
        <v>127</v>
      </c>
    </row>
    <row r="2519" spans="1:11">
      <c r="A2519" t="s">
        <v>93</v>
      </c>
      <c r="B2519">
        <v>10196</v>
      </c>
      <c r="C2519">
        <v>50</v>
      </c>
      <c r="D2519" s="21">
        <v>94.4</v>
      </c>
      <c r="E2519" s="22">
        <v>37951</v>
      </c>
      <c r="F2519" t="s">
        <v>13</v>
      </c>
      <c r="G2519" t="s">
        <v>214</v>
      </c>
      <c r="H2519">
        <v>4</v>
      </c>
      <c r="I2519">
        <v>2003</v>
      </c>
      <c r="J2519" t="s">
        <v>22</v>
      </c>
      <c r="K2519" t="s">
        <v>94</v>
      </c>
    </row>
    <row r="2520" spans="1:11">
      <c r="A2520" t="s">
        <v>85</v>
      </c>
      <c r="B2520">
        <v>10208</v>
      </c>
      <c r="C2520">
        <v>40</v>
      </c>
      <c r="D2520" s="21">
        <v>80.55</v>
      </c>
      <c r="E2520" s="22">
        <v>37988</v>
      </c>
      <c r="F2520" t="s">
        <v>13</v>
      </c>
      <c r="G2520" t="s">
        <v>214</v>
      </c>
      <c r="H2520">
        <v>1</v>
      </c>
      <c r="I2520">
        <v>2004</v>
      </c>
      <c r="J2520" t="s">
        <v>22</v>
      </c>
      <c r="K2520" t="s">
        <v>86</v>
      </c>
    </row>
    <row r="2521" spans="1:11">
      <c r="A2521" t="s">
        <v>139</v>
      </c>
      <c r="B2521">
        <v>10221</v>
      </c>
      <c r="C2521">
        <v>23</v>
      </c>
      <c r="D2521" s="21">
        <v>97</v>
      </c>
      <c r="E2521" s="22">
        <v>38035</v>
      </c>
      <c r="F2521" t="s">
        <v>13</v>
      </c>
      <c r="G2521" t="s">
        <v>214</v>
      </c>
      <c r="H2521">
        <v>1</v>
      </c>
      <c r="I2521">
        <v>2004</v>
      </c>
      <c r="J2521" t="s">
        <v>15</v>
      </c>
      <c r="K2521" t="s">
        <v>140</v>
      </c>
    </row>
    <row r="2522" spans="1:11">
      <c r="A2522" t="s">
        <v>145</v>
      </c>
      <c r="B2522">
        <v>10232</v>
      </c>
      <c r="C2522">
        <v>26</v>
      </c>
      <c r="D2522" s="21">
        <v>88.34</v>
      </c>
      <c r="E2522" s="22">
        <v>38066</v>
      </c>
      <c r="F2522" t="s">
        <v>13</v>
      </c>
      <c r="G2522" t="s">
        <v>214</v>
      </c>
      <c r="H2522">
        <v>1</v>
      </c>
      <c r="I2522">
        <v>2004</v>
      </c>
      <c r="J2522" t="s">
        <v>15</v>
      </c>
      <c r="K2522" t="s">
        <v>146</v>
      </c>
    </row>
    <row r="2523" spans="1:11">
      <c r="A2523" t="s">
        <v>12</v>
      </c>
      <c r="B2523">
        <v>10248</v>
      </c>
      <c r="C2523">
        <v>40</v>
      </c>
      <c r="D2523" s="21">
        <v>100</v>
      </c>
      <c r="E2523" s="22">
        <v>38114</v>
      </c>
      <c r="F2523" t="s">
        <v>128</v>
      </c>
      <c r="G2523" t="s">
        <v>214</v>
      </c>
      <c r="H2523">
        <v>2</v>
      </c>
      <c r="I2523">
        <v>2004</v>
      </c>
      <c r="J2523" t="s">
        <v>22</v>
      </c>
      <c r="K2523" t="s">
        <v>16</v>
      </c>
    </row>
    <row r="2524" spans="1:11">
      <c r="A2524" t="s">
        <v>139</v>
      </c>
      <c r="B2524">
        <v>10273</v>
      </c>
      <c r="C2524">
        <v>21</v>
      </c>
      <c r="D2524" s="21">
        <v>100</v>
      </c>
      <c r="E2524" s="22">
        <v>38189</v>
      </c>
      <c r="F2524" t="s">
        <v>13</v>
      </c>
      <c r="G2524" t="s">
        <v>214</v>
      </c>
      <c r="H2524">
        <v>3</v>
      </c>
      <c r="I2524">
        <v>2004</v>
      </c>
      <c r="J2524" t="s">
        <v>15</v>
      </c>
      <c r="K2524" t="s">
        <v>140</v>
      </c>
    </row>
    <row r="2525" spans="1:11">
      <c r="A2525" t="s">
        <v>103</v>
      </c>
      <c r="B2525">
        <v>10282</v>
      </c>
      <c r="C2525">
        <v>43</v>
      </c>
      <c r="D2525" s="21">
        <v>86.61</v>
      </c>
      <c r="E2525" s="22">
        <v>38219</v>
      </c>
      <c r="F2525" t="s">
        <v>13</v>
      </c>
      <c r="G2525" t="s">
        <v>214</v>
      </c>
      <c r="H2525">
        <v>3</v>
      </c>
      <c r="I2525">
        <v>2004</v>
      </c>
      <c r="J2525" t="s">
        <v>22</v>
      </c>
      <c r="K2525" t="s">
        <v>104</v>
      </c>
    </row>
    <row r="2526" spans="1:11">
      <c r="A2526" t="s">
        <v>97</v>
      </c>
      <c r="B2526">
        <v>10293</v>
      </c>
      <c r="C2526">
        <v>29</v>
      </c>
      <c r="D2526" s="21">
        <v>71.89</v>
      </c>
      <c r="E2526" s="22">
        <v>38239</v>
      </c>
      <c r="F2526" t="s">
        <v>13</v>
      </c>
      <c r="G2526" t="s">
        <v>214</v>
      </c>
      <c r="H2526">
        <v>3</v>
      </c>
      <c r="I2526">
        <v>2004</v>
      </c>
      <c r="J2526" t="s">
        <v>15</v>
      </c>
      <c r="K2526" t="s">
        <v>98</v>
      </c>
    </row>
    <row r="2527" spans="1:11">
      <c r="A2527" t="s">
        <v>183</v>
      </c>
      <c r="B2527">
        <v>10306</v>
      </c>
      <c r="C2527">
        <v>38</v>
      </c>
      <c r="D2527" s="21">
        <v>91.81</v>
      </c>
      <c r="E2527" s="22">
        <v>38274</v>
      </c>
      <c r="F2527" t="s">
        <v>13</v>
      </c>
      <c r="G2527" t="s">
        <v>214</v>
      </c>
      <c r="H2527">
        <v>4</v>
      </c>
      <c r="I2527">
        <v>2004</v>
      </c>
      <c r="J2527" t="s">
        <v>22</v>
      </c>
      <c r="K2527" t="s">
        <v>184</v>
      </c>
    </row>
    <row r="2528" spans="1:11">
      <c r="A2528" t="s">
        <v>185</v>
      </c>
      <c r="B2528">
        <v>10314</v>
      </c>
      <c r="C2528">
        <v>23</v>
      </c>
      <c r="D2528" s="21">
        <v>76.22</v>
      </c>
      <c r="E2528" s="22">
        <v>38282</v>
      </c>
      <c r="F2528" t="s">
        <v>13</v>
      </c>
      <c r="G2528" t="s">
        <v>214</v>
      </c>
      <c r="H2528">
        <v>4</v>
      </c>
      <c r="I2528">
        <v>2004</v>
      </c>
      <c r="J2528" t="s">
        <v>15</v>
      </c>
      <c r="K2528" t="s">
        <v>186</v>
      </c>
    </row>
    <row r="2529" spans="1:11">
      <c r="A2529" t="s">
        <v>122</v>
      </c>
      <c r="B2529">
        <v>10327</v>
      </c>
      <c r="C2529">
        <v>20</v>
      </c>
      <c r="D2529" s="21">
        <v>100</v>
      </c>
      <c r="E2529" s="22">
        <v>38301</v>
      </c>
      <c r="F2529" t="s">
        <v>155</v>
      </c>
      <c r="G2529" t="s">
        <v>214</v>
      </c>
      <c r="H2529">
        <v>4</v>
      </c>
      <c r="I2529">
        <v>2004</v>
      </c>
      <c r="J2529" t="s">
        <v>22</v>
      </c>
      <c r="K2529" t="s">
        <v>123</v>
      </c>
    </row>
    <row r="2530" spans="1:11">
      <c r="A2530" t="s">
        <v>79</v>
      </c>
      <c r="B2530">
        <v>10337</v>
      </c>
      <c r="C2530">
        <v>36</v>
      </c>
      <c r="D2530" s="21">
        <v>70.3</v>
      </c>
      <c r="E2530" s="22">
        <v>38312</v>
      </c>
      <c r="F2530" t="s">
        <v>13</v>
      </c>
      <c r="G2530" t="s">
        <v>214</v>
      </c>
      <c r="H2530">
        <v>4</v>
      </c>
      <c r="I2530">
        <v>2004</v>
      </c>
      <c r="J2530" t="s">
        <v>15</v>
      </c>
      <c r="K2530" t="s">
        <v>80</v>
      </c>
    </row>
    <row r="2531" spans="1:11">
      <c r="A2531" t="s">
        <v>69</v>
      </c>
      <c r="B2531">
        <v>10350</v>
      </c>
      <c r="C2531">
        <v>28</v>
      </c>
      <c r="D2531" s="21">
        <v>100</v>
      </c>
      <c r="E2531" s="22">
        <v>38323</v>
      </c>
      <c r="F2531" t="s">
        <v>13</v>
      </c>
      <c r="G2531" t="s">
        <v>214</v>
      </c>
      <c r="H2531">
        <v>4</v>
      </c>
      <c r="I2531">
        <v>2004</v>
      </c>
      <c r="J2531" t="s">
        <v>15</v>
      </c>
      <c r="K2531" t="s">
        <v>71</v>
      </c>
    </row>
    <row r="2532" spans="1:11">
      <c r="A2532" t="s">
        <v>95</v>
      </c>
      <c r="B2532">
        <v>10372</v>
      </c>
      <c r="C2532">
        <v>44</v>
      </c>
      <c r="D2532" s="21">
        <v>100</v>
      </c>
      <c r="E2532" s="22">
        <v>38378</v>
      </c>
      <c r="F2532" t="s">
        <v>13</v>
      </c>
      <c r="G2532" t="s">
        <v>214</v>
      </c>
      <c r="H2532">
        <v>1</v>
      </c>
      <c r="I2532">
        <v>2005</v>
      </c>
      <c r="J2532" t="s">
        <v>22</v>
      </c>
      <c r="K2532" t="s">
        <v>96</v>
      </c>
    </row>
    <row r="2533" spans="1:11">
      <c r="A2533" t="s">
        <v>28</v>
      </c>
      <c r="B2533">
        <v>10384</v>
      </c>
      <c r="C2533">
        <v>49</v>
      </c>
      <c r="D2533" s="21">
        <v>100</v>
      </c>
      <c r="E2533" s="22">
        <v>38406</v>
      </c>
      <c r="F2533" t="s">
        <v>13</v>
      </c>
      <c r="G2533" t="s">
        <v>214</v>
      </c>
      <c r="H2533">
        <v>1</v>
      </c>
      <c r="I2533">
        <v>2005</v>
      </c>
      <c r="J2533" t="s">
        <v>22</v>
      </c>
      <c r="K2533" t="s">
        <v>29</v>
      </c>
    </row>
    <row r="2534" spans="1:11">
      <c r="A2534" t="s">
        <v>129</v>
      </c>
      <c r="B2534">
        <v>10397</v>
      </c>
      <c r="C2534">
        <v>32</v>
      </c>
      <c r="D2534" s="21">
        <v>80.55</v>
      </c>
      <c r="E2534" s="22">
        <v>38439</v>
      </c>
      <c r="F2534" t="s">
        <v>13</v>
      </c>
      <c r="G2534" t="s">
        <v>214</v>
      </c>
      <c r="H2534">
        <v>1</v>
      </c>
      <c r="I2534">
        <v>2005</v>
      </c>
      <c r="J2534" t="s">
        <v>15</v>
      </c>
      <c r="K2534" t="s">
        <v>130</v>
      </c>
    </row>
    <row r="2535" spans="1:11">
      <c r="A2535" t="s">
        <v>143</v>
      </c>
      <c r="B2535">
        <v>10414</v>
      </c>
      <c r="C2535">
        <v>34</v>
      </c>
      <c r="D2535" s="21">
        <v>100</v>
      </c>
      <c r="E2535" s="22">
        <v>38478</v>
      </c>
      <c r="F2535" t="s">
        <v>151</v>
      </c>
      <c r="G2535" t="s">
        <v>214</v>
      </c>
      <c r="H2535">
        <v>2</v>
      </c>
      <c r="I2535">
        <v>2005</v>
      </c>
      <c r="J2535" t="s">
        <v>22</v>
      </c>
      <c r="K2535" t="s">
        <v>144</v>
      </c>
    </row>
    <row r="2536" spans="1:11">
      <c r="A2536" t="s">
        <v>203</v>
      </c>
      <c r="B2536">
        <v>10106</v>
      </c>
      <c r="C2536">
        <v>30</v>
      </c>
      <c r="D2536" s="21">
        <v>100</v>
      </c>
      <c r="E2536" s="22">
        <v>37669</v>
      </c>
      <c r="F2536" t="s">
        <v>13</v>
      </c>
      <c r="G2536" t="s">
        <v>214</v>
      </c>
      <c r="H2536">
        <v>1</v>
      </c>
      <c r="I2536">
        <v>2003</v>
      </c>
      <c r="J2536" t="s">
        <v>22</v>
      </c>
      <c r="K2536" t="s">
        <v>204</v>
      </c>
    </row>
    <row r="2537" spans="1:11">
      <c r="A2537" t="s">
        <v>60</v>
      </c>
      <c r="B2537">
        <v>10119</v>
      </c>
      <c r="C2537">
        <v>29</v>
      </c>
      <c r="D2537" s="21">
        <v>94.14</v>
      </c>
      <c r="E2537" s="22">
        <v>37739</v>
      </c>
      <c r="F2537" t="s">
        <v>13</v>
      </c>
      <c r="G2537" t="s">
        <v>214</v>
      </c>
      <c r="H2537">
        <v>2</v>
      </c>
      <c r="I2537">
        <v>2003</v>
      </c>
      <c r="J2537" t="s">
        <v>15</v>
      </c>
      <c r="K2537" t="s">
        <v>62</v>
      </c>
    </row>
    <row r="2538" spans="1:11">
      <c r="A2538" t="s">
        <v>208</v>
      </c>
      <c r="B2538">
        <v>10131</v>
      </c>
      <c r="C2538">
        <v>22</v>
      </c>
      <c r="D2538" s="21">
        <v>85.99</v>
      </c>
      <c r="E2538" s="22">
        <v>37788</v>
      </c>
      <c r="F2538" t="s">
        <v>13</v>
      </c>
      <c r="G2538" t="s">
        <v>214</v>
      </c>
      <c r="H2538">
        <v>2</v>
      </c>
      <c r="I2538">
        <v>2003</v>
      </c>
      <c r="J2538" t="s">
        <v>15</v>
      </c>
      <c r="K2538" t="s">
        <v>209</v>
      </c>
    </row>
    <row r="2539" spans="1:11">
      <c r="A2539" t="s">
        <v>126</v>
      </c>
      <c r="B2539">
        <v>10143</v>
      </c>
      <c r="C2539">
        <v>26</v>
      </c>
      <c r="D2539" s="21">
        <v>100</v>
      </c>
      <c r="E2539" s="22">
        <v>37843</v>
      </c>
      <c r="F2539" t="s">
        <v>13</v>
      </c>
      <c r="G2539" t="s">
        <v>214</v>
      </c>
      <c r="H2539">
        <v>3</v>
      </c>
      <c r="I2539">
        <v>2003</v>
      </c>
      <c r="J2539" t="s">
        <v>15</v>
      </c>
      <c r="K2539" t="s">
        <v>127</v>
      </c>
    </row>
    <row r="2540" spans="1:11">
      <c r="A2540" t="s">
        <v>54</v>
      </c>
      <c r="B2540">
        <v>10155</v>
      </c>
      <c r="C2540">
        <v>32</v>
      </c>
      <c r="D2540" s="21">
        <v>91.43</v>
      </c>
      <c r="E2540" s="22">
        <v>37900</v>
      </c>
      <c r="F2540" t="s">
        <v>13</v>
      </c>
      <c r="G2540" t="s">
        <v>214</v>
      </c>
      <c r="H2540">
        <v>4</v>
      </c>
      <c r="I2540">
        <v>2003</v>
      </c>
      <c r="J2540" t="s">
        <v>15</v>
      </c>
      <c r="K2540" t="s">
        <v>55</v>
      </c>
    </row>
    <row r="2541" spans="1:11">
      <c r="A2541" t="s">
        <v>99</v>
      </c>
      <c r="B2541">
        <v>10167</v>
      </c>
      <c r="C2541">
        <v>29</v>
      </c>
      <c r="D2541" s="21">
        <v>100</v>
      </c>
      <c r="E2541" s="22">
        <v>37917</v>
      </c>
      <c r="F2541" t="s">
        <v>128</v>
      </c>
      <c r="G2541" t="s">
        <v>214</v>
      </c>
      <c r="H2541">
        <v>4</v>
      </c>
      <c r="I2541">
        <v>2003</v>
      </c>
      <c r="J2541" t="s">
        <v>15</v>
      </c>
      <c r="K2541" t="s">
        <v>100</v>
      </c>
    </row>
    <row r="2542" spans="1:11">
      <c r="A2542" t="s">
        <v>129</v>
      </c>
      <c r="B2542">
        <v>10178</v>
      </c>
      <c r="C2542">
        <v>34</v>
      </c>
      <c r="D2542" s="21">
        <v>96.86</v>
      </c>
      <c r="E2542" s="22">
        <v>37933</v>
      </c>
      <c r="F2542" t="s">
        <v>13</v>
      </c>
      <c r="G2542" t="s">
        <v>214</v>
      </c>
      <c r="H2542">
        <v>4</v>
      </c>
      <c r="I2542">
        <v>2003</v>
      </c>
      <c r="J2542" t="s">
        <v>22</v>
      </c>
      <c r="K2542" t="s">
        <v>130</v>
      </c>
    </row>
    <row r="2543" spans="1:11">
      <c r="A2543" t="s">
        <v>131</v>
      </c>
      <c r="B2543">
        <v>10186</v>
      </c>
      <c r="C2543">
        <v>24</v>
      </c>
      <c r="D2543" s="21">
        <v>99.57</v>
      </c>
      <c r="E2543" s="22">
        <v>37939</v>
      </c>
      <c r="F2543" t="s">
        <v>13</v>
      </c>
      <c r="G2543" t="s">
        <v>214</v>
      </c>
      <c r="H2543">
        <v>4</v>
      </c>
      <c r="I2543">
        <v>2003</v>
      </c>
      <c r="J2543" t="s">
        <v>15</v>
      </c>
      <c r="K2543" t="s">
        <v>132</v>
      </c>
    </row>
    <row r="2544" spans="1:11">
      <c r="A2544" t="s">
        <v>133</v>
      </c>
      <c r="B2544">
        <v>10197</v>
      </c>
      <c r="C2544">
        <v>24</v>
      </c>
      <c r="D2544" s="21">
        <v>90.52</v>
      </c>
      <c r="E2544" s="22">
        <v>37951</v>
      </c>
      <c r="F2544" t="s">
        <v>13</v>
      </c>
      <c r="G2544" t="s">
        <v>214</v>
      </c>
      <c r="H2544">
        <v>4</v>
      </c>
      <c r="I2544">
        <v>2003</v>
      </c>
      <c r="J2544" t="s">
        <v>15</v>
      </c>
      <c r="K2544" t="s">
        <v>134</v>
      </c>
    </row>
    <row r="2545" spans="1:11">
      <c r="A2545" t="s">
        <v>135</v>
      </c>
      <c r="B2545">
        <v>10209</v>
      </c>
      <c r="C2545">
        <v>33</v>
      </c>
      <c r="D2545" s="21">
        <v>88.71</v>
      </c>
      <c r="E2545" s="22">
        <v>37995</v>
      </c>
      <c r="F2545" t="s">
        <v>13</v>
      </c>
      <c r="G2545" t="s">
        <v>214</v>
      </c>
      <c r="H2545">
        <v>1</v>
      </c>
      <c r="I2545">
        <v>2004</v>
      </c>
      <c r="J2545" t="s">
        <v>15</v>
      </c>
      <c r="K2545" t="s">
        <v>136</v>
      </c>
    </row>
    <row r="2546" spans="1:11">
      <c r="A2546" t="s">
        <v>137</v>
      </c>
      <c r="B2546">
        <v>10222</v>
      </c>
      <c r="C2546">
        <v>26</v>
      </c>
      <c r="D2546" s="21">
        <v>100</v>
      </c>
      <c r="E2546" s="22">
        <v>38036</v>
      </c>
      <c r="F2546" t="s">
        <v>13</v>
      </c>
      <c r="G2546" t="s">
        <v>214</v>
      </c>
      <c r="H2546">
        <v>1</v>
      </c>
      <c r="I2546">
        <v>2004</v>
      </c>
      <c r="J2546" t="s">
        <v>15</v>
      </c>
      <c r="K2546" t="s">
        <v>138</v>
      </c>
    </row>
    <row r="2547" spans="1:11">
      <c r="A2547" t="s">
        <v>91</v>
      </c>
      <c r="B2547">
        <v>10249</v>
      </c>
      <c r="C2547">
        <v>40</v>
      </c>
      <c r="D2547" s="21">
        <v>95.95</v>
      </c>
      <c r="E2547" s="22">
        <v>38115</v>
      </c>
      <c r="F2547" t="s">
        <v>13</v>
      </c>
      <c r="G2547" t="s">
        <v>214</v>
      </c>
      <c r="H2547">
        <v>2</v>
      </c>
      <c r="I2547">
        <v>2004</v>
      </c>
      <c r="J2547" t="s">
        <v>22</v>
      </c>
      <c r="K2547" t="s">
        <v>92</v>
      </c>
    </row>
    <row r="2548" spans="1:11">
      <c r="A2548" t="s">
        <v>69</v>
      </c>
      <c r="B2548">
        <v>10262</v>
      </c>
      <c r="C2548">
        <v>44</v>
      </c>
      <c r="D2548" s="21">
        <v>94.14</v>
      </c>
      <c r="E2548" s="22">
        <v>38162</v>
      </c>
      <c r="F2548" t="s">
        <v>128</v>
      </c>
      <c r="G2548" t="s">
        <v>214</v>
      </c>
      <c r="H2548">
        <v>2</v>
      </c>
      <c r="I2548">
        <v>2004</v>
      </c>
      <c r="J2548" t="s">
        <v>22</v>
      </c>
      <c r="K2548" t="s">
        <v>71</v>
      </c>
    </row>
    <row r="2549" spans="1:11">
      <c r="A2549" t="s">
        <v>107</v>
      </c>
      <c r="B2549">
        <v>10274</v>
      </c>
      <c r="C2549">
        <v>24</v>
      </c>
      <c r="D2549" s="21">
        <v>90.52</v>
      </c>
      <c r="E2549" s="22">
        <v>38189</v>
      </c>
      <c r="F2549" t="s">
        <v>13</v>
      </c>
      <c r="G2549" t="s">
        <v>214</v>
      </c>
      <c r="H2549">
        <v>3</v>
      </c>
      <c r="I2549">
        <v>2004</v>
      </c>
      <c r="J2549" t="s">
        <v>15</v>
      </c>
      <c r="K2549" t="s">
        <v>108</v>
      </c>
    </row>
    <row r="2550" spans="1:11">
      <c r="A2550" t="s">
        <v>141</v>
      </c>
      <c r="B2550">
        <v>10283</v>
      </c>
      <c r="C2550">
        <v>20</v>
      </c>
      <c r="D2550" s="21">
        <v>94.14</v>
      </c>
      <c r="E2550" s="22">
        <v>38219</v>
      </c>
      <c r="F2550" t="s">
        <v>13</v>
      </c>
      <c r="G2550" t="s">
        <v>214</v>
      </c>
      <c r="H2550">
        <v>3</v>
      </c>
      <c r="I2550">
        <v>2004</v>
      </c>
      <c r="J2550" t="s">
        <v>15</v>
      </c>
      <c r="K2550" t="s">
        <v>142</v>
      </c>
    </row>
    <row r="2551" spans="1:11">
      <c r="A2551" t="s">
        <v>210</v>
      </c>
      <c r="B2551">
        <v>10296</v>
      </c>
      <c r="C2551">
        <v>34</v>
      </c>
      <c r="D2551" s="21">
        <v>100</v>
      </c>
      <c r="E2551" s="22">
        <v>38245</v>
      </c>
      <c r="F2551" t="s">
        <v>13</v>
      </c>
      <c r="G2551" t="s">
        <v>214</v>
      </c>
      <c r="H2551">
        <v>3</v>
      </c>
      <c r="I2551">
        <v>2004</v>
      </c>
      <c r="J2551" t="s">
        <v>22</v>
      </c>
      <c r="K2551" t="s">
        <v>211</v>
      </c>
    </row>
    <row r="2552" spans="1:11">
      <c r="A2552" t="s">
        <v>83</v>
      </c>
      <c r="B2552">
        <v>10307</v>
      </c>
      <c r="C2552">
        <v>34</v>
      </c>
      <c r="D2552" s="21">
        <v>97.76</v>
      </c>
      <c r="E2552" s="22">
        <v>38274</v>
      </c>
      <c r="F2552" t="s">
        <v>13</v>
      </c>
      <c r="G2552" t="s">
        <v>214</v>
      </c>
      <c r="H2552">
        <v>4</v>
      </c>
      <c r="I2552">
        <v>2004</v>
      </c>
      <c r="J2552" t="s">
        <v>22</v>
      </c>
      <c r="K2552" t="s">
        <v>84</v>
      </c>
    </row>
    <row r="2553" spans="1:11">
      <c r="A2553" t="s">
        <v>145</v>
      </c>
      <c r="B2553">
        <v>10316</v>
      </c>
      <c r="C2553">
        <v>45</v>
      </c>
      <c r="D2553" s="21">
        <v>93.24</v>
      </c>
      <c r="E2553" s="22">
        <v>38292</v>
      </c>
      <c r="F2553" t="s">
        <v>13</v>
      </c>
      <c r="G2553" t="s">
        <v>214</v>
      </c>
      <c r="H2553">
        <v>4</v>
      </c>
      <c r="I2553">
        <v>2004</v>
      </c>
      <c r="J2553" t="s">
        <v>22</v>
      </c>
      <c r="K2553" t="s">
        <v>146</v>
      </c>
    </row>
    <row r="2554" spans="1:11">
      <c r="A2554" t="s">
        <v>203</v>
      </c>
      <c r="B2554">
        <v>10328</v>
      </c>
      <c r="C2554">
        <v>41</v>
      </c>
      <c r="D2554" s="21">
        <v>100</v>
      </c>
      <c r="E2554" s="22">
        <v>38303</v>
      </c>
      <c r="F2554" t="s">
        <v>13</v>
      </c>
      <c r="G2554" t="s">
        <v>214</v>
      </c>
      <c r="H2554">
        <v>4</v>
      </c>
      <c r="I2554">
        <v>2004</v>
      </c>
      <c r="J2554" t="s">
        <v>22</v>
      </c>
      <c r="K2554" t="s">
        <v>204</v>
      </c>
    </row>
    <row r="2555" spans="1:11">
      <c r="A2555" t="s">
        <v>95</v>
      </c>
      <c r="B2555">
        <v>10339</v>
      </c>
      <c r="C2555">
        <v>55</v>
      </c>
      <c r="D2555" s="21">
        <v>71.25</v>
      </c>
      <c r="E2555" s="22">
        <v>38314</v>
      </c>
      <c r="F2555" t="s">
        <v>13</v>
      </c>
      <c r="G2555" t="s">
        <v>214</v>
      </c>
      <c r="H2555">
        <v>4</v>
      </c>
      <c r="I2555">
        <v>2004</v>
      </c>
      <c r="J2555" t="s">
        <v>22</v>
      </c>
      <c r="K2555" t="s">
        <v>96</v>
      </c>
    </row>
    <row r="2556" spans="1:11">
      <c r="A2556" t="s">
        <v>215</v>
      </c>
      <c r="B2556">
        <v>10352</v>
      </c>
      <c r="C2556">
        <v>23</v>
      </c>
      <c r="D2556" s="21">
        <v>100</v>
      </c>
      <c r="E2556" s="22">
        <v>38324</v>
      </c>
      <c r="F2556" t="s">
        <v>13</v>
      </c>
      <c r="G2556" t="s">
        <v>214</v>
      </c>
      <c r="H2556">
        <v>4</v>
      </c>
      <c r="I2556">
        <v>2004</v>
      </c>
      <c r="J2556" t="s">
        <v>15</v>
      </c>
      <c r="K2556" t="s">
        <v>216</v>
      </c>
    </row>
    <row r="2557" spans="1:11">
      <c r="A2557" t="s">
        <v>63</v>
      </c>
      <c r="B2557">
        <v>10361</v>
      </c>
      <c r="C2557">
        <v>24</v>
      </c>
      <c r="D2557" s="21">
        <v>45.39</v>
      </c>
      <c r="E2557" s="22">
        <v>38338</v>
      </c>
      <c r="F2557" t="s">
        <v>13</v>
      </c>
      <c r="G2557" t="s">
        <v>214</v>
      </c>
      <c r="H2557">
        <v>4</v>
      </c>
      <c r="I2557">
        <v>2004</v>
      </c>
      <c r="J2557" t="s">
        <v>15</v>
      </c>
      <c r="K2557" t="s">
        <v>64</v>
      </c>
    </row>
    <row r="2558" spans="1:11">
      <c r="A2558" t="s">
        <v>147</v>
      </c>
      <c r="B2558">
        <v>10373</v>
      </c>
      <c r="C2558">
        <v>32</v>
      </c>
      <c r="D2558" s="21">
        <v>84.41</v>
      </c>
      <c r="E2558" s="22">
        <v>38383</v>
      </c>
      <c r="F2558" t="s">
        <v>13</v>
      </c>
      <c r="G2558" t="s">
        <v>214</v>
      </c>
      <c r="H2558">
        <v>1</v>
      </c>
      <c r="I2558">
        <v>2005</v>
      </c>
      <c r="J2558" t="s">
        <v>15</v>
      </c>
      <c r="K2558" t="s">
        <v>148</v>
      </c>
    </row>
    <row r="2559" spans="1:11">
      <c r="A2559" t="s">
        <v>69</v>
      </c>
      <c r="B2559">
        <v>10386</v>
      </c>
      <c r="C2559">
        <v>29</v>
      </c>
      <c r="D2559" s="21">
        <v>85.76</v>
      </c>
      <c r="E2559" s="22">
        <v>38412</v>
      </c>
      <c r="F2559" t="s">
        <v>155</v>
      </c>
      <c r="G2559" t="s">
        <v>214</v>
      </c>
      <c r="H2559">
        <v>1</v>
      </c>
      <c r="I2559">
        <v>2005</v>
      </c>
      <c r="J2559" t="s">
        <v>15</v>
      </c>
      <c r="K2559" t="s">
        <v>71</v>
      </c>
    </row>
    <row r="2560" spans="1:11">
      <c r="A2560" t="s">
        <v>18</v>
      </c>
      <c r="B2560">
        <v>10398</v>
      </c>
      <c r="C2560">
        <v>36</v>
      </c>
      <c r="D2560" s="21">
        <v>100</v>
      </c>
      <c r="E2560" s="22">
        <v>38441</v>
      </c>
      <c r="F2560" t="s">
        <v>13</v>
      </c>
      <c r="G2560" t="s">
        <v>214</v>
      </c>
      <c r="H2560">
        <v>1</v>
      </c>
      <c r="I2560">
        <v>2005</v>
      </c>
      <c r="J2560" t="s">
        <v>22</v>
      </c>
      <c r="K2560" t="s">
        <v>19</v>
      </c>
    </row>
    <row r="2561" spans="1:11">
      <c r="A2561" t="s">
        <v>149</v>
      </c>
      <c r="B2561">
        <v>10400</v>
      </c>
      <c r="C2561">
        <v>46</v>
      </c>
      <c r="D2561" s="21">
        <v>87.8</v>
      </c>
      <c r="E2561" s="22">
        <v>38443</v>
      </c>
      <c r="F2561" t="s">
        <v>13</v>
      </c>
      <c r="G2561" t="s">
        <v>214</v>
      </c>
      <c r="H2561">
        <v>2</v>
      </c>
      <c r="I2561">
        <v>2005</v>
      </c>
      <c r="J2561" t="s">
        <v>22</v>
      </c>
      <c r="K2561" t="s">
        <v>150</v>
      </c>
    </row>
    <row r="2562" spans="1:11">
      <c r="A2562" t="s">
        <v>205</v>
      </c>
      <c r="B2562">
        <v>10415</v>
      </c>
      <c r="C2562">
        <v>32</v>
      </c>
      <c r="D2562" s="21">
        <v>95.95</v>
      </c>
      <c r="E2562" s="22">
        <v>38481</v>
      </c>
      <c r="F2562" t="s">
        <v>70</v>
      </c>
      <c r="G2562" t="s">
        <v>214</v>
      </c>
      <c r="H2562">
        <v>2</v>
      </c>
      <c r="I2562">
        <v>2005</v>
      </c>
      <c r="J2562" t="s">
        <v>22</v>
      </c>
      <c r="K2562" t="s">
        <v>206</v>
      </c>
    </row>
    <row r="2563" spans="1:11">
      <c r="A2563" t="s">
        <v>203</v>
      </c>
      <c r="B2563">
        <v>10106</v>
      </c>
      <c r="C2563">
        <v>34</v>
      </c>
      <c r="D2563" s="21">
        <v>100</v>
      </c>
      <c r="E2563" s="22">
        <v>37669</v>
      </c>
      <c r="F2563" t="s">
        <v>13</v>
      </c>
      <c r="G2563" t="s">
        <v>207</v>
      </c>
      <c r="H2563">
        <v>1</v>
      </c>
      <c r="I2563">
        <v>2003</v>
      </c>
      <c r="J2563" t="s">
        <v>22</v>
      </c>
      <c r="K2563" t="s">
        <v>204</v>
      </c>
    </row>
    <row r="2564" spans="1:11">
      <c r="A2564" t="s">
        <v>42</v>
      </c>
      <c r="B2564">
        <v>10120</v>
      </c>
      <c r="C2564">
        <v>24</v>
      </c>
      <c r="D2564" s="21">
        <v>100</v>
      </c>
      <c r="E2564" s="22">
        <v>37740</v>
      </c>
      <c r="F2564" t="s">
        <v>13</v>
      </c>
      <c r="G2564" t="s">
        <v>207</v>
      </c>
      <c r="H2564">
        <v>2</v>
      </c>
      <c r="I2564">
        <v>2003</v>
      </c>
      <c r="J2564" t="s">
        <v>15</v>
      </c>
      <c r="K2564" t="s">
        <v>43</v>
      </c>
    </row>
    <row r="2565" spans="1:11">
      <c r="A2565" t="s">
        <v>208</v>
      </c>
      <c r="B2565">
        <v>10131</v>
      </c>
      <c r="C2565">
        <v>40</v>
      </c>
      <c r="D2565" s="21">
        <v>100</v>
      </c>
      <c r="E2565" s="22">
        <v>37788</v>
      </c>
      <c r="F2565" t="s">
        <v>13</v>
      </c>
      <c r="G2565" t="s">
        <v>207</v>
      </c>
      <c r="H2565">
        <v>2</v>
      </c>
      <c r="I2565">
        <v>2003</v>
      </c>
      <c r="J2565" t="s">
        <v>22</v>
      </c>
      <c r="K2565" t="s">
        <v>209</v>
      </c>
    </row>
    <row r="2566" spans="1:11">
      <c r="A2566" t="s">
        <v>126</v>
      </c>
      <c r="B2566">
        <v>10143</v>
      </c>
      <c r="C2566">
        <v>26</v>
      </c>
      <c r="D2566" s="21">
        <v>82.77</v>
      </c>
      <c r="E2566" s="22">
        <v>37843</v>
      </c>
      <c r="F2566" t="s">
        <v>13</v>
      </c>
      <c r="G2566" t="s">
        <v>207</v>
      </c>
      <c r="H2566">
        <v>3</v>
      </c>
      <c r="I2566">
        <v>2003</v>
      </c>
      <c r="J2566" t="s">
        <v>15</v>
      </c>
      <c r="K2566" t="s">
        <v>127</v>
      </c>
    </row>
    <row r="2567" spans="1:11">
      <c r="A2567" t="s">
        <v>54</v>
      </c>
      <c r="B2567">
        <v>10155</v>
      </c>
      <c r="C2567">
        <v>20</v>
      </c>
      <c r="D2567" s="21">
        <v>100</v>
      </c>
      <c r="E2567" s="22">
        <v>37900</v>
      </c>
      <c r="F2567" t="s">
        <v>13</v>
      </c>
      <c r="G2567" t="s">
        <v>207</v>
      </c>
      <c r="H2567">
        <v>4</v>
      </c>
      <c r="I2567">
        <v>2003</v>
      </c>
      <c r="J2567" t="s">
        <v>15</v>
      </c>
      <c r="K2567" t="s">
        <v>55</v>
      </c>
    </row>
    <row r="2568" spans="1:11">
      <c r="A2568" t="s">
        <v>31</v>
      </c>
      <c r="B2568">
        <v>10168</v>
      </c>
      <c r="C2568">
        <v>31</v>
      </c>
      <c r="D2568" s="21">
        <v>100</v>
      </c>
      <c r="E2568" s="22">
        <v>37922</v>
      </c>
      <c r="F2568" t="s">
        <v>13</v>
      </c>
      <c r="G2568" t="s">
        <v>207</v>
      </c>
      <c r="H2568">
        <v>4</v>
      </c>
      <c r="I2568">
        <v>2003</v>
      </c>
      <c r="J2568" t="s">
        <v>22</v>
      </c>
      <c r="K2568" t="s">
        <v>32</v>
      </c>
    </row>
    <row r="2569" spans="1:11">
      <c r="A2569" t="s">
        <v>129</v>
      </c>
      <c r="B2569">
        <v>10178</v>
      </c>
      <c r="C2569">
        <v>22</v>
      </c>
      <c r="D2569" s="21">
        <v>87.75</v>
      </c>
      <c r="E2569" s="22">
        <v>37933</v>
      </c>
      <c r="F2569" t="s">
        <v>13</v>
      </c>
      <c r="G2569" t="s">
        <v>207</v>
      </c>
      <c r="H2569">
        <v>4</v>
      </c>
      <c r="I2569">
        <v>2003</v>
      </c>
      <c r="J2569" t="s">
        <v>15</v>
      </c>
      <c r="K2569" t="s">
        <v>130</v>
      </c>
    </row>
    <row r="2570" spans="1:11">
      <c r="A2570" t="s">
        <v>161</v>
      </c>
      <c r="B2570">
        <v>10198</v>
      </c>
      <c r="C2570">
        <v>42</v>
      </c>
      <c r="D2570" s="21">
        <v>100</v>
      </c>
      <c r="E2570" s="22">
        <v>37952</v>
      </c>
      <c r="F2570" t="s">
        <v>13</v>
      </c>
      <c r="G2570" t="s">
        <v>207</v>
      </c>
      <c r="H2570">
        <v>4</v>
      </c>
      <c r="I2570">
        <v>2003</v>
      </c>
      <c r="J2570" t="s">
        <v>22</v>
      </c>
      <c r="K2570" t="s">
        <v>162</v>
      </c>
    </row>
    <row r="2571" spans="1:11">
      <c r="A2571" t="s">
        <v>114</v>
      </c>
      <c r="B2571">
        <v>10210</v>
      </c>
      <c r="C2571">
        <v>26</v>
      </c>
      <c r="D2571" s="21">
        <v>99.72</v>
      </c>
      <c r="E2571" s="22">
        <v>37998</v>
      </c>
      <c r="F2571" t="s">
        <v>13</v>
      </c>
      <c r="G2571" t="s">
        <v>207</v>
      </c>
      <c r="H2571">
        <v>1</v>
      </c>
      <c r="I2571">
        <v>2004</v>
      </c>
      <c r="J2571" t="s">
        <v>15</v>
      </c>
      <c r="K2571" t="s">
        <v>115</v>
      </c>
    </row>
    <row r="2572" spans="1:11">
      <c r="A2572" t="s">
        <v>137</v>
      </c>
      <c r="B2572">
        <v>10222</v>
      </c>
      <c r="C2572">
        <v>37</v>
      </c>
      <c r="D2572" s="21">
        <v>87.75</v>
      </c>
      <c r="E2572" s="22">
        <v>38036</v>
      </c>
      <c r="F2572" t="s">
        <v>13</v>
      </c>
      <c r="G2572" t="s">
        <v>207</v>
      </c>
      <c r="H2572">
        <v>1</v>
      </c>
      <c r="I2572">
        <v>2004</v>
      </c>
      <c r="J2572" t="s">
        <v>22</v>
      </c>
      <c r="K2572" t="s">
        <v>138</v>
      </c>
    </row>
    <row r="2573" spans="1:11">
      <c r="A2573" t="s">
        <v>141</v>
      </c>
      <c r="B2573">
        <v>10235</v>
      </c>
      <c r="C2573">
        <v>38</v>
      </c>
      <c r="D2573" s="21">
        <v>88.75</v>
      </c>
      <c r="E2573" s="22">
        <v>38079</v>
      </c>
      <c r="F2573" t="s">
        <v>13</v>
      </c>
      <c r="G2573" t="s">
        <v>207</v>
      </c>
      <c r="H2573">
        <v>2</v>
      </c>
      <c r="I2573">
        <v>2004</v>
      </c>
      <c r="J2573" t="s">
        <v>22</v>
      </c>
      <c r="K2573" t="s">
        <v>142</v>
      </c>
    </row>
    <row r="2574" spans="1:11">
      <c r="A2574" t="s">
        <v>149</v>
      </c>
      <c r="B2574">
        <v>10250</v>
      </c>
      <c r="C2574">
        <v>35</v>
      </c>
      <c r="D2574" s="21">
        <v>100</v>
      </c>
      <c r="E2574" s="22">
        <v>38118</v>
      </c>
      <c r="F2574" t="s">
        <v>13</v>
      </c>
      <c r="G2574" t="s">
        <v>207</v>
      </c>
      <c r="H2574">
        <v>2</v>
      </c>
      <c r="I2574">
        <v>2004</v>
      </c>
      <c r="J2574" t="s">
        <v>22</v>
      </c>
      <c r="K2574" t="s">
        <v>150</v>
      </c>
    </row>
    <row r="2575" spans="1:11">
      <c r="A2575" t="s">
        <v>69</v>
      </c>
      <c r="B2575">
        <v>10262</v>
      </c>
      <c r="C2575">
        <v>33</v>
      </c>
      <c r="D2575" s="21">
        <v>90.75</v>
      </c>
      <c r="E2575" s="22">
        <v>38162</v>
      </c>
      <c r="F2575" t="s">
        <v>128</v>
      </c>
      <c r="G2575" t="s">
        <v>207</v>
      </c>
      <c r="H2575">
        <v>2</v>
      </c>
      <c r="I2575">
        <v>2004</v>
      </c>
      <c r="J2575" t="s">
        <v>15</v>
      </c>
      <c r="K2575" t="s">
        <v>71</v>
      </c>
    </row>
    <row r="2576" spans="1:11">
      <c r="A2576" t="s">
        <v>50</v>
      </c>
      <c r="B2576">
        <v>10275</v>
      </c>
      <c r="C2576">
        <v>39</v>
      </c>
      <c r="D2576" s="21">
        <v>100</v>
      </c>
      <c r="E2576" s="22">
        <v>38191</v>
      </c>
      <c r="F2576" t="s">
        <v>13</v>
      </c>
      <c r="G2576" t="s">
        <v>207</v>
      </c>
      <c r="H2576">
        <v>3</v>
      </c>
      <c r="I2576">
        <v>2004</v>
      </c>
      <c r="J2576" t="s">
        <v>22</v>
      </c>
      <c r="K2576" t="s">
        <v>51</v>
      </c>
    </row>
    <row r="2577" spans="1:11">
      <c r="A2577" t="s">
        <v>200</v>
      </c>
      <c r="B2577">
        <v>10284</v>
      </c>
      <c r="C2577">
        <v>45</v>
      </c>
      <c r="D2577" s="21">
        <v>100</v>
      </c>
      <c r="E2577" s="22">
        <v>38220</v>
      </c>
      <c r="F2577" t="s">
        <v>13</v>
      </c>
      <c r="G2577" t="s">
        <v>207</v>
      </c>
      <c r="H2577">
        <v>3</v>
      </c>
      <c r="I2577">
        <v>2004</v>
      </c>
      <c r="J2577" t="s">
        <v>22</v>
      </c>
      <c r="K2577" t="s">
        <v>201</v>
      </c>
    </row>
    <row r="2578" spans="1:11">
      <c r="A2578" t="s">
        <v>210</v>
      </c>
      <c r="B2578">
        <v>10296</v>
      </c>
      <c r="C2578">
        <v>24</v>
      </c>
      <c r="D2578" s="21">
        <v>100</v>
      </c>
      <c r="E2578" s="22">
        <v>38245</v>
      </c>
      <c r="F2578" t="s">
        <v>13</v>
      </c>
      <c r="G2578" t="s">
        <v>207</v>
      </c>
      <c r="H2578">
        <v>3</v>
      </c>
      <c r="I2578">
        <v>2004</v>
      </c>
      <c r="J2578" t="s">
        <v>15</v>
      </c>
      <c r="K2578" t="s">
        <v>211</v>
      </c>
    </row>
    <row r="2579" spans="1:11">
      <c r="A2579" t="s">
        <v>120</v>
      </c>
      <c r="B2579">
        <v>10308</v>
      </c>
      <c r="C2579">
        <v>35</v>
      </c>
      <c r="D2579" s="21">
        <v>88.75</v>
      </c>
      <c r="E2579" s="22">
        <v>38275</v>
      </c>
      <c r="F2579" t="s">
        <v>13</v>
      </c>
      <c r="G2579" t="s">
        <v>207</v>
      </c>
      <c r="H2579">
        <v>4</v>
      </c>
      <c r="I2579">
        <v>2004</v>
      </c>
      <c r="J2579" t="s">
        <v>22</v>
      </c>
      <c r="K2579" t="s">
        <v>121</v>
      </c>
    </row>
    <row r="2580" spans="1:11">
      <c r="A2580" t="s">
        <v>145</v>
      </c>
      <c r="B2580">
        <v>10316</v>
      </c>
      <c r="C2580">
        <v>23</v>
      </c>
      <c r="D2580" s="21">
        <v>100</v>
      </c>
      <c r="E2580" s="22">
        <v>38292</v>
      </c>
      <c r="F2580" t="s">
        <v>13</v>
      </c>
      <c r="G2580" t="s">
        <v>207</v>
      </c>
      <c r="H2580">
        <v>4</v>
      </c>
      <c r="I2580">
        <v>2004</v>
      </c>
      <c r="J2580" t="s">
        <v>15</v>
      </c>
      <c r="K2580" t="s">
        <v>146</v>
      </c>
    </row>
    <row r="2581" spans="1:11">
      <c r="A2581" t="s">
        <v>203</v>
      </c>
      <c r="B2581">
        <v>10328</v>
      </c>
      <c r="C2581">
        <v>37</v>
      </c>
      <c r="D2581" s="21">
        <v>100</v>
      </c>
      <c r="E2581" s="22">
        <v>38303</v>
      </c>
      <c r="F2581" t="s">
        <v>13</v>
      </c>
      <c r="G2581" t="s">
        <v>207</v>
      </c>
      <c r="H2581">
        <v>4</v>
      </c>
      <c r="I2581">
        <v>2004</v>
      </c>
      <c r="J2581" t="s">
        <v>22</v>
      </c>
      <c r="K2581" t="s">
        <v>204</v>
      </c>
    </row>
    <row r="2582" spans="1:11">
      <c r="A2582" t="s">
        <v>133</v>
      </c>
      <c r="B2582">
        <v>10340</v>
      </c>
      <c r="C2582">
        <v>55</v>
      </c>
      <c r="D2582" s="21">
        <v>87.75</v>
      </c>
      <c r="E2582" s="22">
        <v>38315</v>
      </c>
      <c r="F2582" t="s">
        <v>13</v>
      </c>
      <c r="G2582" t="s">
        <v>207</v>
      </c>
      <c r="H2582">
        <v>4</v>
      </c>
      <c r="I2582">
        <v>2004</v>
      </c>
      <c r="J2582" t="s">
        <v>22</v>
      </c>
      <c r="K2582" t="s">
        <v>134</v>
      </c>
    </row>
    <row r="2583" spans="1:11">
      <c r="A2583" t="s">
        <v>215</v>
      </c>
      <c r="B2583">
        <v>10352</v>
      </c>
      <c r="C2583">
        <v>49</v>
      </c>
      <c r="D2583" s="21">
        <v>100</v>
      </c>
      <c r="E2583" s="22">
        <v>38324</v>
      </c>
      <c r="F2583" t="s">
        <v>13</v>
      </c>
      <c r="G2583" t="s">
        <v>207</v>
      </c>
      <c r="H2583">
        <v>4</v>
      </c>
      <c r="I2583">
        <v>2004</v>
      </c>
      <c r="J2583" t="s">
        <v>22</v>
      </c>
      <c r="K2583" t="s">
        <v>216</v>
      </c>
    </row>
    <row r="2584" spans="1:11">
      <c r="A2584" t="s">
        <v>63</v>
      </c>
      <c r="B2584">
        <v>10361</v>
      </c>
      <c r="C2584">
        <v>26</v>
      </c>
      <c r="D2584" s="21">
        <v>100</v>
      </c>
      <c r="E2584" s="22">
        <v>38338</v>
      </c>
      <c r="F2584" t="s">
        <v>13</v>
      </c>
      <c r="G2584" t="s">
        <v>207</v>
      </c>
      <c r="H2584">
        <v>4</v>
      </c>
      <c r="I2584">
        <v>2004</v>
      </c>
      <c r="J2584" t="s">
        <v>15</v>
      </c>
      <c r="K2584" t="s">
        <v>64</v>
      </c>
    </row>
    <row r="2585" spans="1:11">
      <c r="A2585" t="s">
        <v>50</v>
      </c>
      <c r="B2585">
        <v>10375</v>
      </c>
      <c r="C2585">
        <v>33</v>
      </c>
      <c r="D2585" s="21">
        <v>100</v>
      </c>
      <c r="E2585" s="22">
        <v>38386</v>
      </c>
      <c r="F2585" t="s">
        <v>13</v>
      </c>
      <c r="G2585" t="s">
        <v>207</v>
      </c>
      <c r="H2585">
        <v>1</v>
      </c>
      <c r="I2585">
        <v>2005</v>
      </c>
      <c r="J2585" t="s">
        <v>22</v>
      </c>
      <c r="K2585" t="s">
        <v>51</v>
      </c>
    </row>
    <row r="2586" spans="1:11">
      <c r="A2586" t="s">
        <v>69</v>
      </c>
      <c r="B2586">
        <v>10386</v>
      </c>
      <c r="C2586">
        <v>37</v>
      </c>
      <c r="D2586" s="21">
        <v>83.84</v>
      </c>
      <c r="E2586" s="22">
        <v>38412</v>
      </c>
      <c r="F2586" t="s">
        <v>155</v>
      </c>
      <c r="G2586" t="s">
        <v>207</v>
      </c>
      <c r="H2586">
        <v>1</v>
      </c>
      <c r="I2586">
        <v>2005</v>
      </c>
      <c r="J2586" t="s">
        <v>22</v>
      </c>
      <c r="K2586" t="s">
        <v>71</v>
      </c>
    </row>
    <row r="2587" spans="1:11">
      <c r="A2587" t="s">
        <v>18</v>
      </c>
      <c r="B2587">
        <v>10398</v>
      </c>
      <c r="C2587">
        <v>22</v>
      </c>
      <c r="D2587" s="21">
        <v>86.76</v>
      </c>
      <c r="E2587" s="22">
        <v>38441</v>
      </c>
      <c r="F2587" t="s">
        <v>13</v>
      </c>
      <c r="G2587" t="s">
        <v>207</v>
      </c>
      <c r="H2587">
        <v>1</v>
      </c>
      <c r="I2587">
        <v>2005</v>
      </c>
      <c r="J2587" t="s">
        <v>15</v>
      </c>
      <c r="K2587" t="s">
        <v>19</v>
      </c>
    </row>
    <row r="2588" spans="1:11">
      <c r="A2588" t="s">
        <v>46</v>
      </c>
      <c r="B2588">
        <v>10401</v>
      </c>
      <c r="C2588">
        <v>85</v>
      </c>
      <c r="D2588" s="21">
        <v>88.75</v>
      </c>
      <c r="E2588" s="22">
        <v>38445</v>
      </c>
      <c r="F2588" t="s">
        <v>151</v>
      </c>
      <c r="G2588" t="s">
        <v>207</v>
      </c>
      <c r="H2588">
        <v>2</v>
      </c>
      <c r="I2588">
        <v>2005</v>
      </c>
      <c r="J2588" t="s">
        <v>61</v>
      </c>
      <c r="K2588" t="s">
        <v>47</v>
      </c>
    </row>
    <row r="2589" spans="1:11">
      <c r="A2589" t="s">
        <v>169</v>
      </c>
      <c r="B2589">
        <v>10416</v>
      </c>
      <c r="C2589">
        <v>22</v>
      </c>
      <c r="D2589" s="21">
        <v>100</v>
      </c>
      <c r="E2589" s="22">
        <v>38482</v>
      </c>
      <c r="F2589" t="s">
        <v>13</v>
      </c>
      <c r="G2589" t="s">
        <v>207</v>
      </c>
      <c r="H2589">
        <v>2</v>
      </c>
      <c r="I2589">
        <v>2005</v>
      </c>
      <c r="J2589" t="s">
        <v>15</v>
      </c>
      <c r="K2589" t="s">
        <v>170</v>
      </c>
    </row>
    <row r="2590" spans="1:11">
      <c r="A2590" t="s">
        <v>122</v>
      </c>
      <c r="B2590">
        <v>10105</v>
      </c>
      <c r="C2590">
        <v>31</v>
      </c>
      <c r="D2590" s="21">
        <v>65.77</v>
      </c>
      <c r="E2590" s="22">
        <v>37663</v>
      </c>
      <c r="F2590" t="s">
        <v>13</v>
      </c>
      <c r="G2590" t="s">
        <v>214</v>
      </c>
      <c r="H2590">
        <v>1</v>
      </c>
      <c r="I2590">
        <v>2003</v>
      </c>
      <c r="J2590" t="s">
        <v>15</v>
      </c>
      <c r="K2590" t="s">
        <v>123</v>
      </c>
    </row>
    <row r="2591" spans="1:11">
      <c r="A2591" t="s">
        <v>60</v>
      </c>
      <c r="B2591">
        <v>10119</v>
      </c>
      <c r="C2591">
        <v>38</v>
      </c>
      <c r="D2591" s="21">
        <v>65.77</v>
      </c>
      <c r="E2591" s="22">
        <v>37739</v>
      </c>
      <c r="F2591" t="s">
        <v>13</v>
      </c>
      <c r="G2591" t="s">
        <v>214</v>
      </c>
      <c r="H2591">
        <v>2</v>
      </c>
      <c r="I2591">
        <v>2003</v>
      </c>
      <c r="J2591" t="s">
        <v>15</v>
      </c>
      <c r="K2591" t="s">
        <v>62</v>
      </c>
    </row>
    <row r="2592" spans="1:11">
      <c r="A2592" t="s">
        <v>124</v>
      </c>
      <c r="B2592">
        <v>10129</v>
      </c>
      <c r="C2592">
        <v>45</v>
      </c>
      <c r="D2592" s="21">
        <v>85.29</v>
      </c>
      <c r="E2592" s="22">
        <v>37784</v>
      </c>
      <c r="F2592" t="s">
        <v>13</v>
      </c>
      <c r="G2592" t="s">
        <v>214</v>
      </c>
      <c r="H2592">
        <v>2</v>
      </c>
      <c r="I2592">
        <v>2003</v>
      </c>
      <c r="J2592" t="s">
        <v>22</v>
      </c>
      <c r="K2592" t="s">
        <v>125</v>
      </c>
    </row>
    <row r="2593" spans="1:11">
      <c r="A2593" t="s">
        <v>126</v>
      </c>
      <c r="B2593">
        <v>10143</v>
      </c>
      <c r="C2593">
        <v>31</v>
      </c>
      <c r="D2593" s="21">
        <v>85.29</v>
      </c>
      <c r="E2593" s="22">
        <v>37843</v>
      </c>
      <c r="F2593" t="s">
        <v>13</v>
      </c>
      <c r="G2593" t="s">
        <v>214</v>
      </c>
      <c r="H2593">
        <v>3</v>
      </c>
      <c r="I2593">
        <v>2003</v>
      </c>
      <c r="J2593" t="s">
        <v>15</v>
      </c>
      <c r="K2593" t="s">
        <v>127</v>
      </c>
    </row>
    <row r="2594" spans="1:11">
      <c r="A2594" t="s">
        <v>190</v>
      </c>
      <c r="B2594">
        <v>10154</v>
      </c>
      <c r="C2594">
        <v>36</v>
      </c>
      <c r="D2594" s="21">
        <v>64.33</v>
      </c>
      <c r="E2594" s="22">
        <v>37896</v>
      </c>
      <c r="F2594" t="s">
        <v>13</v>
      </c>
      <c r="G2594" t="s">
        <v>214</v>
      </c>
      <c r="H2594">
        <v>4</v>
      </c>
      <c r="I2594">
        <v>2003</v>
      </c>
      <c r="J2594" t="s">
        <v>15</v>
      </c>
      <c r="K2594" t="s">
        <v>191</v>
      </c>
    </row>
    <row r="2595" spans="1:11">
      <c r="A2595" t="s">
        <v>99</v>
      </c>
      <c r="B2595">
        <v>10167</v>
      </c>
      <c r="C2595">
        <v>46</v>
      </c>
      <c r="D2595" s="21">
        <v>70.11</v>
      </c>
      <c r="E2595" s="22">
        <v>37917</v>
      </c>
      <c r="F2595" t="s">
        <v>128</v>
      </c>
      <c r="G2595" t="s">
        <v>214</v>
      </c>
      <c r="H2595">
        <v>4</v>
      </c>
      <c r="I2595">
        <v>2003</v>
      </c>
      <c r="J2595" t="s">
        <v>22</v>
      </c>
      <c r="K2595" t="s">
        <v>100</v>
      </c>
    </row>
    <row r="2596" spans="1:11">
      <c r="A2596" t="s">
        <v>181</v>
      </c>
      <c r="B2596">
        <v>10177</v>
      </c>
      <c r="C2596">
        <v>32</v>
      </c>
      <c r="D2596" s="21">
        <v>76.62</v>
      </c>
      <c r="E2596" s="22">
        <v>37932</v>
      </c>
      <c r="F2596" t="s">
        <v>13</v>
      </c>
      <c r="G2596" t="s">
        <v>214</v>
      </c>
      <c r="H2596">
        <v>4</v>
      </c>
      <c r="I2596">
        <v>2003</v>
      </c>
      <c r="J2596" t="s">
        <v>15</v>
      </c>
      <c r="K2596" t="s">
        <v>182</v>
      </c>
    </row>
    <row r="2597" spans="1:11">
      <c r="A2597" t="s">
        <v>126</v>
      </c>
      <c r="B2597">
        <v>10185</v>
      </c>
      <c r="C2597">
        <v>39</v>
      </c>
      <c r="D2597" s="21">
        <v>57.82</v>
      </c>
      <c r="E2597" s="22">
        <v>37939</v>
      </c>
      <c r="F2597" t="s">
        <v>13</v>
      </c>
      <c r="G2597" t="s">
        <v>214</v>
      </c>
      <c r="H2597">
        <v>4</v>
      </c>
      <c r="I2597">
        <v>2003</v>
      </c>
      <c r="J2597" t="s">
        <v>15</v>
      </c>
      <c r="K2597" t="s">
        <v>127</v>
      </c>
    </row>
    <row r="2598" spans="1:11">
      <c r="A2598" t="s">
        <v>133</v>
      </c>
      <c r="B2598">
        <v>10197</v>
      </c>
      <c r="C2598">
        <v>50</v>
      </c>
      <c r="D2598" s="21">
        <v>78.79</v>
      </c>
      <c r="E2598" s="22">
        <v>37951</v>
      </c>
      <c r="F2598" t="s">
        <v>13</v>
      </c>
      <c r="G2598" t="s">
        <v>214</v>
      </c>
      <c r="H2598">
        <v>4</v>
      </c>
      <c r="I2598">
        <v>2003</v>
      </c>
      <c r="J2598" t="s">
        <v>22</v>
      </c>
      <c r="K2598" t="s">
        <v>134</v>
      </c>
    </row>
    <row r="2599" spans="1:11">
      <c r="A2599" t="s">
        <v>85</v>
      </c>
      <c r="B2599">
        <v>10208</v>
      </c>
      <c r="C2599">
        <v>46</v>
      </c>
      <c r="D2599" s="21">
        <v>74.45</v>
      </c>
      <c r="E2599" s="22">
        <v>37988</v>
      </c>
      <c r="F2599" t="s">
        <v>13</v>
      </c>
      <c r="G2599" t="s">
        <v>214</v>
      </c>
      <c r="H2599">
        <v>1</v>
      </c>
      <c r="I2599">
        <v>2004</v>
      </c>
      <c r="J2599" t="s">
        <v>22</v>
      </c>
      <c r="K2599" t="s">
        <v>86</v>
      </c>
    </row>
    <row r="2600" spans="1:11">
      <c r="A2600" t="s">
        <v>137</v>
      </c>
      <c r="B2600">
        <v>10222</v>
      </c>
      <c r="C2600">
        <v>36</v>
      </c>
      <c r="D2600" s="21">
        <v>80.95</v>
      </c>
      <c r="E2600" s="22">
        <v>38036</v>
      </c>
      <c r="F2600" t="s">
        <v>13</v>
      </c>
      <c r="G2600" t="s">
        <v>214</v>
      </c>
      <c r="H2600">
        <v>1</v>
      </c>
      <c r="I2600">
        <v>2004</v>
      </c>
      <c r="J2600" t="s">
        <v>15</v>
      </c>
      <c r="K2600" t="s">
        <v>138</v>
      </c>
    </row>
    <row r="2601" spans="1:11">
      <c r="A2601" t="s">
        <v>46</v>
      </c>
      <c r="B2601">
        <v>10233</v>
      </c>
      <c r="C2601">
        <v>29</v>
      </c>
      <c r="D2601" s="21">
        <v>82.4</v>
      </c>
      <c r="E2601" s="22">
        <v>38075</v>
      </c>
      <c r="F2601" t="s">
        <v>13</v>
      </c>
      <c r="G2601" t="s">
        <v>214</v>
      </c>
      <c r="H2601">
        <v>1</v>
      </c>
      <c r="I2601">
        <v>2004</v>
      </c>
      <c r="J2601" t="s">
        <v>15</v>
      </c>
      <c r="K2601" t="s">
        <v>47</v>
      </c>
    </row>
    <row r="2602" spans="1:11">
      <c r="A2602" t="s">
        <v>12</v>
      </c>
      <c r="B2602">
        <v>10248</v>
      </c>
      <c r="C2602">
        <v>32</v>
      </c>
      <c r="D2602" s="21">
        <v>75.89</v>
      </c>
      <c r="E2602" s="22">
        <v>38114</v>
      </c>
      <c r="F2602" t="s">
        <v>128</v>
      </c>
      <c r="G2602" t="s">
        <v>214</v>
      </c>
      <c r="H2602">
        <v>2</v>
      </c>
      <c r="I2602">
        <v>2004</v>
      </c>
      <c r="J2602" t="s">
        <v>15</v>
      </c>
      <c r="K2602" t="s">
        <v>16</v>
      </c>
    </row>
    <row r="2603" spans="1:11">
      <c r="A2603" t="s">
        <v>111</v>
      </c>
      <c r="B2603">
        <v>10261</v>
      </c>
      <c r="C2603">
        <v>44</v>
      </c>
      <c r="D2603" s="21">
        <v>68.67</v>
      </c>
      <c r="E2603" s="22">
        <v>38155</v>
      </c>
      <c r="F2603" t="s">
        <v>13</v>
      </c>
      <c r="G2603" t="s">
        <v>214</v>
      </c>
      <c r="H2603">
        <v>2</v>
      </c>
      <c r="I2603">
        <v>2004</v>
      </c>
      <c r="J2603" t="s">
        <v>22</v>
      </c>
      <c r="K2603" t="s">
        <v>112</v>
      </c>
    </row>
    <row r="2604" spans="1:11">
      <c r="A2604" t="s">
        <v>139</v>
      </c>
      <c r="B2604">
        <v>10273</v>
      </c>
      <c r="C2604">
        <v>42</v>
      </c>
      <c r="D2604" s="21">
        <v>62.16</v>
      </c>
      <c r="E2604" s="22">
        <v>38189</v>
      </c>
      <c r="F2604" t="s">
        <v>13</v>
      </c>
      <c r="G2604" t="s">
        <v>214</v>
      </c>
      <c r="H2604">
        <v>3</v>
      </c>
      <c r="I2604">
        <v>2004</v>
      </c>
      <c r="J2604" t="s">
        <v>15</v>
      </c>
      <c r="K2604" t="s">
        <v>140</v>
      </c>
    </row>
    <row r="2605" spans="1:11">
      <c r="A2605" t="s">
        <v>141</v>
      </c>
      <c r="B2605">
        <v>10283</v>
      </c>
      <c r="C2605">
        <v>47</v>
      </c>
      <c r="D2605" s="21">
        <v>65.77</v>
      </c>
      <c r="E2605" s="22">
        <v>38219</v>
      </c>
      <c r="F2605" t="s">
        <v>13</v>
      </c>
      <c r="G2605" t="s">
        <v>214</v>
      </c>
      <c r="H2605">
        <v>3</v>
      </c>
      <c r="I2605">
        <v>2004</v>
      </c>
      <c r="J2605" t="s">
        <v>22</v>
      </c>
      <c r="K2605" t="s">
        <v>142</v>
      </c>
    </row>
    <row r="2606" spans="1:11">
      <c r="A2606" t="s">
        <v>143</v>
      </c>
      <c r="B2606">
        <v>10295</v>
      </c>
      <c r="C2606">
        <v>44</v>
      </c>
      <c r="D2606" s="21">
        <v>58.55</v>
      </c>
      <c r="E2606" s="22">
        <v>38240</v>
      </c>
      <c r="F2606" t="s">
        <v>13</v>
      </c>
      <c r="G2606" t="s">
        <v>214</v>
      </c>
      <c r="H2606">
        <v>3</v>
      </c>
      <c r="I2606">
        <v>2004</v>
      </c>
      <c r="J2606" t="s">
        <v>15</v>
      </c>
      <c r="K2606" t="s">
        <v>144</v>
      </c>
    </row>
    <row r="2607" spans="1:11">
      <c r="A2607" t="s">
        <v>183</v>
      </c>
      <c r="B2607">
        <v>10306</v>
      </c>
      <c r="C2607">
        <v>43</v>
      </c>
      <c r="D2607" s="21">
        <v>75.17</v>
      </c>
      <c r="E2607" s="22">
        <v>38274</v>
      </c>
      <c r="F2607" t="s">
        <v>13</v>
      </c>
      <c r="G2607" t="s">
        <v>214</v>
      </c>
      <c r="H2607">
        <v>4</v>
      </c>
      <c r="I2607">
        <v>2004</v>
      </c>
      <c r="J2607" t="s">
        <v>22</v>
      </c>
      <c r="K2607" t="s">
        <v>184</v>
      </c>
    </row>
    <row r="2608" spans="1:11">
      <c r="A2608" t="s">
        <v>145</v>
      </c>
      <c r="B2608">
        <v>10316</v>
      </c>
      <c r="C2608">
        <v>48</v>
      </c>
      <c r="D2608" s="21">
        <v>74.45</v>
      </c>
      <c r="E2608" s="22">
        <v>38292</v>
      </c>
      <c r="F2608" t="s">
        <v>13</v>
      </c>
      <c r="G2608" t="s">
        <v>214</v>
      </c>
      <c r="H2608">
        <v>4</v>
      </c>
      <c r="I2608">
        <v>2004</v>
      </c>
      <c r="J2608" t="s">
        <v>22</v>
      </c>
      <c r="K2608" t="s">
        <v>146</v>
      </c>
    </row>
    <row r="2609" spans="1:11">
      <c r="A2609" t="s">
        <v>122</v>
      </c>
      <c r="B2609">
        <v>10327</v>
      </c>
      <c r="C2609">
        <v>21</v>
      </c>
      <c r="D2609" s="21">
        <v>96.31</v>
      </c>
      <c r="E2609" s="22">
        <v>38301</v>
      </c>
      <c r="F2609" t="s">
        <v>155</v>
      </c>
      <c r="G2609" t="s">
        <v>214</v>
      </c>
      <c r="H2609">
        <v>4</v>
      </c>
      <c r="I2609">
        <v>2004</v>
      </c>
      <c r="J2609" t="s">
        <v>15</v>
      </c>
      <c r="K2609" t="s">
        <v>123</v>
      </c>
    </row>
    <row r="2610" spans="1:11">
      <c r="A2610" t="s">
        <v>95</v>
      </c>
      <c r="B2610">
        <v>10339</v>
      </c>
      <c r="C2610">
        <v>50</v>
      </c>
      <c r="D2610" s="21">
        <v>74.35</v>
      </c>
      <c r="E2610" s="22">
        <v>38314</v>
      </c>
      <c r="F2610" t="s">
        <v>13</v>
      </c>
      <c r="G2610" t="s">
        <v>214</v>
      </c>
      <c r="H2610">
        <v>4</v>
      </c>
      <c r="I2610">
        <v>2004</v>
      </c>
      <c r="J2610" t="s">
        <v>22</v>
      </c>
      <c r="K2610" t="s">
        <v>96</v>
      </c>
    </row>
    <row r="2611" spans="1:11">
      <c r="A2611" t="s">
        <v>69</v>
      </c>
      <c r="B2611">
        <v>10350</v>
      </c>
      <c r="C2611">
        <v>29</v>
      </c>
      <c r="D2611" s="21">
        <v>75.35</v>
      </c>
      <c r="E2611" s="22">
        <v>38323</v>
      </c>
      <c r="F2611" t="s">
        <v>13</v>
      </c>
      <c r="G2611" t="s">
        <v>214</v>
      </c>
      <c r="H2611">
        <v>4</v>
      </c>
      <c r="I2611">
        <v>2004</v>
      </c>
      <c r="J2611" t="s">
        <v>15</v>
      </c>
      <c r="K2611" t="s">
        <v>71</v>
      </c>
    </row>
    <row r="2612" spans="1:11">
      <c r="A2612" t="s">
        <v>147</v>
      </c>
      <c r="B2612">
        <v>10373</v>
      </c>
      <c r="C2612">
        <v>41</v>
      </c>
      <c r="D2612" s="21">
        <v>70.33</v>
      </c>
      <c r="E2612" s="22">
        <v>38383</v>
      </c>
      <c r="F2612" t="s">
        <v>13</v>
      </c>
      <c r="G2612" t="s">
        <v>214</v>
      </c>
      <c r="H2612">
        <v>1</v>
      </c>
      <c r="I2612">
        <v>2005</v>
      </c>
      <c r="J2612" t="s">
        <v>15</v>
      </c>
      <c r="K2612" t="s">
        <v>148</v>
      </c>
    </row>
    <row r="2613" spans="1:11">
      <c r="A2613" t="s">
        <v>69</v>
      </c>
      <c r="B2613">
        <v>10386</v>
      </c>
      <c r="C2613">
        <v>37</v>
      </c>
      <c r="D2613" s="21">
        <v>100</v>
      </c>
      <c r="E2613" s="22">
        <v>38412</v>
      </c>
      <c r="F2613" t="s">
        <v>155</v>
      </c>
      <c r="G2613" t="s">
        <v>214</v>
      </c>
      <c r="H2613">
        <v>1</v>
      </c>
      <c r="I2613">
        <v>2005</v>
      </c>
      <c r="J2613" t="s">
        <v>22</v>
      </c>
      <c r="K2613" t="s">
        <v>71</v>
      </c>
    </row>
    <row r="2614" spans="1:11">
      <c r="A2614" t="s">
        <v>129</v>
      </c>
      <c r="B2614">
        <v>10397</v>
      </c>
      <c r="C2614">
        <v>22</v>
      </c>
      <c r="D2614" s="21">
        <v>66.5</v>
      </c>
      <c r="E2614" s="22">
        <v>38439</v>
      </c>
      <c r="F2614" t="s">
        <v>13</v>
      </c>
      <c r="G2614" t="s">
        <v>214</v>
      </c>
      <c r="H2614">
        <v>1</v>
      </c>
      <c r="I2614">
        <v>2005</v>
      </c>
      <c r="J2614" t="s">
        <v>15</v>
      </c>
      <c r="K2614" t="s">
        <v>130</v>
      </c>
    </row>
    <row r="2615" spans="1:11">
      <c r="A2615" t="s">
        <v>143</v>
      </c>
      <c r="B2615">
        <v>10414</v>
      </c>
      <c r="C2615">
        <v>31</v>
      </c>
      <c r="D2615" s="21">
        <v>75.89</v>
      </c>
      <c r="E2615" s="22">
        <v>38478</v>
      </c>
      <c r="F2615" t="s">
        <v>151</v>
      </c>
      <c r="G2615" t="s">
        <v>214</v>
      </c>
      <c r="H2615">
        <v>2</v>
      </c>
      <c r="I2615">
        <v>2005</v>
      </c>
      <c r="J2615" t="s">
        <v>15</v>
      </c>
      <c r="K2615" t="s">
        <v>144</v>
      </c>
    </row>
    <row r="2616" spans="1:11">
      <c r="A2616" t="s">
        <v>56</v>
      </c>
      <c r="B2616">
        <v>10103</v>
      </c>
      <c r="C2616">
        <v>42</v>
      </c>
      <c r="D2616" s="21">
        <v>100</v>
      </c>
      <c r="E2616" s="22">
        <v>37650</v>
      </c>
      <c r="F2616" t="s">
        <v>13</v>
      </c>
      <c r="G2616" t="s">
        <v>72</v>
      </c>
      <c r="H2616">
        <v>1</v>
      </c>
      <c r="I2616">
        <v>2003</v>
      </c>
      <c r="J2616" t="s">
        <v>22</v>
      </c>
      <c r="K2616" t="s">
        <v>57</v>
      </c>
    </row>
    <row r="2617" spans="1:11">
      <c r="A2617" t="s">
        <v>152</v>
      </c>
      <c r="B2617">
        <v>10114</v>
      </c>
      <c r="C2617">
        <v>42</v>
      </c>
      <c r="D2617" s="21">
        <v>100</v>
      </c>
      <c r="E2617" s="22">
        <v>37712</v>
      </c>
      <c r="F2617" t="s">
        <v>13</v>
      </c>
      <c r="G2617" t="s">
        <v>72</v>
      </c>
      <c r="H2617">
        <v>2</v>
      </c>
      <c r="I2617">
        <v>2003</v>
      </c>
      <c r="J2617" t="s">
        <v>22</v>
      </c>
      <c r="K2617" t="s">
        <v>153</v>
      </c>
    </row>
    <row r="2618" spans="1:11">
      <c r="A2618" t="s">
        <v>75</v>
      </c>
      <c r="B2618">
        <v>10126</v>
      </c>
      <c r="C2618">
        <v>45</v>
      </c>
      <c r="D2618" s="21">
        <v>100</v>
      </c>
      <c r="E2618" s="22">
        <v>37769</v>
      </c>
      <c r="F2618" t="s">
        <v>13</v>
      </c>
      <c r="G2618" t="s">
        <v>72</v>
      </c>
      <c r="H2618">
        <v>2</v>
      </c>
      <c r="I2618">
        <v>2003</v>
      </c>
      <c r="J2618" t="s">
        <v>22</v>
      </c>
      <c r="K2618" t="s">
        <v>76</v>
      </c>
    </row>
    <row r="2619" spans="1:11">
      <c r="A2619" t="s">
        <v>31</v>
      </c>
      <c r="B2619">
        <v>10140</v>
      </c>
      <c r="C2619">
        <v>36</v>
      </c>
      <c r="D2619" s="21">
        <v>100</v>
      </c>
      <c r="E2619" s="22">
        <v>37826</v>
      </c>
      <c r="F2619" t="s">
        <v>13</v>
      </c>
      <c r="G2619" t="s">
        <v>72</v>
      </c>
      <c r="H2619">
        <v>3</v>
      </c>
      <c r="I2619">
        <v>2003</v>
      </c>
      <c r="J2619" t="s">
        <v>22</v>
      </c>
      <c r="K2619" t="s">
        <v>32</v>
      </c>
    </row>
    <row r="2620" spans="1:11">
      <c r="A2620" t="s">
        <v>77</v>
      </c>
      <c r="B2620">
        <v>10150</v>
      </c>
      <c r="C2620">
        <v>20</v>
      </c>
      <c r="D2620" s="21">
        <v>100</v>
      </c>
      <c r="E2620" s="22">
        <v>37883</v>
      </c>
      <c r="F2620" t="s">
        <v>13</v>
      </c>
      <c r="G2620" t="s">
        <v>72</v>
      </c>
      <c r="H2620">
        <v>3</v>
      </c>
      <c r="I2620">
        <v>2003</v>
      </c>
      <c r="J2620" t="s">
        <v>15</v>
      </c>
      <c r="K2620" t="s">
        <v>78</v>
      </c>
    </row>
    <row r="2621" spans="1:11">
      <c r="A2621" t="s">
        <v>154</v>
      </c>
      <c r="B2621">
        <v>10164</v>
      </c>
      <c r="C2621">
        <v>39</v>
      </c>
      <c r="D2621" s="21">
        <v>81.93</v>
      </c>
      <c r="E2621" s="22">
        <v>37915</v>
      </c>
      <c r="F2621" t="s">
        <v>155</v>
      </c>
      <c r="G2621" t="s">
        <v>72</v>
      </c>
      <c r="H2621">
        <v>4</v>
      </c>
      <c r="I2621">
        <v>2003</v>
      </c>
      <c r="J2621" t="s">
        <v>22</v>
      </c>
      <c r="K2621" t="s">
        <v>156</v>
      </c>
    </row>
    <row r="2622" spans="1:11">
      <c r="A2622" t="s">
        <v>124</v>
      </c>
      <c r="B2622">
        <v>10175</v>
      </c>
      <c r="C2622">
        <v>42</v>
      </c>
      <c r="D2622" s="21">
        <v>85.98</v>
      </c>
      <c r="E2622" s="22">
        <v>37931</v>
      </c>
      <c r="F2622" t="s">
        <v>13</v>
      </c>
      <c r="G2622" t="s">
        <v>72</v>
      </c>
      <c r="H2622">
        <v>4</v>
      </c>
      <c r="I2622">
        <v>2003</v>
      </c>
      <c r="J2622" t="s">
        <v>22</v>
      </c>
      <c r="K2622" t="s">
        <v>125</v>
      </c>
    </row>
    <row r="2623" spans="1:11">
      <c r="A2623" t="s">
        <v>83</v>
      </c>
      <c r="B2623">
        <v>10183</v>
      </c>
      <c r="C2623">
        <v>23</v>
      </c>
      <c r="D2623" s="21">
        <v>86.99</v>
      </c>
      <c r="E2623" s="22">
        <v>37938</v>
      </c>
      <c r="F2623" t="s">
        <v>13</v>
      </c>
      <c r="G2623" t="s">
        <v>72</v>
      </c>
      <c r="H2623">
        <v>4</v>
      </c>
      <c r="I2623">
        <v>2003</v>
      </c>
      <c r="J2623" t="s">
        <v>15</v>
      </c>
      <c r="K2623" t="s">
        <v>84</v>
      </c>
    </row>
    <row r="2624" spans="1:11">
      <c r="A2624" t="s">
        <v>85</v>
      </c>
      <c r="B2624">
        <v>10194</v>
      </c>
      <c r="C2624">
        <v>26</v>
      </c>
      <c r="D2624" s="21">
        <v>89.01</v>
      </c>
      <c r="E2624" s="22">
        <v>37950</v>
      </c>
      <c r="F2624" t="s">
        <v>13</v>
      </c>
      <c r="G2624" t="s">
        <v>72</v>
      </c>
      <c r="H2624">
        <v>4</v>
      </c>
      <c r="I2624">
        <v>2003</v>
      </c>
      <c r="J2624" t="s">
        <v>15</v>
      </c>
      <c r="K2624" t="s">
        <v>86</v>
      </c>
    </row>
    <row r="2625" spans="1:11">
      <c r="A2625" t="s">
        <v>87</v>
      </c>
      <c r="B2625">
        <v>10206</v>
      </c>
      <c r="C2625">
        <v>33</v>
      </c>
      <c r="D2625" s="21">
        <v>100</v>
      </c>
      <c r="E2625" s="22">
        <v>37960</v>
      </c>
      <c r="F2625" t="s">
        <v>13</v>
      </c>
      <c r="G2625" t="s">
        <v>72</v>
      </c>
      <c r="H2625">
        <v>4</v>
      </c>
      <c r="I2625">
        <v>2003</v>
      </c>
      <c r="J2625" t="s">
        <v>22</v>
      </c>
      <c r="K2625" t="s">
        <v>88</v>
      </c>
    </row>
    <row r="2626" spans="1:11">
      <c r="A2626" t="s">
        <v>159</v>
      </c>
      <c r="B2626">
        <v>10217</v>
      </c>
      <c r="C2626">
        <v>31</v>
      </c>
      <c r="D2626" s="21">
        <v>88</v>
      </c>
      <c r="E2626" s="22">
        <v>38021</v>
      </c>
      <c r="F2626" t="s">
        <v>13</v>
      </c>
      <c r="G2626" t="s">
        <v>72</v>
      </c>
      <c r="H2626">
        <v>1</v>
      </c>
      <c r="I2626">
        <v>2004</v>
      </c>
      <c r="J2626" t="s">
        <v>15</v>
      </c>
      <c r="K2626" t="s">
        <v>160</v>
      </c>
    </row>
    <row r="2627" spans="1:11">
      <c r="A2627" t="s">
        <v>103</v>
      </c>
      <c r="B2627">
        <v>10229</v>
      </c>
      <c r="C2627">
        <v>50</v>
      </c>
      <c r="D2627" s="21">
        <v>100</v>
      </c>
      <c r="E2627" s="22">
        <v>38057</v>
      </c>
      <c r="F2627" t="s">
        <v>13</v>
      </c>
      <c r="G2627" t="s">
        <v>72</v>
      </c>
      <c r="H2627">
        <v>1</v>
      </c>
      <c r="I2627">
        <v>2004</v>
      </c>
      <c r="J2627" t="s">
        <v>22</v>
      </c>
      <c r="K2627" t="s">
        <v>104</v>
      </c>
    </row>
    <row r="2628" spans="1:11">
      <c r="A2628" t="s">
        <v>93</v>
      </c>
      <c r="B2628">
        <v>10245</v>
      </c>
      <c r="C2628">
        <v>44</v>
      </c>
      <c r="D2628" s="21">
        <v>100</v>
      </c>
      <c r="E2628" s="22">
        <v>38111</v>
      </c>
      <c r="F2628" t="s">
        <v>13</v>
      </c>
      <c r="G2628" t="s">
        <v>72</v>
      </c>
      <c r="H2628">
        <v>2</v>
      </c>
      <c r="I2628">
        <v>2004</v>
      </c>
      <c r="J2628" t="s">
        <v>22</v>
      </c>
      <c r="K2628" t="s">
        <v>94</v>
      </c>
    </row>
    <row r="2629" spans="1:11">
      <c r="A2629" t="s">
        <v>95</v>
      </c>
      <c r="B2629">
        <v>10258</v>
      </c>
      <c r="C2629">
        <v>45</v>
      </c>
      <c r="D2629" s="21">
        <v>80.92</v>
      </c>
      <c r="E2629" s="22">
        <v>38153</v>
      </c>
      <c r="F2629" t="s">
        <v>13</v>
      </c>
      <c r="G2629" t="s">
        <v>72</v>
      </c>
      <c r="H2629">
        <v>2</v>
      </c>
      <c r="I2629">
        <v>2004</v>
      </c>
      <c r="J2629" t="s">
        <v>22</v>
      </c>
      <c r="K2629" t="s">
        <v>96</v>
      </c>
    </row>
    <row r="2630" spans="1:11">
      <c r="A2630" t="s">
        <v>63</v>
      </c>
      <c r="B2630">
        <v>10270</v>
      </c>
      <c r="C2630">
        <v>46</v>
      </c>
      <c r="D2630" s="21">
        <v>88</v>
      </c>
      <c r="E2630" s="22">
        <v>38187</v>
      </c>
      <c r="F2630" t="s">
        <v>13</v>
      </c>
      <c r="G2630" t="s">
        <v>72</v>
      </c>
      <c r="H2630">
        <v>3</v>
      </c>
      <c r="I2630">
        <v>2004</v>
      </c>
      <c r="J2630" t="s">
        <v>22</v>
      </c>
      <c r="K2630" t="s">
        <v>64</v>
      </c>
    </row>
    <row r="2631" spans="1:11">
      <c r="A2631" t="s">
        <v>58</v>
      </c>
      <c r="B2631">
        <v>10281</v>
      </c>
      <c r="C2631">
        <v>27</v>
      </c>
      <c r="D2631" s="21">
        <v>85.98</v>
      </c>
      <c r="E2631" s="22">
        <v>38218</v>
      </c>
      <c r="F2631" t="s">
        <v>13</v>
      </c>
      <c r="G2631" t="s">
        <v>72</v>
      </c>
      <c r="H2631">
        <v>3</v>
      </c>
      <c r="I2631">
        <v>2004</v>
      </c>
      <c r="J2631" t="s">
        <v>15</v>
      </c>
      <c r="K2631" t="s">
        <v>59</v>
      </c>
    </row>
    <row r="2632" spans="1:11">
      <c r="A2632" t="s">
        <v>99</v>
      </c>
      <c r="B2632">
        <v>10291</v>
      </c>
      <c r="C2632">
        <v>28</v>
      </c>
      <c r="D2632" s="21">
        <v>100</v>
      </c>
      <c r="E2632" s="22">
        <v>38238</v>
      </c>
      <c r="F2632" t="s">
        <v>13</v>
      </c>
      <c r="G2632" t="s">
        <v>72</v>
      </c>
      <c r="H2632">
        <v>3</v>
      </c>
      <c r="I2632">
        <v>2004</v>
      </c>
      <c r="J2632" t="s">
        <v>22</v>
      </c>
      <c r="K2632" t="s">
        <v>100</v>
      </c>
    </row>
    <row r="2633" spans="1:11">
      <c r="A2633" t="s">
        <v>101</v>
      </c>
      <c r="B2633">
        <v>10304</v>
      </c>
      <c r="C2633">
        <v>40</v>
      </c>
      <c r="D2633" s="21">
        <v>100</v>
      </c>
      <c r="E2633" s="22">
        <v>38271</v>
      </c>
      <c r="F2633" t="s">
        <v>13</v>
      </c>
      <c r="G2633" t="s">
        <v>72</v>
      </c>
      <c r="H2633">
        <v>4</v>
      </c>
      <c r="I2633">
        <v>2004</v>
      </c>
      <c r="J2633" t="s">
        <v>22</v>
      </c>
      <c r="K2633" t="s">
        <v>102</v>
      </c>
    </row>
    <row r="2634" spans="1:11">
      <c r="A2634" t="s">
        <v>87</v>
      </c>
      <c r="B2634">
        <v>10313</v>
      </c>
      <c r="C2634">
        <v>30</v>
      </c>
      <c r="D2634" s="21">
        <v>99.13</v>
      </c>
      <c r="E2634" s="22">
        <v>38282</v>
      </c>
      <c r="F2634" t="s">
        <v>13</v>
      </c>
      <c r="G2634" t="s">
        <v>72</v>
      </c>
      <c r="H2634">
        <v>4</v>
      </c>
      <c r="I2634">
        <v>2004</v>
      </c>
      <c r="J2634" t="s">
        <v>15</v>
      </c>
      <c r="K2634" t="s">
        <v>88</v>
      </c>
    </row>
    <row r="2635" spans="1:11">
      <c r="A2635" t="s">
        <v>44</v>
      </c>
      <c r="B2635">
        <v>10324</v>
      </c>
      <c r="C2635">
        <v>34</v>
      </c>
      <c r="D2635" s="21">
        <v>100</v>
      </c>
      <c r="E2635" s="22">
        <v>38296</v>
      </c>
      <c r="F2635" t="s">
        <v>13</v>
      </c>
      <c r="G2635" t="s">
        <v>72</v>
      </c>
      <c r="H2635">
        <v>4</v>
      </c>
      <c r="I2635">
        <v>2004</v>
      </c>
      <c r="J2635" t="s">
        <v>22</v>
      </c>
      <c r="K2635" t="s">
        <v>45</v>
      </c>
    </row>
    <row r="2636" spans="1:11">
      <c r="A2636" t="s">
        <v>152</v>
      </c>
      <c r="B2636">
        <v>10336</v>
      </c>
      <c r="C2636">
        <v>46</v>
      </c>
      <c r="D2636" s="21">
        <v>100</v>
      </c>
      <c r="E2636" s="22">
        <v>38311</v>
      </c>
      <c r="F2636" t="s">
        <v>13</v>
      </c>
      <c r="G2636" t="s">
        <v>72</v>
      </c>
      <c r="H2636">
        <v>4</v>
      </c>
      <c r="I2636">
        <v>2004</v>
      </c>
      <c r="J2636" t="s">
        <v>61</v>
      </c>
      <c r="K2636" t="s">
        <v>153</v>
      </c>
    </row>
    <row r="2637" spans="1:11">
      <c r="A2637" t="s">
        <v>75</v>
      </c>
      <c r="B2637">
        <v>10348</v>
      </c>
      <c r="C2637">
        <v>32</v>
      </c>
      <c r="D2637" s="21">
        <v>82.83</v>
      </c>
      <c r="E2637" s="22">
        <v>38292</v>
      </c>
      <c r="F2637" t="s">
        <v>13</v>
      </c>
      <c r="G2637" t="s">
        <v>72</v>
      </c>
      <c r="H2637">
        <v>4</v>
      </c>
      <c r="I2637">
        <v>2004</v>
      </c>
      <c r="J2637" t="s">
        <v>15</v>
      </c>
      <c r="K2637" t="s">
        <v>76</v>
      </c>
    </row>
    <row r="2638" spans="1:11">
      <c r="A2638" t="s">
        <v>69</v>
      </c>
      <c r="B2638">
        <v>10358</v>
      </c>
      <c r="C2638">
        <v>27</v>
      </c>
      <c r="D2638" s="21">
        <v>100</v>
      </c>
      <c r="E2638" s="22">
        <v>38331</v>
      </c>
      <c r="F2638" t="s">
        <v>13</v>
      </c>
      <c r="G2638" t="s">
        <v>72</v>
      </c>
      <c r="H2638">
        <v>4</v>
      </c>
      <c r="I2638">
        <v>2004</v>
      </c>
      <c r="J2638" t="s">
        <v>22</v>
      </c>
      <c r="K2638" t="s">
        <v>71</v>
      </c>
    </row>
    <row r="2639" spans="1:11">
      <c r="A2639" t="s">
        <v>103</v>
      </c>
      <c r="B2639">
        <v>10371</v>
      </c>
      <c r="C2639">
        <v>34</v>
      </c>
      <c r="D2639" s="21">
        <v>100</v>
      </c>
      <c r="E2639" s="22">
        <v>38375</v>
      </c>
      <c r="F2639" t="s">
        <v>13</v>
      </c>
      <c r="G2639" t="s">
        <v>72</v>
      </c>
      <c r="H2639">
        <v>1</v>
      </c>
      <c r="I2639">
        <v>2005</v>
      </c>
      <c r="J2639" t="s">
        <v>22</v>
      </c>
      <c r="K2639" t="s">
        <v>104</v>
      </c>
    </row>
    <row r="2640" spans="1:11">
      <c r="A2640" t="s">
        <v>103</v>
      </c>
      <c r="B2640">
        <v>10382</v>
      </c>
      <c r="C2640">
        <v>34</v>
      </c>
      <c r="D2640" s="21">
        <v>54.84</v>
      </c>
      <c r="E2640" s="22">
        <v>38400</v>
      </c>
      <c r="F2640" t="s">
        <v>13</v>
      </c>
      <c r="G2640" t="s">
        <v>72</v>
      </c>
      <c r="H2640">
        <v>1</v>
      </c>
      <c r="I2640">
        <v>2005</v>
      </c>
      <c r="J2640" t="s">
        <v>15</v>
      </c>
      <c r="K2640" t="s">
        <v>104</v>
      </c>
    </row>
    <row r="2641" spans="1:11">
      <c r="A2641" t="s">
        <v>111</v>
      </c>
      <c r="B2641">
        <v>10411</v>
      </c>
      <c r="C2641">
        <v>34</v>
      </c>
      <c r="D2641" s="21">
        <v>100</v>
      </c>
      <c r="E2641" s="22">
        <v>38473</v>
      </c>
      <c r="F2641" t="s">
        <v>13</v>
      </c>
      <c r="G2641" t="s">
        <v>72</v>
      </c>
      <c r="H2641">
        <v>2</v>
      </c>
      <c r="I2641">
        <v>2005</v>
      </c>
      <c r="J2641" t="s">
        <v>22</v>
      </c>
      <c r="K2641" t="s">
        <v>112</v>
      </c>
    </row>
    <row r="2642" spans="1:11">
      <c r="A2642" t="s">
        <v>69</v>
      </c>
      <c r="B2642">
        <v>10424</v>
      </c>
      <c r="C2642">
        <v>46</v>
      </c>
      <c r="D2642" s="21">
        <v>80.92</v>
      </c>
      <c r="E2642" s="22">
        <v>38503</v>
      </c>
      <c r="F2642" t="s">
        <v>113</v>
      </c>
      <c r="G2642" t="s">
        <v>72</v>
      </c>
      <c r="H2642">
        <v>2</v>
      </c>
      <c r="I2642">
        <v>2005</v>
      </c>
      <c r="J2642" t="s">
        <v>22</v>
      </c>
      <c r="K2642" t="s">
        <v>71</v>
      </c>
    </row>
    <row r="2643" spans="1:11">
      <c r="A2643" t="s">
        <v>203</v>
      </c>
      <c r="B2643">
        <v>10106</v>
      </c>
      <c r="C2643">
        <v>32</v>
      </c>
      <c r="D2643" s="21">
        <v>100</v>
      </c>
      <c r="E2643" s="22">
        <v>37669</v>
      </c>
      <c r="F2643" t="s">
        <v>13</v>
      </c>
      <c r="G2643" t="s">
        <v>207</v>
      </c>
      <c r="H2643">
        <v>1</v>
      </c>
      <c r="I2643">
        <v>2003</v>
      </c>
      <c r="J2643" t="s">
        <v>22</v>
      </c>
      <c r="K2643" t="s">
        <v>204</v>
      </c>
    </row>
    <row r="2644" spans="1:11">
      <c r="A2644" t="s">
        <v>42</v>
      </c>
      <c r="B2644">
        <v>10120</v>
      </c>
      <c r="C2644">
        <v>24</v>
      </c>
      <c r="D2644" s="21">
        <v>100</v>
      </c>
      <c r="E2644" s="22">
        <v>37740</v>
      </c>
      <c r="F2644" t="s">
        <v>13</v>
      </c>
      <c r="G2644" t="s">
        <v>207</v>
      </c>
      <c r="H2644">
        <v>2</v>
      </c>
      <c r="I2644">
        <v>2003</v>
      </c>
      <c r="J2644" t="s">
        <v>22</v>
      </c>
      <c r="K2644" t="s">
        <v>43</v>
      </c>
    </row>
    <row r="2645" spans="1:11">
      <c r="A2645" t="s">
        <v>69</v>
      </c>
      <c r="B2645">
        <v>10133</v>
      </c>
      <c r="C2645">
        <v>27</v>
      </c>
      <c r="D2645" s="21">
        <v>99.67</v>
      </c>
      <c r="E2645" s="22">
        <v>37799</v>
      </c>
      <c r="F2645" t="s">
        <v>13</v>
      </c>
      <c r="G2645" t="s">
        <v>207</v>
      </c>
      <c r="H2645">
        <v>2</v>
      </c>
      <c r="I2645">
        <v>2003</v>
      </c>
      <c r="J2645" t="s">
        <v>15</v>
      </c>
      <c r="K2645" t="s">
        <v>71</v>
      </c>
    </row>
    <row r="2646" spans="1:11">
      <c r="A2646" t="s">
        <v>25</v>
      </c>
      <c r="B2646">
        <v>10145</v>
      </c>
      <c r="C2646">
        <v>20</v>
      </c>
      <c r="D2646" s="21">
        <v>100</v>
      </c>
      <c r="E2646" s="22">
        <v>37858</v>
      </c>
      <c r="F2646" t="s">
        <v>13</v>
      </c>
      <c r="G2646" t="s">
        <v>207</v>
      </c>
      <c r="H2646">
        <v>3</v>
      </c>
      <c r="I2646">
        <v>2003</v>
      </c>
      <c r="J2646" t="s">
        <v>15</v>
      </c>
      <c r="K2646" t="s">
        <v>26</v>
      </c>
    </row>
    <row r="2647" spans="1:11">
      <c r="A2647" t="s">
        <v>31</v>
      </c>
      <c r="B2647">
        <v>10168</v>
      </c>
      <c r="C2647">
        <v>36</v>
      </c>
      <c r="D2647" s="21">
        <v>100</v>
      </c>
      <c r="E2647" s="22">
        <v>37922</v>
      </c>
      <c r="F2647" t="s">
        <v>13</v>
      </c>
      <c r="G2647" t="s">
        <v>207</v>
      </c>
      <c r="H2647">
        <v>4</v>
      </c>
      <c r="I2647">
        <v>2003</v>
      </c>
      <c r="J2647" t="s">
        <v>22</v>
      </c>
      <c r="K2647" t="s">
        <v>32</v>
      </c>
    </row>
    <row r="2648" spans="1:11">
      <c r="A2648" t="s">
        <v>36</v>
      </c>
      <c r="B2648">
        <v>10188</v>
      </c>
      <c r="C2648">
        <v>29</v>
      </c>
      <c r="D2648" s="21">
        <v>100</v>
      </c>
      <c r="E2648" s="22">
        <v>37943</v>
      </c>
      <c r="F2648" t="s">
        <v>13</v>
      </c>
      <c r="G2648" t="s">
        <v>207</v>
      </c>
      <c r="H2648">
        <v>4</v>
      </c>
      <c r="I2648">
        <v>2003</v>
      </c>
      <c r="J2648" t="s">
        <v>22</v>
      </c>
      <c r="K2648" t="s">
        <v>37</v>
      </c>
    </row>
    <row r="2649" spans="1:11">
      <c r="A2649" t="s">
        <v>114</v>
      </c>
      <c r="B2649">
        <v>10210</v>
      </c>
      <c r="C2649">
        <v>25</v>
      </c>
      <c r="D2649" s="21">
        <v>100</v>
      </c>
      <c r="E2649" s="22">
        <v>37998</v>
      </c>
      <c r="F2649" t="s">
        <v>13</v>
      </c>
      <c r="G2649" t="s">
        <v>207</v>
      </c>
      <c r="H2649">
        <v>1</v>
      </c>
      <c r="I2649">
        <v>2004</v>
      </c>
      <c r="J2649" t="s">
        <v>15</v>
      </c>
      <c r="K2649" t="s">
        <v>115</v>
      </c>
    </row>
    <row r="2650" spans="1:11">
      <c r="A2650" t="s">
        <v>42</v>
      </c>
      <c r="B2650">
        <v>10223</v>
      </c>
      <c r="C2650">
        <v>29</v>
      </c>
      <c r="D2650" s="21">
        <v>100</v>
      </c>
      <c r="E2650" s="22">
        <v>38037</v>
      </c>
      <c r="F2650" t="s">
        <v>13</v>
      </c>
      <c r="G2650" t="s">
        <v>207</v>
      </c>
      <c r="H2650">
        <v>1</v>
      </c>
      <c r="I2650">
        <v>2004</v>
      </c>
      <c r="J2650" t="s">
        <v>22</v>
      </c>
      <c r="K2650" t="s">
        <v>43</v>
      </c>
    </row>
    <row r="2651" spans="1:11">
      <c r="A2651" t="s">
        <v>141</v>
      </c>
      <c r="B2651">
        <v>10235</v>
      </c>
      <c r="C2651">
        <v>25</v>
      </c>
      <c r="D2651" s="21">
        <v>96.11</v>
      </c>
      <c r="E2651" s="22">
        <v>38079</v>
      </c>
      <c r="F2651" t="s">
        <v>13</v>
      </c>
      <c r="G2651" t="s">
        <v>207</v>
      </c>
      <c r="H2651">
        <v>2</v>
      </c>
      <c r="I2651">
        <v>2004</v>
      </c>
      <c r="J2651" t="s">
        <v>15</v>
      </c>
      <c r="K2651" t="s">
        <v>142</v>
      </c>
    </row>
    <row r="2652" spans="1:11">
      <c r="A2652" t="s">
        <v>149</v>
      </c>
      <c r="B2652">
        <v>10250</v>
      </c>
      <c r="C2652">
        <v>44</v>
      </c>
      <c r="D2652" s="21">
        <v>100</v>
      </c>
      <c r="E2652" s="22">
        <v>38118</v>
      </c>
      <c r="F2652" t="s">
        <v>13</v>
      </c>
      <c r="G2652" t="s">
        <v>207</v>
      </c>
      <c r="H2652">
        <v>2</v>
      </c>
      <c r="I2652">
        <v>2004</v>
      </c>
      <c r="J2652" t="s">
        <v>22</v>
      </c>
      <c r="K2652" t="s">
        <v>150</v>
      </c>
    </row>
    <row r="2653" spans="1:11">
      <c r="A2653" t="s">
        <v>48</v>
      </c>
      <c r="B2653">
        <v>10263</v>
      </c>
      <c r="C2653">
        <v>47</v>
      </c>
      <c r="D2653" s="21">
        <v>100</v>
      </c>
      <c r="E2653" s="22">
        <v>38166</v>
      </c>
      <c r="F2653" t="s">
        <v>13</v>
      </c>
      <c r="G2653" t="s">
        <v>207</v>
      </c>
      <c r="H2653">
        <v>2</v>
      </c>
      <c r="I2653">
        <v>2004</v>
      </c>
      <c r="J2653" t="s">
        <v>22</v>
      </c>
      <c r="K2653" t="s">
        <v>49</v>
      </c>
    </row>
    <row r="2654" spans="1:11">
      <c r="A2654" t="s">
        <v>50</v>
      </c>
      <c r="B2654">
        <v>10275</v>
      </c>
      <c r="C2654">
        <v>48</v>
      </c>
      <c r="D2654" s="21">
        <v>100</v>
      </c>
      <c r="E2654" s="22">
        <v>38191</v>
      </c>
      <c r="F2654" t="s">
        <v>13</v>
      </c>
      <c r="G2654" t="s">
        <v>207</v>
      </c>
      <c r="H2654">
        <v>3</v>
      </c>
      <c r="I2654">
        <v>2004</v>
      </c>
      <c r="J2654" t="s">
        <v>22</v>
      </c>
      <c r="K2654" t="s">
        <v>51</v>
      </c>
    </row>
    <row r="2655" spans="1:11">
      <c r="A2655" t="s">
        <v>52</v>
      </c>
      <c r="B2655">
        <v>10285</v>
      </c>
      <c r="C2655">
        <v>45</v>
      </c>
      <c r="D2655" s="21">
        <v>100</v>
      </c>
      <c r="E2655" s="22">
        <v>38226</v>
      </c>
      <c r="F2655" t="s">
        <v>13</v>
      </c>
      <c r="G2655" t="s">
        <v>207</v>
      </c>
      <c r="H2655">
        <v>3</v>
      </c>
      <c r="I2655">
        <v>2004</v>
      </c>
      <c r="J2655" t="s">
        <v>22</v>
      </c>
      <c r="K2655" t="s">
        <v>53</v>
      </c>
    </row>
    <row r="2656" spans="1:11">
      <c r="A2656" t="s">
        <v>179</v>
      </c>
      <c r="B2656">
        <v>10297</v>
      </c>
      <c r="C2656">
        <v>35</v>
      </c>
      <c r="D2656" s="21">
        <v>100</v>
      </c>
      <c r="E2656" s="22">
        <v>38246</v>
      </c>
      <c r="F2656" t="s">
        <v>13</v>
      </c>
      <c r="G2656" t="s">
        <v>207</v>
      </c>
      <c r="H2656">
        <v>3</v>
      </c>
      <c r="I2656">
        <v>2004</v>
      </c>
      <c r="J2656" t="s">
        <v>22</v>
      </c>
      <c r="K2656" t="s">
        <v>180</v>
      </c>
    </row>
    <row r="2657" spans="1:11">
      <c r="A2657" t="s">
        <v>120</v>
      </c>
      <c r="B2657">
        <v>10308</v>
      </c>
      <c r="C2657">
        <v>31</v>
      </c>
      <c r="D2657" s="21">
        <v>100</v>
      </c>
      <c r="E2657" s="22">
        <v>38275</v>
      </c>
      <c r="F2657" t="s">
        <v>13</v>
      </c>
      <c r="G2657" t="s">
        <v>207</v>
      </c>
      <c r="H2657">
        <v>4</v>
      </c>
      <c r="I2657">
        <v>2004</v>
      </c>
      <c r="J2657" t="s">
        <v>22</v>
      </c>
      <c r="K2657" t="s">
        <v>121</v>
      </c>
    </row>
    <row r="2658" spans="1:11">
      <c r="A2658" t="s">
        <v>58</v>
      </c>
      <c r="B2658">
        <v>10318</v>
      </c>
      <c r="C2658">
        <v>50</v>
      </c>
      <c r="D2658" s="21">
        <v>100</v>
      </c>
      <c r="E2658" s="22">
        <v>38293</v>
      </c>
      <c r="F2658" t="s">
        <v>13</v>
      </c>
      <c r="G2658" t="s">
        <v>207</v>
      </c>
      <c r="H2658">
        <v>4</v>
      </c>
      <c r="I2658">
        <v>2004</v>
      </c>
      <c r="J2658" t="s">
        <v>61</v>
      </c>
      <c r="K2658" t="s">
        <v>59</v>
      </c>
    </row>
    <row r="2659" spans="1:11">
      <c r="A2659" t="s">
        <v>203</v>
      </c>
      <c r="B2659">
        <v>10328</v>
      </c>
      <c r="C2659">
        <v>33</v>
      </c>
      <c r="D2659" s="21">
        <v>100</v>
      </c>
      <c r="E2659" s="22">
        <v>38303</v>
      </c>
      <c r="F2659" t="s">
        <v>13</v>
      </c>
      <c r="G2659" t="s">
        <v>207</v>
      </c>
      <c r="H2659">
        <v>4</v>
      </c>
      <c r="I2659">
        <v>2004</v>
      </c>
      <c r="J2659" t="s">
        <v>22</v>
      </c>
      <c r="K2659" t="s">
        <v>204</v>
      </c>
    </row>
    <row r="2660" spans="1:11">
      <c r="A2660" t="s">
        <v>133</v>
      </c>
      <c r="B2660">
        <v>10340</v>
      </c>
      <c r="C2660">
        <v>29</v>
      </c>
      <c r="D2660" s="21">
        <v>100</v>
      </c>
      <c r="E2660" s="22">
        <v>38315</v>
      </c>
      <c r="F2660" t="s">
        <v>13</v>
      </c>
      <c r="G2660" t="s">
        <v>207</v>
      </c>
      <c r="H2660">
        <v>4</v>
      </c>
      <c r="I2660">
        <v>2004</v>
      </c>
      <c r="J2660" t="s">
        <v>22</v>
      </c>
      <c r="K2660" t="s">
        <v>134</v>
      </c>
    </row>
    <row r="2661" spans="1:11">
      <c r="A2661" t="s">
        <v>208</v>
      </c>
      <c r="B2661">
        <v>10353</v>
      </c>
      <c r="C2661">
        <v>48</v>
      </c>
      <c r="D2661" s="21">
        <v>68.8</v>
      </c>
      <c r="E2661" s="22">
        <v>38325</v>
      </c>
      <c r="F2661" t="s">
        <v>13</v>
      </c>
      <c r="G2661" t="s">
        <v>207</v>
      </c>
      <c r="H2661">
        <v>4</v>
      </c>
      <c r="I2661">
        <v>2004</v>
      </c>
      <c r="J2661" t="s">
        <v>22</v>
      </c>
      <c r="K2661" t="s">
        <v>209</v>
      </c>
    </row>
    <row r="2662" spans="1:11">
      <c r="A2662" t="s">
        <v>63</v>
      </c>
      <c r="B2662">
        <v>10361</v>
      </c>
      <c r="C2662">
        <v>44</v>
      </c>
      <c r="D2662" s="21">
        <v>72.42</v>
      </c>
      <c r="E2662" s="22">
        <v>38338</v>
      </c>
      <c r="F2662" t="s">
        <v>13</v>
      </c>
      <c r="G2662" t="s">
        <v>207</v>
      </c>
      <c r="H2662">
        <v>4</v>
      </c>
      <c r="I2662">
        <v>2004</v>
      </c>
      <c r="J2662" t="s">
        <v>22</v>
      </c>
      <c r="K2662" t="s">
        <v>64</v>
      </c>
    </row>
    <row r="2663" spans="1:11">
      <c r="A2663" t="s">
        <v>50</v>
      </c>
      <c r="B2663">
        <v>10375</v>
      </c>
      <c r="C2663">
        <v>25</v>
      </c>
      <c r="D2663" s="21">
        <v>66.73</v>
      </c>
      <c r="E2663" s="22">
        <v>38386</v>
      </c>
      <c r="F2663" t="s">
        <v>13</v>
      </c>
      <c r="G2663" t="s">
        <v>207</v>
      </c>
      <c r="H2663">
        <v>1</v>
      </c>
      <c r="I2663">
        <v>2005</v>
      </c>
      <c r="J2663" t="s">
        <v>15</v>
      </c>
      <c r="K2663" t="s">
        <v>51</v>
      </c>
    </row>
    <row r="2664" spans="1:11">
      <c r="A2664" t="s">
        <v>65</v>
      </c>
      <c r="B2664">
        <v>10388</v>
      </c>
      <c r="C2664">
        <v>50</v>
      </c>
      <c r="D2664" s="21">
        <v>100</v>
      </c>
      <c r="E2664" s="22">
        <v>38414</v>
      </c>
      <c r="F2664" t="s">
        <v>13</v>
      </c>
      <c r="G2664" t="s">
        <v>207</v>
      </c>
      <c r="H2664">
        <v>1</v>
      </c>
      <c r="I2664">
        <v>2005</v>
      </c>
      <c r="J2664" t="s">
        <v>61</v>
      </c>
      <c r="K2664" t="s">
        <v>66</v>
      </c>
    </row>
    <row r="2665" spans="1:11">
      <c r="A2665" t="s">
        <v>18</v>
      </c>
      <c r="B2665">
        <v>10398</v>
      </c>
      <c r="C2665">
        <v>23</v>
      </c>
      <c r="D2665" s="21">
        <v>100</v>
      </c>
      <c r="E2665" s="22">
        <v>38441</v>
      </c>
      <c r="F2665" t="s">
        <v>13</v>
      </c>
      <c r="G2665" t="s">
        <v>207</v>
      </c>
      <c r="H2665">
        <v>1</v>
      </c>
      <c r="I2665">
        <v>2005</v>
      </c>
      <c r="J2665" t="s">
        <v>15</v>
      </c>
      <c r="K2665" t="s">
        <v>19</v>
      </c>
    </row>
    <row r="2666" spans="1:11">
      <c r="A2666" t="s">
        <v>46</v>
      </c>
      <c r="B2666">
        <v>10401</v>
      </c>
      <c r="C2666">
        <v>21</v>
      </c>
      <c r="D2666" s="21">
        <v>96.11</v>
      </c>
      <c r="E2666" s="22">
        <v>38445</v>
      </c>
      <c r="F2666" t="s">
        <v>151</v>
      </c>
      <c r="G2666" t="s">
        <v>207</v>
      </c>
      <c r="H2666">
        <v>2</v>
      </c>
      <c r="I2666">
        <v>2005</v>
      </c>
      <c r="J2666" t="s">
        <v>15</v>
      </c>
      <c r="K2666" t="s">
        <v>47</v>
      </c>
    </row>
    <row r="2667" spans="1:11">
      <c r="A2667" t="s">
        <v>169</v>
      </c>
      <c r="B2667">
        <v>10416</v>
      </c>
      <c r="C2667">
        <v>41</v>
      </c>
      <c r="D2667" s="21">
        <v>100</v>
      </c>
      <c r="E2667" s="22">
        <v>38482</v>
      </c>
      <c r="F2667" t="s">
        <v>13</v>
      </c>
      <c r="G2667" t="s">
        <v>207</v>
      </c>
      <c r="H2667">
        <v>2</v>
      </c>
      <c r="I2667">
        <v>2005</v>
      </c>
      <c r="J2667" t="s">
        <v>22</v>
      </c>
      <c r="K2667" t="s">
        <v>170</v>
      </c>
    </row>
    <row r="2668" spans="1:11">
      <c r="A2668" t="s">
        <v>203</v>
      </c>
      <c r="B2668">
        <v>10106</v>
      </c>
      <c r="C2668">
        <v>44</v>
      </c>
      <c r="D2668" s="21">
        <v>74.4</v>
      </c>
      <c r="E2668" s="22">
        <v>37669</v>
      </c>
      <c r="F2668" t="s">
        <v>13</v>
      </c>
      <c r="G2668" t="s">
        <v>207</v>
      </c>
      <c r="H2668">
        <v>1</v>
      </c>
      <c r="I2668">
        <v>2003</v>
      </c>
      <c r="J2668" t="s">
        <v>22</v>
      </c>
      <c r="K2668" t="s">
        <v>204</v>
      </c>
    </row>
    <row r="2669" spans="1:11">
      <c r="A2669" t="s">
        <v>42</v>
      </c>
      <c r="B2669">
        <v>10120</v>
      </c>
      <c r="C2669">
        <v>43</v>
      </c>
      <c r="D2669" s="21">
        <v>76</v>
      </c>
      <c r="E2669" s="22">
        <v>37740</v>
      </c>
      <c r="F2669" t="s">
        <v>13</v>
      </c>
      <c r="G2669" t="s">
        <v>207</v>
      </c>
      <c r="H2669">
        <v>2</v>
      </c>
      <c r="I2669">
        <v>2003</v>
      </c>
      <c r="J2669" t="s">
        <v>22</v>
      </c>
      <c r="K2669" t="s">
        <v>43</v>
      </c>
    </row>
    <row r="2670" spans="1:11">
      <c r="A2670" t="s">
        <v>126</v>
      </c>
      <c r="B2670">
        <v>10143</v>
      </c>
      <c r="C2670">
        <v>28</v>
      </c>
      <c r="D2670" s="21">
        <v>96</v>
      </c>
      <c r="E2670" s="22">
        <v>37843</v>
      </c>
      <c r="F2670" t="s">
        <v>13</v>
      </c>
      <c r="G2670" t="s">
        <v>207</v>
      </c>
      <c r="H2670">
        <v>3</v>
      </c>
      <c r="I2670">
        <v>2003</v>
      </c>
      <c r="J2670" t="s">
        <v>15</v>
      </c>
      <c r="K2670" t="s">
        <v>127</v>
      </c>
    </row>
    <row r="2671" spans="1:11">
      <c r="A2671" t="s">
        <v>54</v>
      </c>
      <c r="B2671">
        <v>10155</v>
      </c>
      <c r="C2671">
        <v>43</v>
      </c>
      <c r="D2671" s="21">
        <v>86.4</v>
      </c>
      <c r="E2671" s="22">
        <v>37900</v>
      </c>
      <c r="F2671" t="s">
        <v>13</v>
      </c>
      <c r="G2671" t="s">
        <v>207</v>
      </c>
      <c r="H2671">
        <v>4</v>
      </c>
      <c r="I2671">
        <v>2003</v>
      </c>
      <c r="J2671" t="s">
        <v>22</v>
      </c>
      <c r="K2671" t="s">
        <v>55</v>
      </c>
    </row>
    <row r="2672" spans="1:11">
      <c r="A2672" t="s">
        <v>31</v>
      </c>
      <c r="B2672">
        <v>10168</v>
      </c>
      <c r="C2672">
        <v>48</v>
      </c>
      <c r="D2672" s="21">
        <v>96</v>
      </c>
      <c r="E2672" s="22">
        <v>37922</v>
      </c>
      <c r="F2672" t="s">
        <v>13</v>
      </c>
      <c r="G2672" t="s">
        <v>207</v>
      </c>
      <c r="H2672">
        <v>4</v>
      </c>
      <c r="I2672">
        <v>2003</v>
      </c>
      <c r="J2672" t="s">
        <v>22</v>
      </c>
      <c r="K2672" t="s">
        <v>32</v>
      </c>
    </row>
    <row r="2673" spans="1:11">
      <c r="A2673" t="s">
        <v>89</v>
      </c>
      <c r="B2673">
        <v>10199</v>
      </c>
      <c r="C2673">
        <v>38</v>
      </c>
      <c r="D2673" s="21">
        <v>82.4</v>
      </c>
      <c r="E2673" s="22">
        <v>37956</v>
      </c>
      <c r="F2673" t="s">
        <v>13</v>
      </c>
      <c r="G2673" t="s">
        <v>207</v>
      </c>
      <c r="H2673">
        <v>4</v>
      </c>
      <c r="I2673">
        <v>2003</v>
      </c>
      <c r="J2673" t="s">
        <v>22</v>
      </c>
      <c r="K2673" t="s">
        <v>90</v>
      </c>
    </row>
    <row r="2674" spans="1:11">
      <c r="A2674" t="s">
        <v>114</v>
      </c>
      <c r="B2674">
        <v>10210</v>
      </c>
      <c r="C2674">
        <v>31</v>
      </c>
      <c r="D2674" s="21">
        <v>86.4</v>
      </c>
      <c r="E2674" s="22">
        <v>37998</v>
      </c>
      <c r="F2674" t="s">
        <v>13</v>
      </c>
      <c r="G2674" t="s">
        <v>207</v>
      </c>
      <c r="H2674">
        <v>1</v>
      </c>
      <c r="I2674">
        <v>2004</v>
      </c>
      <c r="J2674" t="s">
        <v>15</v>
      </c>
      <c r="K2674" t="s">
        <v>115</v>
      </c>
    </row>
    <row r="2675" spans="1:11">
      <c r="A2675" t="s">
        <v>42</v>
      </c>
      <c r="B2675">
        <v>10223</v>
      </c>
      <c r="C2675">
        <v>26</v>
      </c>
      <c r="D2675" s="21">
        <v>67.2</v>
      </c>
      <c r="E2675" s="22">
        <v>38037</v>
      </c>
      <c r="F2675" t="s">
        <v>13</v>
      </c>
      <c r="G2675" t="s">
        <v>207</v>
      </c>
      <c r="H2675">
        <v>1</v>
      </c>
      <c r="I2675">
        <v>2004</v>
      </c>
      <c r="J2675" t="s">
        <v>15</v>
      </c>
      <c r="K2675" t="s">
        <v>43</v>
      </c>
    </row>
    <row r="2676" spans="1:11">
      <c r="A2676" t="s">
        <v>141</v>
      </c>
      <c r="B2676">
        <v>10235</v>
      </c>
      <c r="C2676">
        <v>32</v>
      </c>
      <c r="D2676" s="21">
        <v>92</v>
      </c>
      <c r="E2676" s="22">
        <v>38079</v>
      </c>
      <c r="F2676" t="s">
        <v>13</v>
      </c>
      <c r="G2676" t="s">
        <v>207</v>
      </c>
      <c r="H2676">
        <v>2</v>
      </c>
      <c r="I2676">
        <v>2004</v>
      </c>
      <c r="J2676" t="s">
        <v>15</v>
      </c>
      <c r="K2676" t="s">
        <v>142</v>
      </c>
    </row>
    <row r="2677" spans="1:11">
      <c r="A2677" t="s">
        <v>149</v>
      </c>
      <c r="B2677">
        <v>10250</v>
      </c>
      <c r="C2677">
        <v>44</v>
      </c>
      <c r="D2677" s="21">
        <v>67.2</v>
      </c>
      <c r="E2677" s="22">
        <v>38118</v>
      </c>
      <c r="F2677" t="s">
        <v>13</v>
      </c>
      <c r="G2677" t="s">
        <v>207</v>
      </c>
      <c r="H2677">
        <v>2</v>
      </c>
      <c r="I2677">
        <v>2004</v>
      </c>
      <c r="J2677" t="s">
        <v>15</v>
      </c>
      <c r="K2677" t="s">
        <v>150</v>
      </c>
    </row>
    <row r="2678" spans="1:11">
      <c r="A2678" t="s">
        <v>69</v>
      </c>
      <c r="B2678">
        <v>10262</v>
      </c>
      <c r="C2678">
        <v>27</v>
      </c>
      <c r="D2678" s="21">
        <v>76</v>
      </c>
      <c r="E2678" s="22">
        <v>38162</v>
      </c>
      <c r="F2678" t="s">
        <v>128</v>
      </c>
      <c r="G2678" t="s">
        <v>207</v>
      </c>
      <c r="H2678">
        <v>2</v>
      </c>
      <c r="I2678">
        <v>2004</v>
      </c>
      <c r="J2678" t="s">
        <v>15</v>
      </c>
      <c r="K2678" t="s">
        <v>71</v>
      </c>
    </row>
    <row r="2679" spans="1:11">
      <c r="A2679" t="s">
        <v>50</v>
      </c>
      <c r="B2679">
        <v>10275</v>
      </c>
      <c r="C2679">
        <v>43</v>
      </c>
      <c r="D2679" s="21">
        <v>73.6</v>
      </c>
      <c r="E2679" s="22">
        <v>38191</v>
      </c>
      <c r="F2679" t="s">
        <v>13</v>
      </c>
      <c r="G2679" t="s">
        <v>207</v>
      </c>
      <c r="H2679">
        <v>3</v>
      </c>
      <c r="I2679">
        <v>2004</v>
      </c>
      <c r="J2679" t="s">
        <v>22</v>
      </c>
      <c r="K2679" t="s">
        <v>51</v>
      </c>
    </row>
    <row r="2680" spans="1:11">
      <c r="A2680" t="s">
        <v>200</v>
      </c>
      <c r="B2680">
        <v>10284</v>
      </c>
      <c r="C2680">
        <v>25</v>
      </c>
      <c r="D2680" s="21">
        <v>69.6</v>
      </c>
      <c r="E2680" s="22">
        <v>38220</v>
      </c>
      <c r="F2680" t="s">
        <v>13</v>
      </c>
      <c r="G2680" t="s">
        <v>207</v>
      </c>
      <c r="H2680">
        <v>3</v>
      </c>
      <c r="I2680">
        <v>2004</v>
      </c>
      <c r="J2680" t="s">
        <v>15</v>
      </c>
      <c r="K2680" t="s">
        <v>201</v>
      </c>
    </row>
    <row r="2681" spans="1:11">
      <c r="A2681" t="s">
        <v>210</v>
      </c>
      <c r="B2681">
        <v>10296</v>
      </c>
      <c r="C2681">
        <v>22</v>
      </c>
      <c r="D2681" s="21">
        <v>80.8</v>
      </c>
      <c r="E2681" s="22">
        <v>38245</v>
      </c>
      <c r="F2681" t="s">
        <v>13</v>
      </c>
      <c r="G2681" t="s">
        <v>207</v>
      </c>
      <c r="H2681">
        <v>3</v>
      </c>
      <c r="I2681">
        <v>2004</v>
      </c>
      <c r="J2681" t="s">
        <v>15</v>
      </c>
      <c r="K2681" t="s">
        <v>211</v>
      </c>
    </row>
    <row r="2682" spans="1:11">
      <c r="A2682" t="s">
        <v>120</v>
      </c>
      <c r="B2682">
        <v>10308</v>
      </c>
      <c r="C2682">
        <v>21</v>
      </c>
      <c r="D2682" s="21">
        <v>87.2</v>
      </c>
      <c r="E2682" s="22">
        <v>38275</v>
      </c>
      <c r="F2682" t="s">
        <v>13</v>
      </c>
      <c r="G2682" t="s">
        <v>207</v>
      </c>
      <c r="H2682">
        <v>4</v>
      </c>
      <c r="I2682">
        <v>2004</v>
      </c>
      <c r="J2682" t="s">
        <v>15</v>
      </c>
      <c r="K2682" t="s">
        <v>121</v>
      </c>
    </row>
    <row r="2683" spans="1:11">
      <c r="A2683" t="s">
        <v>145</v>
      </c>
      <c r="B2683">
        <v>10316</v>
      </c>
      <c r="C2683">
        <v>48</v>
      </c>
      <c r="D2683" s="21">
        <v>75.2</v>
      </c>
      <c r="E2683" s="22">
        <v>38292</v>
      </c>
      <c r="F2683" t="s">
        <v>13</v>
      </c>
      <c r="G2683" t="s">
        <v>207</v>
      </c>
      <c r="H2683">
        <v>4</v>
      </c>
      <c r="I2683">
        <v>2004</v>
      </c>
      <c r="J2683" t="s">
        <v>22</v>
      </c>
      <c r="K2683" t="s">
        <v>146</v>
      </c>
    </row>
    <row r="2684" spans="1:11">
      <c r="A2684" t="s">
        <v>203</v>
      </c>
      <c r="B2684">
        <v>10328</v>
      </c>
      <c r="C2684">
        <v>33</v>
      </c>
      <c r="D2684" s="21">
        <v>64</v>
      </c>
      <c r="E2684" s="22">
        <v>38303</v>
      </c>
      <c r="F2684" t="s">
        <v>13</v>
      </c>
      <c r="G2684" t="s">
        <v>207</v>
      </c>
      <c r="H2684">
        <v>4</v>
      </c>
      <c r="I2684">
        <v>2004</v>
      </c>
      <c r="J2684" t="s">
        <v>15</v>
      </c>
      <c r="K2684" t="s">
        <v>204</v>
      </c>
    </row>
    <row r="2685" spans="1:11">
      <c r="A2685" t="s">
        <v>60</v>
      </c>
      <c r="B2685">
        <v>10341</v>
      </c>
      <c r="C2685">
        <v>34</v>
      </c>
      <c r="D2685" s="21">
        <v>100</v>
      </c>
      <c r="E2685" s="22">
        <v>38315</v>
      </c>
      <c r="F2685" t="s">
        <v>13</v>
      </c>
      <c r="G2685" t="s">
        <v>207</v>
      </c>
      <c r="H2685">
        <v>4</v>
      </c>
      <c r="I2685">
        <v>2004</v>
      </c>
      <c r="J2685" t="s">
        <v>22</v>
      </c>
      <c r="K2685" t="s">
        <v>62</v>
      </c>
    </row>
    <row r="2686" spans="1:11">
      <c r="A2686" t="s">
        <v>208</v>
      </c>
      <c r="B2686">
        <v>10353</v>
      </c>
      <c r="C2686">
        <v>43</v>
      </c>
      <c r="D2686" s="21">
        <v>81.95</v>
      </c>
      <c r="E2686" s="22">
        <v>38325</v>
      </c>
      <c r="F2686" t="s">
        <v>13</v>
      </c>
      <c r="G2686" t="s">
        <v>207</v>
      </c>
      <c r="H2686">
        <v>4</v>
      </c>
      <c r="I2686">
        <v>2004</v>
      </c>
      <c r="J2686" t="s">
        <v>22</v>
      </c>
      <c r="K2686" t="s">
        <v>209</v>
      </c>
    </row>
    <row r="2687" spans="1:11">
      <c r="A2687" t="s">
        <v>63</v>
      </c>
      <c r="B2687">
        <v>10361</v>
      </c>
      <c r="C2687">
        <v>44</v>
      </c>
      <c r="D2687" s="21">
        <v>100</v>
      </c>
      <c r="E2687" s="22">
        <v>38338</v>
      </c>
      <c r="F2687" t="s">
        <v>13</v>
      </c>
      <c r="G2687" t="s">
        <v>207</v>
      </c>
      <c r="H2687">
        <v>4</v>
      </c>
      <c r="I2687">
        <v>2004</v>
      </c>
      <c r="J2687" t="s">
        <v>22</v>
      </c>
      <c r="K2687" t="s">
        <v>64</v>
      </c>
    </row>
    <row r="2688" spans="1:11">
      <c r="A2688" t="s">
        <v>50</v>
      </c>
      <c r="B2688">
        <v>10375</v>
      </c>
      <c r="C2688">
        <v>44</v>
      </c>
      <c r="D2688" s="21">
        <v>100</v>
      </c>
      <c r="E2688" s="22">
        <v>38386</v>
      </c>
      <c r="F2688" t="s">
        <v>13</v>
      </c>
      <c r="G2688" t="s">
        <v>207</v>
      </c>
      <c r="H2688">
        <v>1</v>
      </c>
      <c r="I2688">
        <v>2005</v>
      </c>
      <c r="J2688" t="s">
        <v>22</v>
      </c>
      <c r="K2688" t="s">
        <v>51</v>
      </c>
    </row>
    <row r="2689" spans="1:11">
      <c r="A2689" t="s">
        <v>69</v>
      </c>
      <c r="B2689">
        <v>10386</v>
      </c>
      <c r="C2689">
        <v>32</v>
      </c>
      <c r="D2689" s="21">
        <v>94.34</v>
      </c>
      <c r="E2689" s="22">
        <v>38412</v>
      </c>
      <c r="F2689" t="s">
        <v>155</v>
      </c>
      <c r="G2689" t="s">
        <v>207</v>
      </c>
      <c r="H2689">
        <v>1</v>
      </c>
      <c r="I2689">
        <v>2005</v>
      </c>
      <c r="J2689" t="s">
        <v>22</v>
      </c>
      <c r="K2689" t="s">
        <v>71</v>
      </c>
    </row>
    <row r="2690" spans="1:11">
      <c r="A2690" t="s">
        <v>18</v>
      </c>
      <c r="B2690">
        <v>10398</v>
      </c>
      <c r="C2690">
        <v>29</v>
      </c>
      <c r="D2690" s="21">
        <v>65.6</v>
      </c>
      <c r="E2690" s="22">
        <v>38441</v>
      </c>
      <c r="F2690" t="s">
        <v>13</v>
      </c>
      <c r="G2690" t="s">
        <v>207</v>
      </c>
      <c r="H2690">
        <v>1</v>
      </c>
      <c r="I2690">
        <v>2005</v>
      </c>
      <c r="J2690" t="s">
        <v>15</v>
      </c>
      <c r="K2690" t="s">
        <v>19</v>
      </c>
    </row>
    <row r="2691" spans="1:11">
      <c r="A2691" t="s">
        <v>46</v>
      </c>
      <c r="B2691">
        <v>10401</v>
      </c>
      <c r="C2691">
        <v>77</v>
      </c>
      <c r="D2691" s="21">
        <v>92</v>
      </c>
      <c r="E2691" s="22">
        <v>38445</v>
      </c>
      <c r="F2691" t="s">
        <v>151</v>
      </c>
      <c r="G2691" t="s">
        <v>207</v>
      </c>
      <c r="H2691">
        <v>2</v>
      </c>
      <c r="I2691">
        <v>2005</v>
      </c>
      <c r="J2691" t="s">
        <v>61</v>
      </c>
      <c r="K2691" t="s">
        <v>47</v>
      </c>
    </row>
    <row r="2692" spans="1:11">
      <c r="A2692" t="s">
        <v>169</v>
      </c>
      <c r="B2692">
        <v>10416</v>
      </c>
      <c r="C2692">
        <v>39</v>
      </c>
      <c r="D2692" s="21">
        <v>67.2</v>
      </c>
      <c r="E2692" s="22">
        <v>38482</v>
      </c>
      <c r="F2692" t="s">
        <v>13</v>
      </c>
      <c r="G2692" t="s">
        <v>207</v>
      </c>
      <c r="H2692">
        <v>2</v>
      </c>
      <c r="I2692">
        <v>2005</v>
      </c>
      <c r="J2692" t="s">
        <v>15</v>
      </c>
      <c r="K2692" t="s">
        <v>170</v>
      </c>
    </row>
    <row r="2693" spans="1:11">
      <c r="A2693" t="s">
        <v>122</v>
      </c>
      <c r="B2693">
        <v>10105</v>
      </c>
      <c r="C2693">
        <v>39</v>
      </c>
      <c r="D2693" s="21">
        <v>81.14</v>
      </c>
      <c r="E2693" s="22">
        <v>37663</v>
      </c>
      <c r="F2693" t="s">
        <v>13</v>
      </c>
      <c r="G2693" t="s">
        <v>214</v>
      </c>
      <c r="H2693">
        <v>1</v>
      </c>
      <c r="I2693">
        <v>2003</v>
      </c>
      <c r="J2693" t="s">
        <v>22</v>
      </c>
      <c r="K2693" t="s">
        <v>123</v>
      </c>
    </row>
    <row r="2694" spans="1:11">
      <c r="A2694" t="s">
        <v>133</v>
      </c>
      <c r="B2694">
        <v>10118</v>
      </c>
      <c r="C2694">
        <v>36</v>
      </c>
      <c r="D2694" s="21">
        <v>100</v>
      </c>
      <c r="E2694" s="22">
        <v>37732</v>
      </c>
      <c r="F2694" t="s">
        <v>13</v>
      </c>
      <c r="G2694" t="s">
        <v>214</v>
      </c>
      <c r="H2694">
        <v>2</v>
      </c>
      <c r="I2694">
        <v>2003</v>
      </c>
      <c r="J2694" t="s">
        <v>22</v>
      </c>
      <c r="K2694" t="s">
        <v>134</v>
      </c>
    </row>
    <row r="2695" spans="1:11">
      <c r="A2695" t="s">
        <v>124</v>
      </c>
      <c r="B2695">
        <v>10129</v>
      </c>
      <c r="C2695">
        <v>42</v>
      </c>
      <c r="D2695" s="21">
        <v>91.15</v>
      </c>
      <c r="E2695" s="22">
        <v>37784</v>
      </c>
      <c r="F2695" t="s">
        <v>13</v>
      </c>
      <c r="G2695" t="s">
        <v>214</v>
      </c>
      <c r="H2695">
        <v>2</v>
      </c>
      <c r="I2695">
        <v>2003</v>
      </c>
      <c r="J2695" t="s">
        <v>22</v>
      </c>
      <c r="K2695" t="s">
        <v>125</v>
      </c>
    </row>
    <row r="2696" spans="1:11">
      <c r="A2696" t="s">
        <v>103</v>
      </c>
      <c r="B2696">
        <v>10142</v>
      </c>
      <c r="C2696">
        <v>21</v>
      </c>
      <c r="D2696" s="21">
        <v>100</v>
      </c>
      <c r="E2696" s="22">
        <v>37841</v>
      </c>
      <c r="F2696" t="s">
        <v>13</v>
      </c>
      <c r="G2696" t="s">
        <v>214</v>
      </c>
      <c r="H2696">
        <v>3</v>
      </c>
      <c r="I2696">
        <v>2003</v>
      </c>
      <c r="J2696" t="s">
        <v>15</v>
      </c>
      <c r="K2696" t="s">
        <v>104</v>
      </c>
    </row>
    <row r="2697" spans="1:11">
      <c r="A2697" t="s">
        <v>69</v>
      </c>
      <c r="B2697">
        <v>10153</v>
      </c>
      <c r="C2697">
        <v>50</v>
      </c>
      <c r="D2697" s="21">
        <v>88.15</v>
      </c>
      <c r="E2697" s="22">
        <v>37892</v>
      </c>
      <c r="F2697" t="s">
        <v>13</v>
      </c>
      <c r="G2697" t="s">
        <v>214</v>
      </c>
      <c r="H2697">
        <v>3</v>
      </c>
      <c r="I2697">
        <v>2003</v>
      </c>
      <c r="J2697" t="s">
        <v>22</v>
      </c>
      <c r="K2697" t="s">
        <v>71</v>
      </c>
    </row>
    <row r="2698" spans="1:11">
      <c r="A2698" t="s">
        <v>99</v>
      </c>
      <c r="B2698">
        <v>10167</v>
      </c>
      <c r="C2698">
        <v>24</v>
      </c>
      <c r="D2698" s="21">
        <v>100</v>
      </c>
      <c r="E2698" s="22">
        <v>37917</v>
      </c>
      <c r="F2698" t="s">
        <v>128</v>
      </c>
      <c r="G2698" t="s">
        <v>214</v>
      </c>
      <c r="H2698">
        <v>4</v>
      </c>
      <c r="I2698">
        <v>2003</v>
      </c>
      <c r="J2698" t="s">
        <v>15</v>
      </c>
      <c r="K2698" t="s">
        <v>100</v>
      </c>
    </row>
    <row r="2699" spans="1:11">
      <c r="A2699" t="s">
        <v>181</v>
      </c>
      <c r="B2699">
        <v>10177</v>
      </c>
      <c r="C2699">
        <v>44</v>
      </c>
      <c r="D2699" s="21">
        <v>92.16</v>
      </c>
      <c r="E2699" s="22">
        <v>37932</v>
      </c>
      <c r="F2699" t="s">
        <v>13</v>
      </c>
      <c r="G2699" t="s">
        <v>214</v>
      </c>
      <c r="H2699">
        <v>4</v>
      </c>
      <c r="I2699">
        <v>2003</v>
      </c>
      <c r="J2699" t="s">
        <v>22</v>
      </c>
      <c r="K2699" t="s">
        <v>182</v>
      </c>
    </row>
    <row r="2700" spans="1:11">
      <c r="A2700" t="s">
        <v>126</v>
      </c>
      <c r="B2700">
        <v>10185</v>
      </c>
      <c r="C2700">
        <v>37</v>
      </c>
      <c r="D2700" s="21">
        <v>100</v>
      </c>
      <c r="E2700" s="22">
        <v>37939</v>
      </c>
      <c r="F2700" t="s">
        <v>13</v>
      </c>
      <c r="G2700" t="s">
        <v>214</v>
      </c>
      <c r="H2700">
        <v>4</v>
      </c>
      <c r="I2700">
        <v>2003</v>
      </c>
      <c r="J2700" t="s">
        <v>22</v>
      </c>
      <c r="K2700" t="s">
        <v>127</v>
      </c>
    </row>
    <row r="2701" spans="1:11">
      <c r="A2701" t="s">
        <v>133</v>
      </c>
      <c r="B2701">
        <v>10197</v>
      </c>
      <c r="C2701">
        <v>27</v>
      </c>
      <c r="D2701" s="21">
        <v>92.16</v>
      </c>
      <c r="E2701" s="22">
        <v>37951</v>
      </c>
      <c r="F2701" t="s">
        <v>13</v>
      </c>
      <c r="G2701" t="s">
        <v>214</v>
      </c>
      <c r="H2701">
        <v>4</v>
      </c>
      <c r="I2701">
        <v>2003</v>
      </c>
      <c r="J2701" t="s">
        <v>15</v>
      </c>
      <c r="K2701" t="s">
        <v>134</v>
      </c>
    </row>
    <row r="2702" spans="1:11">
      <c r="A2702" t="s">
        <v>85</v>
      </c>
      <c r="B2702">
        <v>10208</v>
      </c>
      <c r="C2702">
        <v>37</v>
      </c>
      <c r="D2702" s="21">
        <v>100</v>
      </c>
      <c r="E2702" s="22">
        <v>37988</v>
      </c>
      <c r="F2702" t="s">
        <v>13</v>
      </c>
      <c r="G2702" t="s">
        <v>214</v>
      </c>
      <c r="H2702">
        <v>1</v>
      </c>
      <c r="I2702">
        <v>2004</v>
      </c>
      <c r="J2702" t="s">
        <v>22</v>
      </c>
      <c r="K2702" t="s">
        <v>86</v>
      </c>
    </row>
    <row r="2703" spans="1:11">
      <c r="A2703" t="s">
        <v>137</v>
      </c>
      <c r="B2703">
        <v>10222</v>
      </c>
      <c r="C2703">
        <v>38</v>
      </c>
      <c r="D2703" s="21">
        <v>100</v>
      </c>
      <c r="E2703" s="22">
        <v>38036</v>
      </c>
      <c r="F2703" t="s">
        <v>13</v>
      </c>
      <c r="G2703" t="s">
        <v>214</v>
      </c>
      <c r="H2703">
        <v>1</v>
      </c>
      <c r="I2703">
        <v>2004</v>
      </c>
      <c r="J2703" t="s">
        <v>22</v>
      </c>
      <c r="K2703" t="s">
        <v>138</v>
      </c>
    </row>
    <row r="2704" spans="1:11">
      <c r="A2704" t="s">
        <v>145</v>
      </c>
      <c r="B2704">
        <v>10232</v>
      </c>
      <c r="C2704">
        <v>48</v>
      </c>
      <c r="D2704" s="21">
        <v>96.16</v>
      </c>
      <c r="E2704" s="22">
        <v>38066</v>
      </c>
      <c r="F2704" t="s">
        <v>13</v>
      </c>
      <c r="G2704" t="s">
        <v>214</v>
      </c>
      <c r="H2704">
        <v>1</v>
      </c>
      <c r="I2704">
        <v>2004</v>
      </c>
      <c r="J2704" t="s">
        <v>22</v>
      </c>
      <c r="K2704" t="s">
        <v>146</v>
      </c>
    </row>
    <row r="2705" spans="1:11">
      <c r="A2705" t="s">
        <v>12</v>
      </c>
      <c r="B2705">
        <v>10248</v>
      </c>
      <c r="C2705">
        <v>30</v>
      </c>
      <c r="D2705" s="21">
        <v>100</v>
      </c>
      <c r="E2705" s="22">
        <v>38114</v>
      </c>
      <c r="F2705" t="s">
        <v>128</v>
      </c>
      <c r="G2705" t="s">
        <v>214</v>
      </c>
      <c r="H2705">
        <v>2</v>
      </c>
      <c r="I2705">
        <v>2004</v>
      </c>
      <c r="J2705" t="s">
        <v>22</v>
      </c>
      <c r="K2705" t="s">
        <v>16</v>
      </c>
    </row>
    <row r="2706" spans="1:11">
      <c r="A2706" t="s">
        <v>111</v>
      </c>
      <c r="B2706">
        <v>10261</v>
      </c>
      <c r="C2706">
        <v>25</v>
      </c>
      <c r="D2706" s="21">
        <v>88.15</v>
      </c>
      <c r="E2706" s="22">
        <v>38155</v>
      </c>
      <c r="F2706" t="s">
        <v>13</v>
      </c>
      <c r="G2706" t="s">
        <v>214</v>
      </c>
      <c r="H2706">
        <v>2</v>
      </c>
      <c r="I2706">
        <v>2004</v>
      </c>
      <c r="J2706" t="s">
        <v>15</v>
      </c>
      <c r="K2706" t="s">
        <v>112</v>
      </c>
    </row>
    <row r="2707" spans="1:11">
      <c r="A2707" t="s">
        <v>139</v>
      </c>
      <c r="B2707">
        <v>10273</v>
      </c>
      <c r="C2707">
        <v>40</v>
      </c>
      <c r="D2707" s="21">
        <v>86.15</v>
      </c>
      <c r="E2707" s="22">
        <v>38189</v>
      </c>
      <c r="F2707" t="s">
        <v>13</v>
      </c>
      <c r="G2707" t="s">
        <v>214</v>
      </c>
      <c r="H2707">
        <v>3</v>
      </c>
      <c r="I2707">
        <v>2004</v>
      </c>
      <c r="J2707" t="s">
        <v>22</v>
      </c>
      <c r="K2707" t="s">
        <v>140</v>
      </c>
    </row>
    <row r="2708" spans="1:11">
      <c r="A2708" t="s">
        <v>141</v>
      </c>
      <c r="B2708">
        <v>10283</v>
      </c>
      <c r="C2708">
        <v>22</v>
      </c>
      <c r="D2708" s="21">
        <v>88.15</v>
      </c>
      <c r="E2708" s="22">
        <v>38219</v>
      </c>
      <c r="F2708" t="s">
        <v>13</v>
      </c>
      <c r="G2708" t="s">
        <v>214</v>
      </c>
      <c r="H2708">
        <v>3</v>
      </c>
      <c r="I2708">
        <v>2004</v>
      </c>
      <c r="J2708" t="s">
        <v>15</v>
      </c>
      <c r="K2708" t="s">
        <v>142</v>
      </c>
    </row>
    <row r="2709" spans="1:11">
      <c r="A2709" t="s">
        <v>143</v>
      </c>
      <c r="B2709">
        <v>10295</v>
      </c>
      <c r="C2709">
        <v>34</v>
      </c>
      <c r="D2709" s="21">
        <v>100</v>
      </c>
      <c r="E2709" s="22">
        <v>38240</v>
      </c>
      <c r="F2709" t="s">
        <v>13</v>
      </c>
      <c r="G2709" t="s">
        <v>214</v>
      </c>
      <c r="H2709">
        <v>3</v>
      </c>
      <c r="I2709">
        <v>2004</v>
      </c>
      <c r="J2709" t="s">
        <v>22</v>
      </c>
      <c r="K2709" t="s">
        <v>144</v>
      </c>
    </row>
    <row r="2710" spans="1:11">
      <c r="A2710" t="s">
        <v>183</v>
      </c>
      <c r="B2710">
        <v>10306</v>
      </c>
      <c r="C2710">
        <v>32</v>
      </c>
      <c r="D2710" s="21">
        <v>90.15</v>
      </c>
      <c r="E2710" s="22">
        <v>38274</v>
      </c>
      <c r="F2710" t="s">
        <v>13</v>
      </c>
      <c r="G2710" t="s">
        <v>214</v>
      </c>
      <c r="H2710">
        <v>4</v>
      </c>
      <c r="I2710">
        <v>2004</v>
      </c>
      <c r="J2710" t="s">
        <v>15</v>
      </c>
      <c r="K2710" t="s">
        <v>184</v>
      </c>
    </row>
    <row r="2711" spans="1:11">
      <c r="A2711" t="s">
        <v>50</v>
      </c>
      <c r="B2711">
        <v>10315</v>
      </c>
      <c r="C2711">
        <v>31</v>
      </c>
      <c r="D2711" s="21">
        <v>86.15</v>
      </c>
      <c r="E2711" s="22">
        <v>38289</v>
      </c>
      <c r="F2711" t="s">
        <v>13</v>
      </c>
      <c r="G2711" t="s">
        <v>214</v>
      </c>
      <c r="H2711">
        <v>4</v>
      </c>
      <c r="I2711">
        <v>2004</v>
      </c>
      <c r="J2711" t="s">
        <v>15</v>
      </c>
      <c r="K2711" t="s">
        <v>51</v>
      </c>
    </row>
    <row r="2712" spans="1:11">
      <c r="A2712" t="s">
        <v>122</v>
      </c>
      <c r="B2712">
        <v>10327</v>
      </c>
      <c r="C2712">
        <v>43</v>
      </c>
      <c r="D2712" s="21">
        <v>80</v>
      </c>
      <c r="E2712" s="22">
        <v>38301</v>
      </c>
      <c r="F2712" t="s">
        <v>155</v>
      </c>
      <c r="G2712" t="s">
        <v>214</v>
      </c>
      <c r="H2712">
        <v>4</v>
      </c>
      <c r="I2712">
        <v>2004</v>
      </c>
      <c r="J2712" t="s">
        <v>22</v>
      </c>
      <c r="K2712" t="s">
        <v>123</v>
      </c>
    </row>
    <row r="2713" spans="1:11">
      <c r="A2713" t="s">
        <v>79</v>
      </c>
      <c r="B2713">
        <v>10337</v>
      </c>
      <c r="C2713">
        <v>31</v>
      </c>
      <c r="D2713" s="21">
        <v>89.38</v>
      </c>
      <c r="E2713" s="22">
        <v>38312</v>
      </c>
      <c r="F2713" t="s">
        <v>13</v>
      </c>
      <c r="G2713" t="s">
        <v>214</v>
      </c>
      <c r="H2713">
        <v>4</v>
      </c>
      <c r="I2713">
        <v>2004</v>
      </c>
      <c r="J2713" t="s">
        <v>15</v>
      </c>
      <c r="K2713" t="s">
        <v>80</v>
      </c>
    </row>
    <row r="2714" spans="1:11">
      <c r="A2714" t="s">
        <v>69</v>
      </c>
      <c r="B2714">
        <v>10350</v>
      </c>
      <c r="C2714">
        <v>31</v>
      </c>
      <c r="D2714" s="21">
        <v>77.34</v>
      </c>
      <c r="E2714" s="22">
        <v>38323</v>
      </c>
      <c r="F2714" t="s">
        <v>13</v>
      </c>
      <c r="G2714" t="s">
        <v>214</v>
      </c>
      <c r="H2714">
        <v>4</v>
      </c>
      <c r="I2714">
        <v>2004</v>
      </c>
      <c r="J2714" t="s">
        <v>15</v>
      </c>
      <c r="K2714" t="s">
        <v>71</v>
      </c>
    </row>
    <row r="2715" spans="1:11">
      <c r="A2715" t="s">
        <v>147</v>
      </c>
      <c r="B2715">
        <v>10373</v>
      </c>
      <c r="C2715">
        <v>34</v>
      </c>
      <c r="D2715" s="21">
        <v>96.34</v>
      </c>
      <c r="E2715" s="22">
        <v>38383</v>
      </c>
      <c r="F2715" t="s">
        <v>13</v>
      </c>
      <c r="G2715" t="s">
        <v>214</v>
      </c>
      <c r="H2715">
        <v>1</v>
      </c>
      <c r="I2715">
        <v>2005</v>
      </c>
      <c r="J2715" t="s">
        <v>22</v>
      </c>
      <c r="K2715" t="s">
        <v>148</v>
      </c>
    </row>
    <row r="2716" spans="1:11">
      <c r="A2716" t="s">
        <v>69</v>
      </c>
      <c r="B2716">
        <v>10386</v>
      </c>
      <c r="C2716">
        <v>45</v>
      </c>
      <c r="D2716" s="21">
        <v>92.08</v>
      </c>
      <c r="E2716" s="22">
        <v>38412</v>
      </c>
      <c r="F2716" t="s">
        <v>155</v>
      </c>
      <c r="G2716" t="s">
        <v>214</v>
      </c>
      <c r="H2716">
        <v>1</v>
      </c>
      <c r="I2716">
        <v>2005</v>
      </c>
      <c r="J2716" t="s">
        <v>22</v>
      </c>
      <c r="K2716" t="s">
        <v>71</v>
      </c>
    </row>
    <row r="2717" spans="1:11">
      <c r="A2717" t="s">
        <v>129</v>
      </c>
      <c r="B2717">
        <v>10397</v>
      </c>
      <c r="C2717">
        <v>48</v>
      </c>
      <c r="D2717" s="21">
        <v>100</v>
      </c>
      <c r="E2717" s="22">
        <v>38439</v>
      </c>
      <c r="F2717" t="s">
        <v>13</v>
      </c>
      <c r="G2717" t="s">
        <v>214</v>
      </c>
      <c r="H2717">
        <v>1</v>
      </c>
      <c r="I2717">
        <v>2005</v>
      </c>
      <c r="J2717" t="s">
        <v>22</v>
      </c>
      <c r="K2717" t="s">
        <v>130</v>
      </c>
    </row>
    <row r="2718" spans="1:11">
      <c r="A2718" t="s">
        <v>143</v>
      </c>
      <c r="B2718">
        <v>10414</v>
      </c>
      <c r="C2718">
        <v>28</v>
      </c>
      <c r="D2718" s="21">
        <v>100</v>
      </c>
      <c r="E2718" s="22">
        <v>38478</v>
      </c>
      <c r="F2718" t="s">
        <v>151</v>
      </c>
      <c r="G2718" t="s">
        <v>214</v>
      </c>
      <c r="H2718">
        <v>2</v>
      </c>
      <c r="I2718">
        <v>2005</v>
      </c>
      <c r="J2718" t="s">
        <v>22</v>
      </c>
      <c r="K2718" t="s">
        <v>144</v>
      </c>
    </row>
    <row r="2719" spans="1:11">
      <c r="A2719" t="s">
        <v>122</v>
      </c>
      <c r="B2719">
        <v>10105</v>
      </c>
      <c r="C2719">
        <v>22</v>
      </c>
      <c r="D2719" s="21">
        <v>100</v>
      </c>
      <c r="E2719" s="22">
        <v>37663</v>
      </c>
      <c r="F2719" t="s">
        <v>13</v>
      </c>
      <c r="G2719" t="s">
        <v>214</v>
      </c>
      <c r="H2719">
        <v>1</v>
      </c>
      <c r="I2719">
        <v>2003</v>
      </c>
      <c r="J2719" t="s">
        <v>15</v>
      </c>
      <c r="K2719" t="s">
        <v>123</v>
      </c>
    </row>
    <row r="2720" spans="1:11">
      <c r="A2720" t="s">
        <v>77</v>
      </c>
      <c r="B2720">
        <v>10117</v>
      </c>
      <c r="C2720">
        <v>45</v>
      </c>
      <c r="D2720" s="21">
        <v>83.42</v>
      </c>
      <c r="E2720" s="22">
        <v>37727</v>
      </c>
      <c r="F2720" t="s">
        <v>13</v>
      </c>
      <c r="G2720" t="s">
        <v>214</v>
      </c>
      <c r="H2720">
        <v>2</v>
      </c>
      <c r="I2720">
        <v>2003</v>
      </c>
      <c r="J2720" t="s">
        <v>22</v>
      </c>
      <c r="K2720" t="s">
        <v>78</v>
      </c>
    </row>
    <row r="2721" spans="1:11">
      <c r="A2721" t="s">
        <v>124</v>
      </c>
      <c r="B2721">
        <v>10129</v>
      </c>
      <c r="C2721">
        <v>30</v>
      </c>
      <c r="D2721" s="21">
        <v>85.41</v>
      </c>
      <c r="E2721" s="22">
        <v>37784</v>
      </c>
      <c r="F2721" t="s">
        <v>13</v>
      </c>
      <c r="G2721" t="s">
        <v>214</v>
      </c>
      <c r="H2721">
        <v>2</v>
      </c>
      <c r="I2721">
        <v>2003</v>
      </c>
      <c r="J2721" t="s">
        <v>15</v>
      </c>
      <c r="K2721" t="s">
        <v>125</v>
      </c>
    </row>
    <row r="2722" spans="1:11">
      <c r="A2722" t="s">
        <v>103</v>
      </c>
      <c r="B2722">
        <v>10142</v>
      </c>
      <c r="C2722">
        <v>38</v>
      </c>
      <c r="D2722" s="21">
        <v>85.41</v>
      </c>
      <c r="E2722" s="22">
        <v>37841</v>
      </c>
      <c r="F2722" t="s">
        <v>13</v>
      </c>
      <c r="G2722" t="s">
        <v>214</v>
      </c>
      <c r="H2722">
        <v>3</v>
      </c>
      <c r="I2722">
        <v>2003</v>
      </c>
      <c r="J2722" t="s">
        <v>22</v>
      </c>
      <c r="K2722" t="s">
        <v>104</v>
      </c>
    </row>
    <row r="2723" spans="1:11">
      <c r="A2723" t="s">
        <v>69</v>
      </c>
      <c r="B2723">
        <v>10153</v>
      </c>
      <c r="C2723">
        <v>20</v>
      </c>
      <c r="D2723" s="21">
        <v>100</v>
      </c>
      <c r="E2723" s="22">
        <v>37892</v>
      </c>
      <c r="F2723" t="s">
        <v>13</v>
      </c>
      <c r="G2723" t="s">
        <v>214</v>
      </c>
      <c r="H2723">
        <v>3</v>
      </c>
      <c r="I2723">
        <v>2003</v>
      </c>
      <c r="J2723" t="s">
        <v>15</v>
      </c>
      <c r="K2723" t="s">
        <v>71</v>
      </c>
    </row>
    <row r="2724" spans="1:11">
      <c r="A2724" t="s">
        <v>99</v>
      </c>
      <c r="B2724">
        <v>10167</v>
      </c>
      <c r="C2724">
        <v>28</v>
      </c>
      <c r="D2724" s="21">
        <v>100</v>
      </c>
      <c r="E2724" s="22">
        <v>37917</v>
      </c>
      <c r="F2724" t="s">
        <v>128</v>
      </c>
      <c r="G2724" t="s">
        <v>214</v>
      </c>
      <c r="H2724">
        <v>4</v>
      </c>
      <c r="I2724">
        <v>2003</v>
      </c>
      <c r="J2724" t="s">
        <v>22</v>
      </c>
      <c r="K2724" t="s">
        <v>100</v>
      </c>
    </row>
    <row r="2725" spans="1:11">
      <c r="A2725" t="s">
        <v>181</v>
      </c>
      <c r="B2725">
        <v>10177</v>
      </c>
      <c r="C2725">
        <v>24</v>
      </c>
      <c r="D2725" s="21">
        <v>100</v>
      </c>
      <c r="E2725" s="22">
        <v>37932</v>
      </c>
      <c r="F2725" t="s">
        <v>13</v>
      </c>
      <c r="G2725" t="s">
        <v>214</v>
      </c>
      <c r="H2725">
        <v>4</v>
      </c>
      <c r="I2725">
        <v>2003</v>
      </c>
      <c r="J2725" t="s">
        <v>15</v>
      </c>
      <c r="K2725" t="s">
        <v>182</v>
      </c>
    </row>
    <row r="2726" spans="1:11">
      <c r="A2726" t="s">
        <v>126</v>
      </c>
      <c r="B2726">
        <v>10185</v>
      </c>
      <c r="C2726">
        <v>22</v>
      </c>
      <c r="D2726" s="21">
        <v>79.45</v>
      </c>
      <c r="E2726" s="22">
        <v>37939</v>
      </c>
      <c r="F2726" t="s">
        <v>13</v>
      </c>
      <c r="G2726" t="s">
        <v>214</v>
      </c>
      <c r="H2726">
        <v>4</v>
      </c>
      <c r="I2726">
        <v>2003</v>
      </c>
      <c r="J2726" t="s">
        <v>15</v>
      </c>
      <c r="K2726" t="s">
        <v>127</v>
      </c>
    </row>
    <row r="2727" spans="1:11">
      <c r="A2727" t="s">
        <v>133</v>
      </c>
      <c r="B2727">
        <v>10197</v>
      </c>
      <c r="C2727">
        <v>35</v>
      </c>
      <c r="D2727" s="21">
        <v>93.35</v>
      </c>
      <c r="E2727" s="22">
        <v>37951</v>
      </c>
      <c r="F2727" t="s">
        <v>13</v>
      </c>
      <c r="G2727" t="s">
        <v>214</v>
      </c>
      <c r="H2727">
        <v>4</v>
      </c>
      <c r="I2727">
        <v>2003</v>
      </c>
      <c r="J2727" t="s">
        <v>22</v>
      </c>
      <c r="K2727" t="s">
        <v>134</v>
      </c>
    </row>
    <row r="2728" spans="1:11">
      <c r="A2728" t="s">
        <v>85</v>
      </c>
      <c r="B2728">
        <v>10208</v>
      </c>
      <c r="C2728">
        <v>33</v>
      </c>
      <c r="D2728" s="21">
        <v>85.41</v>
      </c>
      <c r="E2728" s="22">
        <v>37988</v>
      </c>
      <c r="F2728" t="s">
        <v>13</v>
      </c>
      <c r="G2728" t="s">
        <v>214</v>
      </c>
      <c r="H2728">
        <v>1</v>
      </c>
      <c r="I2728">
        <v>2004</v>
      </c>
      <c r="J2728" t="s">
        <v>15</v>
      </c>
      <c r="K2728" t="s">
        <v>86</v>
      </c>
    </row>
    <row r="2729" spans="1:11">
      <c r="A2729" t="s">
        <v>137</v>
      </c>
      <c r="B2729">
        <v>10222</v>
      </c>
      <c r="C2729">
        <v>31</v>
      </c>
      <c r="D2729" s="21">
        <v>95.34</v>
      </c>
      <c r="E2729" s="22">
        <v>38036</v>
      </c>
      <c r="F2729" t="s">
        <v>13</v>
      </c>
      <c r="G2729" t="s">
        <v>214</v>
      </c>
      <c r="H2729">
        <v>1</v>
      </c>
      <c r="I2729">
        <v>2004</v>
      </c>
      <c r="J2729" t="s">
        <v>15</v>
      </c>
      <c r="K2729" t="s">
        <v>138</v>
      </c>
    </row>
    <row r="2730" spans="1:11">
      <c r="A2730" t="s">
        <v>145</v>
      </c>
      <c r="B2730">
        <v>10232</v>
      </c>
      <c r="C2730">
        <v>35</v>
      </c>
      <c r="D2730" s="21">
        <v>82.43</v>
      </c>
      <c r="E2730" s="22">
        <v>38066</v>
      </c>
      <c r="F2730" t="s">
        <v>13</v>
      </c>
      <c r="G2730" t="s">
        <v>214</v>
      </c>
      <c r="H2730">
        <v>1</v>
      </c>
      <c r="I2730">
        <v>2004</v>
      </c>
      <c r="J2730" t="s">
        <v>15</v>
      </c>
      <c r="K2730" t="s">
        <v>146</v>
      </c>
    </row>
    <row r="2731" spans="1:11">
      <c r="A2731" t="s">
        <v>12</v>
      </c>
      <c r="B2731">
        <v>10248</v>
      </c>
      <c r="C2731">
        <v>35</v>
      </c>
      <c r="D2731" s="21">
        <v>90.37</v>
      </c>
      <c r="E2731" s="22">
        <v>38114</v>
      </c>
      <c r="F2731" t="s">
        <v>128</v>
      </c>
      <c r="G2731" t="s">
        <v>214</v>
      </c>
      <c r="H2731">
        <v>2</v>
      </c>
      <c r="I2731">
        <v>2004</v>
      </c>
      <c r="J2731" t="s">
        <v>22</v>
      </c>
      <c r="K2731" t="s">
        <v>16</v>
      </c>
    </row>
    <row r="2732" spans="1:11">
      <c r="A2732" t="s">
        <v>111</v>
      </c>
      <c r="B2732">
        <v>10261</v>
      </c>
      <c r="C2732">
        <v>50</v>
      </c>
      <c r="D2732" s="21">
        <v>81.43</v>
      </c>
      <c r="E2732" s="22">
        <v>38155</v>
      </c>
      <c r="F2732" t="s">
        <v>13</v>
      </c>
      <c r="G2732" t="s">
        <v>214</v>
      </c>
      <c r="H2732">
        <v>2</v>
      </c>
      <c r="I2732">
        <v>2004</v>
      </c>
      <c r="J2732" t="s">
        <v>22</v>
      </c>
      <c r="K2732" t="s">
        <v>112</v>
      </c>
    </row>
    <row r="2733" spans="1:11">
      <c r="A2733" t="s">
        <v>139</v>
      </c>
      <c r="B2733">
        <v>10273</v>
      </c>
      <c r="C2733">
        <v>26</v>
      </c>
      <c r="D2733" s="21">
        <v>100</v>
      </c>
      <c r="E2733" s="22">
        <v>38189</v>
      </c>
      <c r="F2733" t="s">
        <v>13</v>
      </c>
      <c r="G2733" t="s">
        <v>214</v>
      </c>
      <c r="H2733">
        <v>3</v>
      </c>
      <c r="I2733">
        <v>2004</v>
      </c>
      <c r="J2733" t="s">
        <v>15</v>
      </c>
      <c r="K2733" t="s">
        <v>140</v>
      </c>
    </row>
    <row r="2734" spans="1:11">
      <c r="A2734" t="s">
        <v>141</v>
      </c>
      <c r="B2734">
        <v>10283</v>
      </c>
      <c r="C2734">
        <v>38</v>
      </c>
      <c r="D2734" s="21">
        <v>89.38</v>
      </c>
      <c r="E2734" s="22">
        <v>38219</v>
      </c>
      <c r="F2734" t="s">
        <v>13</v>
      </c>
      <c r="G2734" t="s">
        <v>214</v>
      </c>
      <c r="H2734">
        <v>3</v>
      </c>
      <c r="I2734">
        <v>2004</v>
      </c>
      <c r="J2734" t="s">
        <v>22</v>
      </c>
      <c r="K2734" t="s">
        <v>142</v>
      </c>
    </row>
    <row r="2735" spans="1:11">
      <c r="A2735" t="s">
        <v>171</v>
      </c>
      <c r="B2735">
        <v>10294</v>
      </c>
      <c r="C2735">
        <v>45</v>
      </c>
      <c r="D2735" s="21">
        <v>100</v>
      </c>
      <c r="E2735" s="22">
        <v>38240</v>
      </c>
      <c r="F2735" t="s">
        <v>13</v>
      </c>
      <c r="G2735" t="s">
        <v>214</v>
      </c>
      <c r="H2735">
        <v>3</v>
      </c>
      <c r="I2735">
        <v>2004</v>
      </c>
      <c r="J2735" t="s">
        <v>22</v>
      </c>
      <c r="K2735" t="s">
        <v>172</v>
      </c>
    </row>
    <row r="2736" spans="1:11">
      <c r="A2736" t="s">
        <v>183</v>
      </c>
      <c r="B2736">
        <v>10306</v>
      </c>
      <c r="C2736">
        <v>30</v>
      </c>
      <c r="D2736" s="21">
        <v>100</v>
      </c>
      <c r="E2736" s="22">
        <v>38274</v>
      </c>
      <c r="F2736" t="s">
        <v>13</v>
      </c>
      <c r="G2736" t="s">
        <v>214</v>
      </c>
      <c r="H2736">
        <v>4</v>
      </c>
      <c r="I2736">
        <v>2004</v>
      </c>
      <c r="J2736" t="s">
        <v>22</v>
      </c>
      <c r="K2736" t="s">
        <v>184</v>
      </c>
    </row>
    <row r="2737" spans="1:11">
      <c r="A2737" t="s">
        <v>50</v>
      </c>
      <c r="B2737">
        <v>10315</v>
      </c>
      <c r="C2737">
        <v>37</v>
      </c>
      <c r="D2737" s="21">
        <v>91.37</v>
      </c>
      <c r="E2737" s="22">
        <v>38289</v>
      </c>
      <c r="F2737" t="s">
        <v>13</v>
      </c>
      <c r="G2737" t="s">
        <v>214</v>
      </c>
      <c r="H2737">
        <v>4</v>
      </c>
      <c r="I2737">
        <v>2004</v>
      </c>
      <c r="J2737" t="s">
        <v>22</v>
      </c>
      <c r="K2737" t="s">
        <v>51</v>
      </c>
    </row>
    <row r="2738" spans="1:11">
      <c r="A2738" t="s">
        <v>122</v>
      </c>
      <c r="B2738">
        <v>10327</v>
      </c>
      <c r="C2738">
        <v>37</v>
      </c>
      <c r="D2738" s="21">
        <v>86.61</v>
      </c>
      <c r="E2738" s="22">
        <v>38301</v>
      </c>
      <c r="F2738" t="s">
        <v>155</v>
      </c>
      <c r="G2738" t="s">
        <v>214</v>
      </c>
      <c r="H2738">
        <v>4</v>
      </c>
      <c r="I2738">
        <v>2004</v>
      </c>
      <c r="J2738" t="s">
        <v>22</v>
      </c>
      <c r="K2738" t="s">
        <v>123</v>
      </c>
    </row>
    <row r="2739" spans="1:11">
      <c r="A2739" t="s">
        <v>79</v>
      </c>
      <c r="B2739">
        <v>10337</v>
      </c>
      <c r="C2739">
        <v>36</v>
      </c>
      <c r="D2739" s="21">
        <v>71.89</v>
      </c>
      <c r="E2739" s="22">
        <v>38312</v>
      </c>
      <c r="F2739" t="s">
        <v>13</v>
      </c>
      <c r="G2739" t="s">
        <v>214</v>
      </c>
      <c r="H2739">
        <v>4</v>
      </c>
      <c r="I2739">
        <v>2004</v>
      </c>
      <c r="J2739" t="s">
        <v>15</v>
      </c>
      <c r="K2739" t="s">
        <v>80</v>
      </c>
    </row>
    <row r="2740" spans="1:11">
      <c r="A2740" t="s">
        <v>69</v>
      </c>
      <c r="B2740">
        <v>10350</v>
      </c>
      <c r="C2740">
        <v>25</v>
      </c>
      <c r="D2740" s="21">
        <v>100</v>
      </c>
      <c r="E2740" s="22">
        <v>38323</v>
      </c>
      <c r="F2740" t="s">
        <v>13</v>
      </c>
      <c r="G2740" t="s">
        <v>214</v>
      </c>
      <c r="H2740">
        <v>4</v>
      </c>
      <c r="I2740">
        <v>2004</v>
      </c>
      <c r="J2740" t="s">
        <v>15</v>
      </c>
      <c r="K2740" t="s">
        <v>71</v>
      </c>
    </row>
    <row r="2741" spans="1:11">
      <c r="A2741" t="s">
        <v>147</v>
      </c>
      <c r="B2741">
        <v>10373</v>
      </c>
      <c r="C2741">
        <v>37</v>
      </c>
      <c r="D2741" s="21">
        <v>100</v>
      </c>
      <c r="E2741" s="22">
        <v>38383</v>
      </c>
      <c r="F2741" t="s">
        <v>13</v>
      </c>
      <c r="G2741" t="s">
        <v>214</v>
      </c>
      <c r="H2741">
        <v>1</v>
      </c>
      <c r="I2741">
        <v>2005</v>
      </c>
      <c r="J2741" t="s">
        <v>22</v>
      </c>
      <c r="K2741" t="s">
        <v>148</v>
      </c>
    </row>
    <row r="2742" spans="1:11">
      <c r="A2742" t="s">
        <v>69</v>
      </c>
      <c r="B2742">
        <v>10386</v>
      </c>
      <c r="C2742">
        <v>30</v>
      </c>
      <c r="D2742" s="21">
        <v>95.48</v>
      </c>
      <c r="E2742" s="22">
        <v>38412</v>
      </c>
      <c r="F2742" t="s">
        <v>155</v>
      </c>
      <c r="G2742" t="s">
        <v>214</v>
      </c>
      <c r="H2742">
        <v>1</v>
      </c>
      <c r="I2742">
        <v>2005</v>
      </c>
      <c r="J2742" t="s">
        <v>15</v>
      </c>
      <c r="K2742" t="s">
        <v>71</v>
      </c>
    </row>
    <row r="2743" spans="1:11">
      <c r="A2743" t="s">
        <v>129</v>
      </c>
      <c r="B2743">
        <v>10397</v>
      </c>
      <c r="C2743">
        <v>36</v>
      </c>
      <c r="D2743" s="21">
        <v>100</v>
      </c>
      <c r="E2743" s="22">
        <v>38439</v>
      </c>
      <c r="F2743" t="s">
        <v>13</v>
      </c>
      <c r="G2743" t="s">
        <v>214</v>
      </c>
      <c r="H2743">
        <v>1</v>
      </c>
      <c r="I2743">
        <v>2005</v>
      </c>
      <c r="J2743" t="s">
        <v>22</v>
      </c>
      <c r="K2743" t="s">
        <v>130</v>
      </c>
    </row>
    <row r="2744" spans="1:11">
      <c r="A2744" t="s">
        <v>143</v>
      </c>
      <c r="B2744">
        <v>10414</v>
      </c>
      <c r="C2744">
        <v>27</v>
      </c>
      <c r="D2744" s="21">
        <v>90.37</v>
      </c>
      <c r="E2744" s="22">
        <v>38478</v>
      </c>
      <c r="F2744" t="s">
        <v>151</v>
      </c>
      <c r="G2744" t="s">
        <v>214</v>
      </c>
      <c r="H2744">
        <v>2</v>
      </c>
      <c r="I2744">
        <v>2005</v>
      </c>
      <c r="J2744" t="s">
        <v>15</v>
      </c>
      <c r="K2744" t="s">
        <v>144</v>
      </c>
    </row>
    <row r="2745" spans="1:11">
      <c r="A2745" t="s">
        <v>203</v>
      </c>
      <c r="B2745">
        <v>10106</v>
      </c>
      <c r="C2745">
        <v>48</v>
      </c>
      <c r="D2745" s="21">
        <v>61.44</v>
      </c>
      <c r="E2745" s="22">
        <v>37669</v>
      </c>
      <c r="F2745" t="s">
        <v>13</v>
      </c>
      <c r="G2745" t="s">
        <v>207</v>
      </c>
      <c r="H2745">
        <v>1</v>
      </c>
      <c r="I2745">
        <v>2003</v>
      </c>
      <c r="J2745" t="s">
        <v>15</v>
      </c>
      <c r="K2745" t="s">
        <v>204</v>
      </c>
    </row>
    <row r="2746" spans="1:11">
      <c r="A2746" t="s">
        <v>60</v>
      </c>
      <c r="B2746">
        <v>10119</v>
      </c>
      <c r="C2746">
        <v>26</v>
      </c>
      <c r="D2746" s="21">
        <v>59.22</v>
      </c>
      <c r="E2746" s="22">
        <v>37739</v>
      </c>
      <c r="F2746" t="s">
        <v>13</v>
      </c>
      <c r="G2746" t="s">
        <v>207</v>
      </c>
      <c r="H2746">
        <v>2</v>
      </c>
      <c r="I2746">
        <v>2003</v>
      </c>
      <c r="J2746" t="s">
        <v>15</v>
      </c>
      <c r="K2746" t="s">
        <v>62</v>
      </c>
    </row>
    <row r="2747" spans="1:11">
      <c r="A2747" t="s">
        <v>208</v>
      </c>
      <c r="B2747">
        <v>10131</v>
      </c>
      <c r="C2747">
        <v>26</v>
      </c>
      <c r="D2747" s="21">
        <v>85.13</v>
      </c>
      <c r="E2747" s="22">
        <v>37788</v>
      </c>
      <c r="F2747" t="s">
        <v>13</v>
      </c>
      <c r="G2747" t="s">
        <v>207</v>
      </c>
      <c r="H2747">
        <v>2</v>
      </c>
      <c r="I2747">
        <v>2003</v>
      </c>
      <c r="J2747" t="s">
        <v>15</v>
      </c>
      <c r="K2747" t="s">
        <v>209</v>
      </c>
    </row>
    <row r="2748" spans="1:11">
      <c r="A2748" t="s">
        <v>126</v>
      </c>
      <c r="B2748">
        <v>10143</v>
      </c>
      <c r="C2748">
        <v>34</v>
      </c>
      <c r="D2748" s="21">
        <v>85.87</v>
      </c>
      <c r="E2748" s="22">
        <v>37843</v>
      </c>
      <c r="F2748" t="s">
        <v>13</v>
      </c>
      <c r="G2748" t="s">
        <v>207</v>
      </c>
      <c r="H2748">
        <v>3</v>
      </c>
      <c r="I2748">
        <v>2003</v>
      </c>
      <c r="J2748" t="s">
        <v>15</v>
      </c>
      <c r="K2748" t="s">
        <v>127</v>
      </c>
    </row>
    <row r="2749" spans="1:11">
      <c r="A2749" t="s">
        <v>54</v>
      </c>
      <c r="B2749">
        <v>10155</v>
      </c>
      <c r="C2749">
        <v>44</v>
      </c>
      <c r="D2749" s="21">
        <v>85.87</v>
      </c>
      <c r="E2749" s="22">
        <v>37900</v>
      </c>
      <c r="F2749" t="s">
        <v>13</v>
      </c>
      <c r="G2749" t="s">
        <v>207</v>
      </c>
      <c r="H2749">
        <v>4</v>
      </c>
      <c r="I2749">
        <v>2003</v>
      </c>
      <c r="J2749" t="s">
        <v>22</v>
      </c>
      <c r="K2749" t="s">
        <v>55</v>
      </c>
    </row>
    <row r="2750" spans="1:11">
      <c r="A2750" t="s">
        <v>31</v>
      </c>
      <c r="B2750">
        <v>10168</v>
      </c>
      <c r="C2750">
        <v>39</v>
      </c>
      <c r="D2750" s="21">
        <v>82.91</v>
      </c>
      <c r="E2750" s="22">
        <v>37922</v>
      </c>
      <c r="F2750" t="s">
        <v>13</v>
      </c>
      <c r="G2750" t="s">
        <v>207</v>
      </c>
      <c r="H2750">
        <v>4</v>
      </c>
      <c r="I2750">
        <v>2003</v>
      </c>
      <c r="J2750" t="s">
        <v>22</v>
      </c>
      <c r="K2750" t="s">
        <v>32</v>
      </c>
    </row>
    <row r="2751" spans="1:11">
      <c r="A2751" t="s">
        <v>129</v>
      </c>
      <c r="B2751">
        <v>10178</v>
      </c>
      <c r="C2751">
        <v>45</v>
      </c>
      <c r="D2751" s="21">
        <v>76.25</v>
      </c>
      <c r="E2751" s="22">
        <v>37933</v>
      </c>
      <c r="F2751" t="s">
        <v>13</v>
      </c>
      <c r="G2751" t="s">
        <v>207</v>
      </c>
      <c r="H2751">
        <v>4</v>
      </c>
      <c r="I2751">
        <v>2003</v>
      </c>
      <c r="J2751" t="s">
        <v>22</v>
      </c>
      <c r="K2751" t="s">
        <v>130</v>
      </c>
    </row>
    <row r="2752" spans="1:11">
      <c r="A2752" t="s">
        <v>161</v>
      </c>
      <c r="B2752">
        <v>10198</v>
      </c>
      <c r="C2752">
        <v>40</v>
      </c>
      <c r="D2752" s="21">
        <v>63.67</v>
      </c>
      <c r="E2752" s="22">
        <v>37952</v>
      </c>
      <c r="F2752" t="s">
        <v>13</v>
      </c>
      <c r="G2752" t="s">
        <v>207</v>
      </c>
      <c r="H2752">
        <v>4</v>
      </c>
      <c r="I2752">
        <v>2003</v>
      </c>
      <c r="J2752" t="s">
        <v>15</v>
      </c>
      <c r="K2752" t="s">
        <v>162</v>
      </c>
    </row>
    <row r="2753" spans="1:11">
      <c r="A2753" t="s">
        <v>114</v>
      </c>
      <c r="B2753">
        <v>10210</v>
      </c>
      <c r="C2753">
        <v>42</v>
      </c>
      <c r="D2753" s="21">
        <v>70.33</v>
      </c>
      <c r="E2753" s="22">
        <v>37998</v>
      </c>
      <c r="F2753" t="s">
        <v>13</v>
      </c>
      <c r="G2753" t="s">
        <v>207</v>
      </c>
      <c r="H2753">
        <v>1</v>
      </c>
      <c r="I2753">
        <v>2004</v>
      </c>
      <c r="J2753" t="s">
        <v>15</v>
      </c>
      <c r="K2753" t="s">
        <v>115</v>
      </c>
    </row>
    <row r="2754" spans="1:11">
      <c r="A2754" t="s">
        <v>137</v>
      </c>
      <c r="B2754">
        <v>10222</v>
      </c>
      <c r="C2754">
        <v>43</v>
      </c>
      <c r="D2754" s="21">
        <v>74.03</v>
      </c>
      <c r="E2754" s="22">
        <v>38036</v>
      </c>
      <c r="F2754" t="s">
        <v>13</v>
      </c>
      <c r="G2754" t="s">
        <v>207</v>
      </c>
      <c r="H2754">
        <v>1</v>
      </c>
      <c r="I2754">
        <v>2004</v>
      </c>
      <c r="J2754" t="s">
        <v>22</v>
      </c>
      <c r="K2754" t="s">
        <v>138</v>
      </c>
    </row>
    <row r="2755" spans="1:11">
      <c r="A2755" t="s">
        <v>141</v>
      </c>
      <c r="B2755">
        <v>10235</v>
      </c>
      <c r="C2755">
        <v>34</v>
      </c>
      <c r="D2755" s="21">
        <v>72.55</v>
      </c>
      <c r="E2755" s="22">
        <v>38079</v>
      </c>
      <c r="F2755" t="s">
        <v>13</v>
      </c>
      <c r="G2755" t="s">
        <v>207</v>
      </c>
      <c r="H2755">
        <v>2</v>
      </c>
      <c r="I2755">
        <v>2004</v>
      </c>
      <c r="J2755" t="s">
        <v>15</v>
      </c>
      <c r="K2755" t="s">
        <v>142</v>
      </c>
    </row>
    <row r="2756" spans="1:11">
      <c r="A2756" t="s">
        <v>149</v>
      </c>
      <c r="B2756">
        <v>10250</v>
      </c>
      <c r="C2756">
        <v>38</v>
      </c>
      <c r="D2756" s="21">
        <v>62.19</v>
      </c>
      <c r="E2756" s="22">
        <v>38118</v>
      </c>
      <c r="F2756" t="s">
        <v>13</v>
      </c>
      <c r="G2756" t="s">
        <v>207</v>
      </c>
      <c r="H2756">
        <v>2</v>
      </c>
      <c r="I2756">
        <v>2004</v>
      </c>
      <c r="J2756" t="s">
        <v>15</v>
      </c>
      <c r="K2756" t="s">
        <v>150</v>
      </c>
    </row>
    <row r="2757" spans="1:11">
      <c r="A2757" t="s">
        <v>69</v>
      </c>
      <c r="B2757">
        <v>10262</v>
      </c>
      <c r="C2757">
        <v>35</v>
      </c>
      <c r="D2757" s="21">
        <v>71.07</v>
      </c>
      <c r="E2757" s="22">
        <v>38162</v>
      </c>
      <c r="F2757" t="s">
        <v>128</v>
      </c>
      <c r="G2757" t="s">
        <v>207</v>
      </c>
      <c r="H2757">
        <v>2</v>
      </c>
      <c r="I2757">
        <v>2004</v>
      </c>
      <c r="J2757" t="s">
        <v>15</v>
      </c>
      <c r="K2757" t="s">
        <v>71</v>
      </c>
    </row>
    <row r="2758" spans="1:11">
      <c r="A2758" t="s">
        <v>50</v>
      </c>
      <c r="B2758">
        <v>10275</v>
      </c>
      <c r="C2758">
        <v>31</v>
      </c>
      <c r="D2758" s="21">
        <v>72.55</v>
      </c>
      <c r="E2758" s="22">
        <v>38191</v>
      </c>
      <c r="F2758" t="s">
        <v>13</v>
      </c>
      <c r="G2758" t="s">
        <v>207</v>
      </c>
      <c r="H2758">
        <v>3</v>
      </c>
      <c r="I2758">
        <v>2004</v>
      </c>
      <c r="J2758" t="s">
        <v>15</v>
      </c>
      <c r="K2758" t="s">
        <v>51</v>
      </c>
    </row>
    <row r="2759" spans="1:11">
      <c r="A2759" t="s">
        <v>200</v>
      </c>
      <c r="B2759">
        <v>10284</v>
      </c>
      <c r="C2759">
        <v>32</v>
      </c>
      <c r="D2759" s="21">
        <v>64.41</v>
      </c>
      <c r="E2759" s="22">
        <v>38220</v>
      </c>
      <c r="F2759" t="s">
        <v>13</v>
      </c>
      <c r="G2759" t="s">
        <v>207</v>
      </c>
      <c r="H2759">
        <v>3</v>
      </c>
      <c r="I2759">
        <v>2004</v>
      </c>
      <c r="J2759" t="s">
        <v>15</v>
      </c>
      <c r="K2759" t="s">
        <v>201</v>
      </c>
    </row>
    <row r="2760" spans="1:11">
      <c r="A2760" t="s">
        <v>210</v>
      </c>
      <c r="B2760">
        <v>10296</v>
      </c>
      <c r="C2760">
        <v>47</v>
      </c>
      <c r="D2760" s="21">
        <v>86.62</v>
      </c>
      <c r="E2760" s="22">
        <v>38245</v>
      </c>
      <c r="F2760" t="s">
        <v>13</v>
      </c>
      <c r="G2760" t="s">
        <v>207</v>
      </c>
      <c r="H2760">
        <v>3</v>
      </c>
      <c r="I2760">
        <v>2004</v>
      </c>
      <c r="J2760" t="s">
        <v>22</v>
      </c>
      <c r="K2760" t="s">
        <v>211</v>
      </c>
    </row>
    <row r="2761" spans="1:11">
      <c r="A2761" t="s">
        <v>120</v>
      </c>
      <c r="B2761">
        <v>10308</v>
      </c>
      <c r="C2761">
        <v>39</v>
      </c>
      <c r="D2761" s="21">
        <v>68.11</v>
      </c>
      <c r="E2761" s="22">
        <v>38275</v>
      </c>
      <c r="F2761" t="s">
        <v>13</v>
      </c>
      <c r="G2761" t="s">
        <v>207</v>
      </c>
      <c r="H2761">
        <v>4</v>
      </c>
      <c r="I2761">
        <v>2004</v>
      </c>
      <c r="J2761" t="s">
        <v>15</v>
      </c>
      <c r="K2761" t="s">
        <v>121</v>
      </c>
    </row>
    <row r="2762" spans="1:11">
      <c r="A2762" t="s">
        <v>145</v>
      </c>
      <c r="B2762">
        <v>10316</v>
      </c>
      <c r="C2762">
        <v>44</v>
      </c>
      <c r="D2762" s="21">
        <v>62.19</v>
      </c>
      <c r="E2762" s="22">
        <v>38292</v>
      </c>
      <c r="F2762" t="s">
        <v>13</v>
      </c>
      <c r="G2762" t="s">
        <v>207</v>
      </c>
      <c r="H2762">
        <v>4</v>
      </c>
      <c r="I2762">
        <v>2004</v>
      </c>
      <c r="J2762" t="s">
        <v>15</v>
      </c>
      <c r="K2762" t="s">
        <v>146</v>
      </c>
    </row>
    <row r="2763" spans="1:11">
      <c r="A2763" t="s">
        <v>203</v>
      </c>
      <c r="B2763">
        <v>10328</v>
      </c>
      <c r="C2763">
        <v>39</v>
      </c>
      <c r="D2763" s="21">
        <v>85.87</v>
      </c>
      <c r="E2763" s="22">
        <v>38303</v>
      </c>
      <c r="F2763" t="s">
        <v>13</v>
      </c>
      <c r="G2763" t="s">
        <v>207</v>
      </c>
      <c r="H2763">
        <v>4</v>
      </c>
      <c r="I2763">
        <v>2004</v>
      </c>
      <c r="J2763" t="s">
        <v>22</v>
      </c>
      <c r="K2763" t="s">
        <v>204</v>
      </c>
    </row>
    <row r="2764" spans="1:11">
      <c r="A2764" t="s">
        <v>95</v>
      </c>
      <c r="B2764">
        <v>10339</v>
      </c>
      <c r="C2764">
        <v>50</v>
      </c>
      <c r="D2764" s="21">
        <v>57.86</v>
      </c>
      <c r="E2764" s="22">
        <v>38314</v>
      </c>
      <c r="F2764" t="s">
        <v>13</v>
      </c>
      <c r="G2764" t="s">
        <v>207</v>
      </c>
      <c r="H2764">
        <v>4</v>
      </c>
      <c r="I2764">
        <v>2004</v>
      </c>
      <c r="J2764" t="s">
        <v>15</v>
      </c>
      <c r="K2764" t="s">
        <v>96</v>
      </c>
    </row>
    <row r="2765" spans="1:11">
      <c r="A2765" t="s">
        <v>215</v>
      </c>
      <c r="B2765">
        <v>10352</v>
      </c>
      <c r="C2765">
        <v>22</v>
      </c>
      <c r="D2765" s="21">
        <v>75.51</v>
      </c>
      <c r="E2765" s="22">
        <v>38324</v>
      </c>
      <c r="F2765" t="s">
        <v>13</v>
      </c>
      <c r="G2765" t="s">
        <v>207</v>
      </c>
      <c r="H2765">
        <v>4</v>
      </c>
      <c r="I2765">
        <v>2004</v>
      </c>
      <c r="J2765" t="s">
        <v>15</v>
      </c>
      <c r="K2765" t="s">
        <v>216</v>
      </c>
    </row>
    <row r="2766" spans="1:11">
      <c r="A2766" t="s">
        <v>63</v>
      </c>
      <c r="B2766">
        <v>10361</v>
      </c>
      <c r="C2766">
        <v>35</v>
      </c>
      <c r="D2766" s="21">
        <v>100</v>
      </c>
      <c r="E2766" s="22">
        <v>38338</v>
      </c>
      <c r="F2766" t="s">
        <v>13</v>
      </c>
      <c r="G2766" t="s">
        <v>207</v>
      </c>
      <c r="H2766">
        <v>4</v>
      </c>
      <c r="I2766">
        <v>2004</v>
      </c>
      <c r="J2766" t="s">
        <v>22</v>
      </c>
      <c r="K2766" t="s">
        <v>64</v>
      </c>
    </row>
    <row r="2767" spans="1:11">
      <c r="A2767" t="s">
        <v>147</v>
      </c>
      <c r="B2767">
        <v>10373</v>
      </c>
      <c r="C2767">
        <v>45</v>
      </c>
      <c r="D2767" s="21">
        <v>55.62</v>
      </c>
      <c r="E2767" s="22">
        <v>38383</v>
      </c>
      <c r="F2767" t="s">
        <v>13</v>
      </c>
      <c r="G2767" t="s">
        <v>207</v>
      </c>
      <c r="H2767">
        <v>1</v>
      </c>
      <c r="I2767">
        <v>2005</v>
      </c>
      <c r="J2767" t="s">
        <v>15</v>
      </c>
      <c r="K2767" t="s">
        <v>148</v>
      </c>
    </row>
    <row r="2768" spans="1:11">
      <c r="A2768" t="s">
        <v>69</v>
      </c>
      <c r="B2768">
        <v>10386</v>
      </c>
      <c r="C2768">
        <v>44</v>
      </c>
      <c r="D2768" s="21">
        <v>86.4</v>
      </c>
      <c r="E2768" s="22">
        <v>38412</v>
      </c>
      <c r="F2768" t="s">
        <v>155</v>
      </c>
      <c r="G2768" t="s">
        <v>207</v>
      </c>
      <c r="H2768">
        <v>1</v>
      </c>
      <c r="I2768">
        <v>2005</v>
      </c>
      <c r="J2768" t="s">
        <v>22</v>
      </c>
      <c r="K2768" t="s">
        <v>71</v>
      </c>
    </row>
    <row r="2769" spans="1:11">
      <c r="A2769" t="s">
        <v>18</v>
      </c>
      <c r="B2769">
        <v>10398</v>
      </c>
      <c r="C2769">
        <v>36</v>
      </c>
      <c r="D2769" s="21">
        <v>87.36</v>
      </c>
      <c r="E2769" s="22">
        <v>38441</v>
      </c>
      <c r="F2769" t="s">
        <v>13</v>
      </c>
      <c r="G2769" t="s">
        <v>207</v>
      </c>
      <c r="H2769">
        <v>1</v>
      </c>
      <c r="I2769">
        <v>2005</v>
      </c>
      <c r="J2769" t="s">
        <v>22</v>
      </c>
      <c r="K2769" t="s">
        <v>19</v>
      </c>
    </row>
    <row r="2770" spans="1:11">
      <c r="A2770" t="s">
        <v>46</v>
      </c>
      <c r="B2770">
        <v>10401</v>
      </c>
      <c r="C2770">
        <v>28</v>
      </c>
      <c r="D2770" s="21">
        <v>72.55</v>
      </c>
      <c r="E2770" s="22">
        <v>38445</v>
      </c>
      <c r="F2770" t="s">
        <v>151</v>
      </c>
      <c r="G2770" t="s">
        <v>207</v>
      </c>
      <c r="H2770">
        <v>2</v>
      </c>
      <c r="I2770">
        <v>2005</v>
      </c>
      <c r="J2770" t="s">
        <v>15</v>
      </c>
      <c r="K2770" t="s">
        <v>47</v>
      </c>
    </row>
    <row r="2771" spans="1:11">
      <c r="A2771" t="s">
        <v>169</v>
      </c>
      <c r="B2771">
        <v>10416</v>
      </c>
      <c r="C2771">
        <v>43</v>
      </c>
      <c r="D2771" s="21">
        <v>62.19</v>
      </c>
      <c r="E2771" s="22">
        <v>38482</v>
      </c>
      <c r="F2771" t="s">
        <v>13</v>
      </c>
      <c r="G2771" t="s">
        <v>207</v>
      </c>
      <c r="H2771">
        <v>2</v>
      </c>
      <c r="I2771">
        <v>2005</v>
      </c>
      <c r="J2771" t="s">
        <v>15</v>
      </c>
      <c r="K2771" t="s">
        <v>170</v>
      </c>
    </row>
    <row r="2772" spans="1:11">
      <c r="A2772" t="s">
        <v>203</v>
      </c>
      <c r="B2772">
        <v>10106</v>
      </c>
      <c r="C2772">
        <v>48</v>
      </c>
      <c r="D2772" s="21">
        <v>52.64</v>
      </c>
      <c r="E2772" s="22">
        <v>37669</v>
      </c>
      <c r="F2772" t="s">
        <v>13</v>
      </c>
      <c r="G2772" t="s">
        <v>207</v>
      </c>
      <c r="H2772">
        <v>1</v>
      </c>
      <c r="I2772">
        <v>2003</v>
      </c>
      <c r="J2772" t="s">
        <v>15</v>
      </c>
      <c r="K2772" t="s">
        <v>204</v>
      </c>
    </row>
    <row r="2773" spans="1:11">
      <c r="A2773" t="s">
        <v>60</v>
      </c>
      <c r="B2773">
        <v>10119</v>
      </c>
      <c r="C2773">
        <v>28</v>
      </c>
      <c r="D2773" s="21">
        <v>48.17</v>
      </c>
      <c r="E2773" s="22">
        <v>37739</v>
      </c>
      <c r="F2773" t="s">
        <v>13</v>
      </c>
      <c r="G2773" t="s">
        <v>207</v>
      </c>
      <c r="H2773">
        <v>2</v>
      </c>
      <c r="I2773">
        <v>2003</v>
      </c>
      <c r="J2773" t="s">
        <v>15</v>
      </c>
      <c r="K2773" t="s">
        <v>62</v>
      </c>
    </row>
    <row r="2774" spans="1:11">
      <c r="A2774" t="s">
        <v>208</v>
      </c>
      <c r="B2774">
        <v>10131</v>
      </c>
      <c r="C2774">
        <v>21</v>
      </c>
      <c r="D2774" s="21">
        <v>41.71</v>
      </c>
      <c r="E2774" s="22">
        <v>37788</v>
      </c>
      <c r="F2774" t="s">
        <v>13</v>
      </c>
      <c r="G2774" t="s">
        <v>207</v>
      </c>
      <c r="H2774">
        <v>2</v>
      </c>
      <c r="I2774">
        <v>2003</v>
      </c>
      <c r="J2774" t="s">
        <v>15</v>
      </c>
      <c r="K2774" t="s">
        <v>209</v>
      </c>
    </row>
    <row r="2775" spans="1:11">
      <c r="A2775" t="s">
        <v>126</v>
      </c>
      <c r="B2775">
        <v>10143</v>
      </c>
      <c r="C2775">
        <v>37</v>
      </c>
      <c r="D2775" s="21">
        <v>50.65</v>
      </c>
      <c r="E2775" s="22">
        <v>37843</v>
      </c>
      <c r="F2775" t="s">
        <v>13</v>
      </c>
      <c r="G2775" t="s">
        <v>207</v>
      </c>
      <c r="H2775">
        <v>3</v>
      </c>
      <c r="I2775">
        <v>2003</v>
      </c>
      <c r="J2775" t="s">
        <v>15</v>
      </c>
      <c r="K2775" t="s">
        <v>127</v>
      </c>
    </row>
    <row r="2776" spans="1:11">
      <c r="A2776" t="s">
        <v>54</v>
      </c>
      <c r="B2776">
        <v>10155</v>
      </c>
      <c r="C2776">
        <v>34</v>
      </c>
      <c r="D2776" s="21">
        <v>49.16</v>
      </c>
      <c r="E2776" s="22">
        <v>37900</v>
      </c>
      <c r="F2776" t="s">
        <v>13</v>
      </c>
      <c r="G2776" t="s">
        <v>207</v>
      </c>
      <c r="H2776">
        <v>4</v>
      </c>
      <c r="I2776">
        <v>2003</v>
      </c>
      <c r="J2776" t="s">
        <v>15</v>
      </c>
      <c r="K2776" t="s">
        <v>55</v>
      </c>
    </row>
    <row r="2777" spans="1:11">
      <c r="A2777" t="s">
        <v>99</v>
      </c>
      <c r="B2777">
        <v>10167</v>
      </c>
      <c r="C2777">
        <v>40</v>
      </c>
      <c r="D2777" s="21">
        <v>41.71</v>
      </c>
      <c r="E2777" s="22">
        <v>37917</v>
      </c>
      <c r="F2777" t="s">
        <v>128</v>
      </c>
      <c r="G2777" t="s">
        <v>207</v>
      </c>
      <c r="H2777">
        <v>4</v>
      </c>
      <c r="I2777">
        <v>2003</v>
      </c>
      <c r="J2777" t="s">
        <v>15</v>
      </c>
      <c r="K2777" t="s">
        <v>100</v>
      </c>
    </row>
    <row r="2778" spans="1:11">
      <c r="A2778" t="s">
        <v>129</v>
      </c>
      <c r="B2778">
        <v>10178</v>
      </c>
      <c r="C2778">
        <v>45</v>
      </c>
      <c r="D2778" s="21">
        <v>51.15</v>
      </c>
      <c r="E2778" s="22">
        <v>37933</v>
      </c>
      <c r="F2778" t="s">
        <v>13</v>
      </c>
      <c r="G2778" t="s">
        <v>207</v>
      </c>
      <c r="H2778">
        <v>4</v>
      </c>
      <c r="I2778">
        <v>2003</v>
      </c>
      <c r="J2778" t="s">
        <v>15</v>
      </c>
      <c r="K2778" t="s">
        <v>130</v>
      </c>
    </row>
    <row r="2779" spans="1:11">
      <c r="A2779" t="s">
        <v>131</v>
      </c>
      <c r="B2779">
        <v>10186</v>
      </c>
      <c r="C2779">
        <v>28</v>
      </c>
      <c r="D2779" s="21">
        <v>52.14</v>
      </c>
      <c r="E2779" s="22">
        <v>37939</v>
      </c>
      <c r="F2779" t="s">
        <v>13</v>
      </c>
      <c r="G2779" t="s">
        <v>207</v>
      </c>
      <c r="H2779">
        <v>4</v>
      </c>
      <c r="I2779">
        <v>2003</v>
      </c>
      <c r="J2779" t="s">
        <v>15</v>
      </c>
      <c r="K2779" t="s">
        <v>132</v>
      </c>
    </row>
    <row r="2780" spans="1:11">
      <c r="A2780" t="s">
        <v>133</v>
      </c>
      <c r="B2780">
        <v>10197</v>
      </c>
      <c r="C2780">
        <v>29</v>
      </c>
      <c r="D2780" s="21">
        <v>41.71</v>
      </c>
      <c r="E2780" s="22">
        <v>37951</v>
      </c>
      <c r="F2780" t="s">
        <v>13</v>
      </c>
      <c r="G2780" t="s">
        <v>207</v>
      </c>
      <c r="H2780">
        <v>4</v>
      </c>
      <c r="I2780">
        <v>2003</v>
      </c>
      <c r="J2780" t="s">
        <v>15</v>
      </c>
      <c r="K2780" t="s">
        <v>134</v>
      </c>
    </row>
    <row r="2781" spans="1:11">
      <c r="A2781" t="s">
        <v>135</v>
      </c>
      <c r="B2781">
        <v>10209</v>
      </c>
      <c r="C2781">
        <v>48</v>
      </c>
      <c r="D2781" s="21">
        <v>44.69</v>
      </c>
      <c r="E2781" s="22">
        <v>37995</v>
      </c>
      <c r="F2781" t="s">
        <v>13</v>
      </c>
      <c r="G2781" t="s">
        <v>207</v>
      </c>
      <c r="H2781">
        <v>1</v>
      </c>
      <c r="I2781">
        <v>2004</v>
      </c>
      <c r="J2781" t="s">
        <v>15</v>
      </c>
      <c r="K2781" t="s">
        <v>136</v>
      </c>
    </row>
    <row r="2782" spans="1:11">
      <c r="A2782" t="s">
        <v>137</v>
      </c>
      <c r="B2782">
        <v>10222</v>
      </c>
      <c r="C2782">
        <v>31</v>
      </c>
      <c r="D2782" s="21">
        <v>45.69</v>
      </c>
      <c r="E2782" s="22">
        <v>38036</v>
      </c>
      <c r="F2782" t="s">
        <v>13</v>
      </c>
      <c r="G2782" t="s">
        <v>207</v>
      </c>
      <c r="H2782">
        <v>1</v>
      </c>
      <c r="I2782">
        <v>2004</v>
      </c>
      <c r="J2782" t="s">
        <v>15</v>
      </c>
      <c r="K2782" t="s">
        <v>138</v>
      </c>
    </row>
    <row r="2783" spans="1:11">
      <c r="A2783" t="s">
        <v>91</v>
      </c>
      <c r="B2783">
        <v>10249</v>
      </c>
      <c r="C2783">
        <v>32</v>
      </c>
      <c r="D2783" s="21">
        <v>57.61</v>
      </c>
      <c r="E2783" s="22">
        <v>38115</v>
      </c>
      <c r="F2783" t="s">
        <v>13</v>
      </c>
      <c r="G2783" t="s">
        <v>207</v>
      </c>
      <c r="H2783">
        <v>2</v>
      </c>
      <c r="I2783">
        <v>2004</v>
      </c>
      <c r="J2783" t="s">
        <v>15</v>
      </c>
      <c r="K2783" t="s">
        <v>92</v>
      </c>
    </row>
    <row r="2784" spans="1:11">
      <c r="A2784" t="s">
        <v>69</v>
      </c>
      <c r="B2784">
        <v>10262</v>
      </c>
      <c r="C2784">
        <v>21</v>
      </c>
      <c r="D2784" s="21">
        <v>57.11</v>
      </c>
      <c r="E2784" s="22">
        <v>38162</v>
      </c>
      <c r="F2784" t="s">
        <v>128</v>
      </c>
      <c r="G2784" t="s">
        <v>207</v>
      </c>
      <c r="H2784">
        <v>2</v>
      </c>
      <c r="I2784">
        <v>2004</v>
      </c>
      <c r="J2784" t="s">
        <v>15</v>
      </c>
      <c r="K2784" t="s">
        <v>71</v>
      </c>
    </row>
    <row r="2785" spans="1:11">
      <c r="A2785" t="s">
        <v>107</v>
      </c>
      <c r="B2785">
        <v>10274</v>
      </c>
      <c r="C2785">
        <v>32</v>
      </c>
      <c r="D2785" s="21">
        <v>58.6</v>
      </c>
      <c r="E2785" s="22">
        <v>38189</v>
      </c>
      <c r="F2785" t="s">
        <v>13</v>
      </c>
      <c r="G2785" t="s">
        <v>207</v>
      </c>
      <c r="H2785">
        <v>3</v>
      </c>
      <c r="I2785">
        <v>2004</v>
      </c>
      <c r="J2785" t="s">
        <v>15</v>
      </c>
      <c r="K2785" t="s">
        <v>108</v>
      </c>
    </row>
    <row r="2786" spans="1:11">
      <c r="A2786" t="s">
        <v>141</v>
      </c>
      <c r="B2786">
        <v>10283</v>
      </c>
      <c r="C2786">
        <v>43</v>
      </c>
      <c r="D2786" s="21">
        <v>57.61</v>
      </c>
      <c r="E2786" s="22">
        <v>38219</v>
      </c>
      <c r="F2786" t="s">
        <v>13</v>
      </c>
      <c r="G2786" t="s">
        <v>207</v>
      </c>
      <c r="H2786">
        <v>3</v>
      </c>
      <c r="I2786">
        <v>2004</v>
      </c>
      <c r="J2786" t="s">
        <v>15</v>
      </c>
      <c r="K2786" t="s">
        <v>142</v>
      </c>
    </row>
    <row r="2787" spans="1:11">
      <c r="A2787" t="s">
        <v>210</v>
      </c>
      <c r="B2787">
        <v>10296</v>
      </c>
      <c r="C2787">
        <v>21</v>
      </c>
      <c r="D2787" s="21">
        <v>45.19</v>
      </c>
      <c r="E2787" s="22">
        <v>38245</v>
      </c>
      <c r="F2787" t="s">
        <v>13</v>
      </c>
      <c r="G2787" t="s">
        <v>207</v>
      </c>
      <c r="H2787">
        <v>3</v>
      </c>
      <c r="I2787">
        <v>2004</v>
      </c>
      <c r="J2787" t="s">
        <v>15</v>
      </c>
      <c r="K2787" t="s">
        <v>211</v>
      </c>
    </row>
    <row r="2788" spans="1:11">
      <c r="A2788" t="s">
        <v>83</v>
      </c>
      <c r="B2788">
        <v>10307</v>
      </c>
      <c r="C2788">
        <v>34</v>
      </c>
      <c r="D2788" s="21">
        <v>53.63</v>
      </c>
      <c r="E2788" s="22">
        <v>38274</v>
      </c>
      <c r="F2788" t="s">
        <v>13</v>
      </c>
      <c r="G2788" t="s">
        <v>207</v>
      </c>
      <c r="H2788">
        <v>4</v>
      </c>
      <c r="I2788">
        <v>2004</v>
      </c>
      <c r="J2788" t="s">
        <v>15</v>
      </c>
      <c r="K2788" t="s">
        <v>84</v>
      </c>
    </row>
    <row r="2789" spans="1:11">
      <c r="A2789" t="s">
        <v>145</v>
      </c>
      <c r="B2789">
        <v>10316</v>
      </c>
      <c r="C2789">
        <v>34</v>
      </c>
      <c r="D2789" s="21">
        <v>43.7</v>
      </c>
      <c r="E2789" s="22">
        <v>38292</v>
      </c>
      <c r="F2789" t="s">
        <v>13</v>
      </c>
      <c r="G2789" t="s">
        <v>207</v>
      </c>
      <c r="H2789">
        <v>4</v>
      </c>
      <c r="I2789">
        <v>2004</v>
      </c>
      <c r="J2789" t="s">
        <v>15</v>
      </c>
      <c r="K2789" t="s">
        <v>146</v>
      </c>
    </row>
    <row r="2790" spans="1:11">
      <c r="A2790" t="s">
        <v>12</v>
      </c>
      <c r="B2790">
        <v>10329</v>
      </c>
      <c r="C2790">
        <v>44</v>
      </c>
      <c r="D2790" s="21">
        <v>86.13</v>
      </c>
      <c r="E2790" s="22">
        <v>38306</v>
      </c>
      <c r="F2790" t="s">
        <v>13</v>
      </c>
      <c r="G2790" t="s">
        <v>207</v>
      </c>
      <c r="H2790">
        <v>4</v>
      </c>
      <c r="I2790">
        <v>2004</v>
      </c>
      <c r="J2790" t="s">
        <v>22</v>
      </c>
      <c r="K2790" t="s">
        <v>16</v>
      </c>
    </row>
    <row r="2791" spans="1:11">
      <c r="A2791" t="s">
        <v>95</v>
      </c>
      <c r="B2791">
        <v>10339</v>
      </c>
      <c r="C2791">
        <v>27</v>
      </c>
      <c r="D2791" s="21">
        <v>76.31</v>
      </c>
      <c r="E2791" s="22">
        <v>38314</v>
      </c>
      <c r="F2791" t="s">
        <v>13</v>
      </c>
      <c r="G2791" t="s">
        <v>207</v>
      </c>
      <c r="H2791">
        <v>4</v>
      </c>
      <c r="I2791">
        <v>2004</v>
      </c>
      <c r="J2791" t="s">
        <v>15</v>
      </c>
      <c r="K2791" t="s">
        <v>96</v>
      </c>
    </row>
    <row r="2792" spans="1:11">
      <c r="A2792" t="s">
        <v>215</v>
      </c>
      <c r="B2792">
        <v>10352</v>
      </c>
      <c r="C2792">
        <v>49</v>
      </c>
      <c r="D2792" s="21">
        <v>52.64</v>
      </c>
      <c r="E2792" s="22">
        <v>38324</v>
      </c>
      <c r="F2792" t="s">
        <v>13</v>
      </c>
      <c r="G2792" t="s">
        <v>207</v>
      </c>
      <c r="H2792">
        <v>4</v>
      </c>
      <c r="I2792">
        <v>2004</v>
      </c>
      <c r="J2792" t="s">
        <v>15</v>
      </c>
      <c r="K2792" t="s">
        <v>216</v>
      </c>
    </row>
    <row r="2793" spans="1:11">
      <c r="A2793" t="s">
        <v>63</v>
      </c>
      <c r="B2793">
        <v>10361</v>
      </c>
      <c r="C2793">
        <v>23</v>
      </c>
      <c r="D2793" s="21">
        <v>95.2</v>
      </c>
      <c r="E2793" s="22">
        <v>38338</v>
      </c>
      <c r="F2793" t="s">
        <v>13</v>
      </c>
      <c r="G2793" t="s">
        <v>207</v>
      </c>
      <c r="H2793">
        <v>4</v>
      </c>
      <c r="I2793">
        <v>2004</v>
      </c>
      <c r="J2793" t="s">
        <v>15</v>
      </c>
      <c r="K2793" t="s">
        <v>64</v>
      </c>
    </row>
    <row r="2794" spans="1:11">
      <c r="A2794" t="s">
        <v>147</v>
      </c>
      <c r="B2794">
        <v>10373</v>
      </c>
      <c r="C2794">
        <v>25</v>
      </c>
      <c r="D2794" s="21">
        <v>64.97</v>
      </c>
      <c r="E2794" s="22">
        <v>38383</v>
      </c>
      <c r="F2794" t="s">
        <v>13</v>
      </c>
      <c r="G2794" t="s">
        <v>207</v>
      </c>
      <c r="H2794">
        <v>1</v>
      </c>
      <c r="I2794">
        <v>2005</v>
      </c>
      <c r="J2794" t="s">
        <v>15</v>
      </c>
      <c r="K2794" t="s">
        <v>148</v>
      </c>
    </row>
    <row r="2795" spans="1:11">
      <c r="A2795" t="s">
        <v>69</v>
      </c>
      <c r="B2795">
        <v>10386</v>
      </c>
      <c r="C2795">
        <v>50</v>
      </c>
      <c r="D2795" s="21">
        <v>87.15</v>
      </c>
      <c r="E2795" s="22">
        <v>38412</v>
      </c>
      <c r="F2795" t="s">
        <v>155</v>
      </c>
      <c r="G2795" t="s">
        <v>207</v>
      </c>
      <c r="H2795">
        <v>1</v>
      </c>
      <c r="I2795">
        <v>2005</v>
      </c>
      <c r="J2795" t="s">
        <v>22</v>
      </c>
      <c r="K2795" t="s">
        <v>71</v>
      </c>
    </row>
    <row r="2796" spans="1:11">
      <c r="A2796" t="s">
        <v>18</v>
      </c>
      <c r="B2796">
        <v>10398</v>
      </c>
      <c r="C2796">
        <v>34</v>
      </c>
      <c r="D2796" s="21">
        <v>40.22</v>
      </c>
      <c r="E2796" s="22">
        <v>38441</v>
      </c>
      <c r="F2796" t="s">
        <v>13</v>
      </c>
      <c r="G2796" t="s">
        <v>207</v>
      </c>
      <c r="H2796">
        <v>1</v>
      </c>
      <c r="I2796">
        <v>2005</v>
      </c>
      <c r="J2796" t="s">
        <v>15</v>
      </c>
      <c r="K2796" t="s">
        <v>19</v>
      </c>
    </row>
    <row r="2797" spans="1:11">
      <c r="A2797" t="s">
        <v>149</v>
      </c>
      <c r="B2797">
        <v>10400</v>
      </c>
      <c r="C2797">
        <v>20</v>
      </c>
      <c r="D2797" s="21">
        <v>56.12</v>
      </c>
      <c r="E2797" s="22">
        <v>38443</v>
      </c>
      <c r="F2797" t="s">
        <v>13</v>
      </c>
      <c r="G2797" t="s">
        <v>207</v>
      </c>
      <c r="H2797">
        <v>2</v>
      </c>
      <c r="I2797">
        <v>2005</v>
      </c>
      <c r="J2797" t="s">
        <v>15</v>
      </c>
      <c r="K2797" t="s">
        <v>150</v>
      </c>
    </row>
    <row r="2798" spans="1:11">
      <c r="A2798" t="s">
        <v>205</v>
      </c>
      <c r="B2798">
        <v>10415</v>
      </c>
      <c r="C2798">
        <v>42</v>
      </c>
      <c r="D2798" s="21">
        <v>57.61</v>
      </c>
      <c r="E2798" s="22">
        <v>38481</v>
      </c>
      <c r="F2798" t="s">
        <v>70</v>
      </c>
      <c r="G2798" t="s">
        <v>207</v>
      </c>
      <c r="H2798">
        <v>2</v>
      </c>
      <c r="I2798">
        <v>2005</v>
      </c>
      <c r="J2798" t="s">
        <v>15</v>
      </c>
      <c r="K2798" t="s">
        <v>206</v>
      </c>
    </row>
    <row r="2799" spans="1:11">
      <c r="A2799" t="s">
        <v>122</v>
      </c>
      <c r="B2799">
        <v>10105</v>
      </c>
      <c r="C2799">
        <v>25</v>
      </c>
      <c r="D2799" s="21">
        <v>56.78</v>
      </c>
      <c r="E2799" s="22">
        <v>37663</v>
      </c>
      <c r="F2799" t="s">
        <v>13</v>
      </c>
      <c r="G2799" t="s">
        <v>214</v>
      </c>
      <c r="H2799">
        <v>1</v>
      </c>
      <c r="I2799">
        <v>2003</v>
      </c>
      <c r="J2799" t="s">
        <v>15</v>
      </c>
      <c r="K2799" t="s">
        <v>123</v>
      </c>
    </row>
    <row r="2800" spans="1:11">
      <c r="A2800" t="s">
        <v>77</v>
      </c>
      <c r="B2800">
        <v>10117</v>
      </c>
      <c r="C2800">
        <v>50</v>
      </c>
      <c r="D2800" s="21">
        <v>43.68</v>
      </c>
      <c r="E2800" s="22">
        <v>37727</v>
      </c>
      <c r="F2800" t="s">
        <v>13</v>
      </c>
      <c r="G2800" t="s">
        <v>214</v>
      </c>
      <c r="H2800">
        <v>2</v>
      </c>
      <c r="I2800">
        <v>2003</v>
      </c>
      <c r="J2800" t="s">
        <v>15</v>
      </c>
      <c r="K2800" t="s">
        <v>78</v>
      </c>
    </row>
    <row r="2801" spans="1:11">
      <c r="A2801" t="s">
        <v>124</v>
      </c>
      <c r="B2801">
        <v>10129</v>
      </c>
      <c r="C2801">
        <v>32</v>
      </c>
      <c r="D2801" s="21">
        <v>64.97</v>
      </c>
      <c r="E2801" s="22">
        <v>37784</v>
      </c>
      <c r="F2801" t="s">
        <v>13</v>
      </c>
      <c r="G2801" t="s">
        <v>214</v>
      </c>
      <c r="H2801">
        <v>2</v>
      </c>
      <c r="I2801">
        <v>2003</v>
      </c>
      <c r="J2801" t="s">
        <v>15</v>
      </c>
      <c r="K2801" t="s">
        <v>125</v>
      </c>
    </row>
    <row r="2802" spans="1:11">
      <c r="A2802" t="s">
        <v>103</v>
      </c>
      <c r="B2802">
        <v>10142</v>
      </c>
      <c r="C2802">
        <v>39</v>
      </c>
      <c r="D2802" s="21">
        <v>44.23</v>
      </c>
      <c r="E2802" s="22">
        <v>37841</v>
      </c>
      <c r="F2802" t="s">
        <v>13</v>
      </c>
      <c r="G2802" t="s">
        <v>214</v>
      </c>
      <c r="H2802">
        <v>3</v>
      </c>
      <c r="I2802">
        <v>2003</v>
      </c>
      <c r="J2802" t="s">
        <v>15</v>
      </c>
      <c r="K2802" t="s">
        <v>104</v>
      </c>
    </row>
    <row r="2803" spans="1:11">
      <c r="A2803" t="s">
        <v>69</v>
      </c>
      <c r="B2803">
        <v>10153</v>
      </c>
      <c r="C2803">
        <v>50</v>
      </c>
      <c r="D2803" s="21">
        <v>60.06</v>
      </c>
      <c r="E2803" s="22">
        <v>37892</v>
      </c>
      <c r="F2803" t="s">
        <v>13</v>
      </c>
      <c r="G2803" t="s">
        <v>214</v>
      </c>
      <c r="H2803">
        <v>3</v>
      </c>
      <c r="I2803">
        <v>2003</v>
      </c>
      <c r="J2803" t="s">
        <v>22</v>
      </c>
      <c r="K2803" t="s">
        <v>71</v>
      </c>
    </row>
    <row r="2804" spans="1:11">
      <c r="A2804" t="s">
        <v>99</v>
      </c>
      <c r="B2804">
        <v>10167</v>
      </c>
      <c r="C2804">
        <v>38</v>
      </c>
      <c r="D2804" s="21">
        <v>48.59</v>
      </c>
      <c r="E2804" s="22">
        <v>37917</v>
      </c>
      <c r="F2804" t="s">
        <v>128</v>
      </c>
      <c r="G2804" t="s">
        <v>214</v>
      </c>
      <c r="H2804">
        <v>4</v>
      </c>
      <c r="I2804">
        <v>2003</v>
      </c>
      <c r="J2804" t="s">
        <v>15</v>
      </c>
      <c r="K2804" t="s">
        <v>100</v>
      </c>
    </row>
    <row r="2805" spans="1:11">
      <c r="A2805" t="s">
        <v>181</v>
      </c>
      <c r="B2805">
        <v>10177</v>
      </c>
      <c r="C2805">
        <v>40</v>
      </c>
      <c r="D2805" s="21">
        <v>50.23</v>
      </c>
      <c r="E2805" s="22">
        <v>37932</v>
      </c>
      <c r="F2805" t="s">
        <v>13</v>
      </c>
      <c r="G2805" t="s">
        <v>214</v>
      </c>
      <c r="H2805">
        <v>4</v>
      </c>
      <c r="I2805">
        <v>2003</v>
      </c>
      <c r="J2805" t="s">
        <v>15</v>
      </c>
      <c r="K2805" t="s">
        <v>182</v>
      </c>
    </row>
    <row r="2806" spans="1:11">
      <c r="A2806" t="s">
        <v>126</v>
      </c>
      <c r="B2806">
        <v>10185</v>
      </c>
      <c r="C2806">
        <v>28</v>
      </c>
      <c r="D2806" s="21">
        <v>64.43</v>
      </c>
      <c r="E2806" s="22">
        <v>37939</v>
      </c>
      <c r="F2806" t="s">
        <v>13</v>
      </c>
      <c r="G2806" t="s">
        <v>214</v>
      </c>
      <c r="H2806">
        <v>4</v>
      </c>
      <c r="I2806">
        <v>2003</v>
      </c>
      <c r="J2806" t="s">
        <v>15</v>
      </c>
      <c r="K2806" t="s">
        <v>127</v>
      </c>
    </row>
    <row r="2807" spans="1:11">
      <c r="A2807" t="s">
        <v>133</v>
      </c>
      <c r="B2807">
        <v>10197</v>
      </c>
      <c r="C2807">
        <v>42</v>
      </c>
      <c r="D2807" s="21">
        <v>50.23</v>
      </c>
      <c r="E2807" s="22">
        <v>37951</v>
      </c>
      <c r="F2807" t="s">
        <v>13</v>
      </c>
      <c r="G2807" t="s">
        <v>214</v>
      </c>
      <c r="H2807">
        <v>4</v>
      </c>
      <c r="I2807">
        <v>2003</v>
      </c>
      <c r="J2807" t="s">
        <v>15</v>
      </c>
      <c r="K2807" t="s">
        <v>134</v>
      </c>
    </row>
    <row r="2808" spans="1:11">
      <c r="A2808" t="s">
        <v>85</v>
      </c>
      <c r="B2808">
        <v>10208</v>
      </c>
      <c r="C2808">
        <v>42</v>
      </c>
      <c r="D2808" s="21">
        <v>63.88</v>
      </c>
      <c r="E2808" s="22">
        <v>37988</v>
      </c>
      <c r="F2808" t="s">
        <v>13</v>
      </c>
      <c r="G2808" t="s">
        <v>214</v>
      </c>
      <c r="H2808">
        <v>1</v>
      </c>
      <c r="I2808">
        <v>2004</v>
      </c>
      <c r="J2808" t="s">
        <v>15</v>
      </c>
      <c r="K2808" t="s">
        <v>86</v>
      </c>
    </row>
    <row r="2809" spans="1:11">
      <c r="A2809" t="s">
        <v>137</v>
      </c>
      <c r="B2809">
        <v>10222</v>
      </c>
      <c r="C2809">
        <v>36</v>
      </c>
      <c r="D2809" s="21">
        <v>63.34</v>
      </c>
      <c r="E2809" s="22">
        <v>38036</v>
      </c>
      <c r="F2809" t="s">
        <v>13</v>
      </c>
      <c r="G2809" t="s">
        <v>214</v>
      </c>
      <c r="H2809">
        <v>1</v>
      </c>
      <c r="I2809">
        <v>2004</v>
      </c>
      <c r="J2809" t="s">
        <v>15</v>
      </c>
      <c r="K2809" t="s">
        <v>138</v>
      </c>
    </row>
    <row r="2810" spans="1:11">
      <c r="A2810" t="s">
        <v>145</v>
      </c>
      <c r="B2810">
        <v>10232</v>
      </c>
      <c r="C2810">
        <v>24</v>
      </c>
      <c r="D2810" s="21">
        <v>49.69</v>
      </c>
      <c r="E2810" s="22">
        <v>38066</v>
      </c>
      <c r="F2810" t="s">
        <v>13</v>
      </c>
      <c r="G2810" t="s">
        <v>214</v>
      </c>
      <c r="H2810">
        <v>1</v>
      </c>
      <c r="I2810">
        <v>2004</v>
      </c>
      <c r="J2810" t="s">
        <v>15</v>
      </c>
      <c r="K2810" t="s">
        <v>146</v>
      </c>
    </row>
    <row r="2811" spans="1:11">
      <c r="A2811" t="s">
        <v>12</v>
      </c>
      <c r="B2811">
        <v>10248</v>
      </c>
      <c r="C2811">
        <v>23</v>
      </c>
      <c r="D2811" s="21">
        <v>65.52</v>
      </c>
      <c r="E2811" s="22">
        <v>38114</v>
      </c>
      <c r="F2811" t="s">
        <v>128</v>
      </c>
      <c r="G2811" t="s">
        <v>214</v>
      </c>
      <c r="H2811">
        <v>2</v>
      </c>
      <c r="I2811">
        <v>2004</v>
      </c>
      <c r="J2811" t="s">
        <v>15</v>
      </c>
      <c r="K2811" t="s">
        <v>16</v>
      </c>
    </row>
    <row r="2812" spans="1:11">
      <c r="A2812" t="s">
        <v>111</v>
      </c>
      <c r="B2812">
        <v>10261</v>
      </c>
      <c r="C2812">
        <v>29</v>
      </c>
      <c r="D2812" s="21">
        <v>50.78</v>
      </c>
      <c r="E2812" s="22">
        <v>38155</v>
      </c>
      <c r="F2812" t="s">
        <v>13</v>
      </c>
      <c r="G2812" t="s">
        <v>214</v>
      </c>
      <c r="H2812">
        <v>2</v>
      </c>
      <c r="I2812">
        <v>2004</v>
      </c>
      <c r="J2812" t="s">
        <v>15</v>
      </c>
      <c r="K2812" t="s">
        <v>112</v>
      </c>
    </row>
    <row r="2813" spans="1:11">
      <c r="A2813" t="s">
        <v>139</v>
      </c>
      <c r="B2813">
        <v>10273</v>
      </c>
      <c r="C2813">
        <v>37</v>
      </c>
      <c r="D2813" s="21">
        <v>45.86</v>
      </c>
      <c r="E2813" s="22">
        <v>38189</v>
      </c>
      <c r="F2813" t="s">
        <v>13</v>
      </c>
      <c r="G2813" t="s">
        <v>214</v>
      </c>
      <c r="H2813">
        <v>3</v>
      </c>
      <c r="I2813">
        <v>2004</v>
      </c>
      <c r="J2813" t="s">
        <v>15</v>
      </c>
      <c r="K2813" t="s">
        <v>140</v>
      </c>
    </row>
    <row r="2814" spans="1:11">
      <c r="A2814" t="s">
        <v>141</v>
      </c>
      <c r="B2814">
        <v>10283</v>
      </c>
      <c r="C2814">
        <v>33</v>
      </c>
      <c r="D2814" s="21">
        <v>51.32</v>
      </c>
      <c r="E2814" s="22">
        <v>38219</v>
      </c>
      <c r="F2814" t="s">
        <v>13</v>
      </c>
      <c r="G2814" t="s">
        <v>214</v>
      </c>
      <c r="H2814">
        <v>3</v>
      </c>
      <c r="I2814">
        <v>2004</v>
      </c>
      <c r="J2814" t="s">
        <v>15</v>
      </c>
      <c r="K2814" t="s">
        <v>142</v>
      </c>
    </row>
    <row r="2815" spans="1:11">
      <c r="A2815" t="s">
        <v>97</v>
      </c>
      <c r="B2815">
        <v>10293</v>
      </c>
      <c r="C2815">
        <v>32</v>
      </c>
      <c r="D2815" s="21">
        <v>60.06</v>
      </c>
      <c r="E2815" s="22">
        <v>38239</v>
      </c>
      <c r="F2815" t="s">
        <v>13</v>
      </c>
      <c r="G2815" t="s">
        <v>214</v>
      </c>
      <c r="H2815">
        <v>3</v>
      </c>
      <c r="I2815">
        <v>2004</v>
      </c>
      <c r="J2815" t="s">
        <v>15</v>
      </c>
      <c r="K2815" t="s">
        <v>98</v>
      </c>
    </row>
    <row r="2816" spans="1:11">
      <c r="A2816" t="s">
        <v>183</v>
      </c>
      <c r="B2816">
        <v>10306</v>
      </c>
      <c r="C2816">
        <v>35</v>
      </c>
      <c r="D2816" s="21">
        <v>59.51</v>
      </c>
      <c r="E2816" s="22">
        <v>38274</v>
      </c>
      <c r="F2816" t="s">
        <v>13</v>
      </c>
      <c r="G2816" t="s">
        <v>214</v>
      </c>
      <c r="H2816">
        <v>4</v>
      </c>
      <c r="I2816">
        <v>2004</v>
      </c>
      <c r="J2816" t="s">
        <v>15</v>
      </c>
      <c r="K2816" t="s">
        <v>184</v>
      </c>
    </row>
    <row r="2817" spans="1:11">
      <c r="A2817" t="s">
        <v>50</v>
      </c>
      <c r="B2817">
        <v>10315</v>
      </c>
      <c r="C2817">
        <v>40</v>
      </c>
      <c r="D2817" s="21">
        <v>55.69</v>
      </c>
      <c r="E2817" s="22">
        <v>38289</v>
      </c>
      <c r="F2817" t="s">
        <v>13</v>
      </c>
      <c r="G2817" t="s">
        <v>214</v>
      </c>
      <c r="H2817">
        <v>4</v>
      </c>
      <c r="I2817">
        <v>2004</v>
      </c>
      <c r="J2817" t="s">
        <v>15</v>
      </c>
      <c r="K2817" t="s">
        <v>51</v>
      </c>
    </row>
    <row r="2818" spans="1:11">
      <c r="A2818" t="s">
        <v>122</v>
      </c>
      <c r="B2818">
        <v>10327</v>
      </c>
      <c r="C2818">
        <v>37</v>
      </c>
      <c r="D2818" s="21">
        <v>86.74</v>
      </c>
      <c r="E2818" s="22">
        <v>38301</v>
      </c>
      <c r="F2818" t="s">
        <v>155</v>
      </c>
      <c r="G2818" t="s">
        <v>214</v>
      </c>
      <c r="H2818">
        <v>4</v>
      </c>
      <c r="I2818">
        <v>2004</v>
      </c>
      <c r="J2818" t="s">
        <v>22</v>
      </c>
      <c r="K2818" t="s">
        <v>123</v>
      </c>
    </row>
    <row r="2819" spans="1:11">
      <c r="A2819" t="s">
        <v>79</v>
      </c>
      <c r="B2819">
        <v>10337</v>
      </c>
      <c r="C2819">
        <v>42</v>
      </c>
      <c r="D2819" s="21">
        <v>97.16</v>
      </c>
      <c r="E2819" s="22">
        <v>38312</v>
      </c>
      <c r="F2819" t="s">
        <v>13</v>
      </c>
      <c r="G2819" t="s">
        <v>214</v>
      </c>
      <c r="H2819">
        <v>4</v>
      </c>
      <c r="I2819">
        <v>2004</v>
      </c>
      <c r="J2819" t="s">
        <v>22</v>
      </c>
      <c r="K2819" t="s">
        <v>80</v>
      </c>
    </row>
    <row r="2820" spans="1:11">
      <c r="A2820" t="s">
        <v>69</v>
      </c>
      <c r="B2820">
        <v>10350</v>
      </c>
      <c r="C2820">
        <v>20</v>
      </c>
      <c r="D2820" s="21">
        <v>100</v>
      </c>
      <c r="E2820" s="22">
        <v>38323</v>
      </c>
      <c r="F2820" t="s">
        <v>13</v>
      </c>
      <c r="G2820" t="s">
        <v>214</v>
      </c>
      <c r="H2820">
        <v>4</v>
      </c>
      <c r="I2820">
        <v>2004</v>
      </c>
      <c r="J2820" t="s">
        <v>15</v>
      </c>
      <c r="K2820" t="s">
        <v>71</v>
      </c>
    </row>
    <row r="2821" spans="1:11">
      <c r="A2821" t="s">
        <v>147</v>
      </c>
      <c r="B2821">
        <v>10373</v>
      </c>
      <c r="C2821">
        <v>29</v>
      </c>
      <c r="D2821" s="21">
        <v>100</v>
      </c>
      <c r="E2821" s="22">
        <v>38383</v>
      </c>
      <c r="F2821" t="s">
        <v>13</v>
      </c>
      <c r="G2821" t="s">
        <v>214</v>
      </c>
      <c r="H2821">
        <v>1</v>
      </c>
      <c r="I2821">
        <v>2005</v>
      </c>
      <c r="J2821" t="s">
        <v>22</v>
      </c>
      <c r="K2821" t="s">
        <v>148</v>
      </c>
    </row>
    <row r="2822" spans="1:11">
      <c r="A2822" t="s">
        <v>69</v>
      </c>
      <c r="B2822">
        <v>10386</v>
      </c>
      <c r="C2822">
        <v>43</v>
      </c>
      <c r="D2822" s="21">
        <v>100</v>
      </c>
      <c r="E2822" s="22">
        <v>38412</v>
      </c>
      <c r="F2822" t="s">
        <v>155</v>
      </c>
      <c r="G2822" t="s">
        <v>214</v>
      </c>
      <c r="H2822">
        <v>1</v>
      </c>
      <c r="I2822">
        <v>2005</v>
      </c>
      <c r="J2822" t="s">
        <v>22</v>
      </c>
      <c r="K2822" t="s">
        <v>71</v>
      </c>
    </row>
    <row r="2823" spans="1:11">
      <c r="A2823" t="s">
        <v>129</v>
      </c>
      <c r="B2823">
        <v>10397</v>
      </c>
      <c r="C2823">
        <v>34</v>
      </c>
      <c r="D2823" s="21">
        <v>62.24</v>
      </c>
      <c r="E2823" s="22">
        <v>38439</v>
      </c>
      <c r="F2823" t="s">
        <v>13</v>
      </c>
      <c r="G2823" t="s">
        <v>214</v>
      </c>
      <c r="H2823">
        <v>1</v>
      </c>
      <c r="I2823">
        <v>2005</v>
      </c>
      <c r="J2823" t="s">
        <v>15</v>
      </c>
      <c r="K2823" t="s">
        <v>130</v>
      </c>
    </row>
    <row r="2824" spans="1:11">
      <c r="A2824" t="s">
        <v>143</v>
      </c>
      <c r="B2824">
        <v>10414</v>
      </c>
      <c r="C2824">
        <v>47</v>
      </c>
      <c r="D2824" s="21">
        <v>65.52</v>
      </c>
      <c r="E2824" s="22">
        <v>38478</v>
      </c>
      <c r="F2824" t="s">
        <v>151</v>
      </c>
      <c r="G2824" t="s">
        <v>214</v>
      </c>
      <c r="H2824">
        <v>2</v>
      </c>
      <c r="I2824">
        <v>2005</v>
      </c>
      <c r="J2824" t="s">
        <v>22</v>
      </c>
      <c r="K2824" t="s">
        <v>144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1"/>
  <sheetViews>
    <sheetView zoomScale="99" zoomScaleNormal="99" workbookViewId="0">
      <selection activeCell="R13" sqref="R13"/>
    </sheetView>
  </sheetViews>
  <sheetFormatPr defaultColWidth="8.72727272727273" defaultRowHeight="14.5" outlineLevelCol="1"/>
  <cols>
    <col min="1" max="1" width="16.9090909090909"/>
    <col min="2" max="2" width="17.8181818181818"/>
  </cols>
  <sheetData>
    <row r="3" spans="1:2">
      <c r="A3" t="s">
        <v>6</v>
      </c>
      <c r="B3" t="s">
        <v>218</v>
      </c>
    </row>
    <row r="4" spans="1:2">
      <c r="A4" t="s">
        <v>202</v>
      </c>
      <c r="B4" s="4">
        <v>300475.38</v>
      </c>
    </row>
    <row r="5" spans="1:2">
      <c r="A5" t="s">
        <v>72</v>
      </c>
      <c r="B5" s="4">
        <v>287293.32</v>
      </c>
    </row>
    <row r="6" spans="1:2">
      <c r="A6" t="s">
        <v>187</v>
      </c>
      <c r="B6" s="4">
        <v>125515.93</v>
      </c>
    </row>
    <row r="7" spans="1:2">
      <c r="A7" t="s">
        <v>14</v>
      </c>
      <c r="B7" s="4">
        <v>124374.61</v>
      </c>
    </row>
    <row r="8" spans="1:2">
      <c r="A8" t="s">
        <v>207</v>
      </c>
      <c r="B8" s="4">
        <v>99609.61</v>
      </c>
    </row>
    <row r="9" spans="1:2">
      <c r="A9" t="s">
        <v>214</v>
      </c>
      <c r="B9" s="4">
        <v>81536.33</v>
      </c>
    </row>
    <row r="10" spans="1:2">
      <c r="A10" t="s">
        <v>217</v>
      </c>
      <c r="B10" s="4">
        <v>30074.51</v>
      </c>
    </row>
    <row r="11" spans="1:2">
      <c r="A11" t="s">
        <v>219</v>
      </c>
      <c r="B11" s="4">
        <v>1048879.69</v>
      </c>
    </row>
  </sheetData>
  <pageMargins left="0.75" right="0.75" top="1" bottom="1" header="0.5" footer="0.5"/>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4"/>
  <sheetViews>
    <sheetView workbookViewId="0">
      <selection activeCell="B4" sqref="B4"/>
    </sheetView>
  </sheetViews>
  <sheetFormatPr defaultColWidth="8.72727272727273" defaultRowHeight="14.5" outlineLevelCol="1"/>
  <cols>
    <col min="1" max="1" width="31"/>
    <col min="2" max="2" width="16.3636363636364"/>
  </cols>
  <sheetData>
    <row r="3" spans="1:2">
      <c r="A3" t="s">
        <v>10</v>
      </c>
      <c r="B3" t="s">
        <v>218</v>
      </c>
    </row>
    <row r="4" spans="1:2">
      <c r="A4" t="s">
        <v>43</v>
      </c>
      <c r="B4" s="19">
        <v>164575.87</v>
      </c>
    </row>
    <row r="5" spans="1:2">
      <c r="A5" t="s">
        <v>184</v>
      </c>
      <c r="B5" s="19">
        <v>133173.25</v>
      </c>
    </row>
    <row r="6" spans="1:2">
      <c r="A6" t="s">
        <v>57</v>
      </c>
      <c r="B6" s="19">
        <v>84923.9</v>
      </c>
    </row>
    <row r="7" spans="1:2">
      <c r="A7" t="s">
        <v>41</v>
      </c>
      <c r="B7" s="19">
        <v>79857.6</v>
      </c>
    </row>
    <row r="8" spans="1:2">
      <c r="A8" t="s">
        <v>174</v>
      </c>
      <c r="B8" s="19">
        <v>66945.37</v>
      </c>
    </row>
    <row r="9" spans="1:2">
      <c r="A9" t="s">
        <v>80</v>
      </c>
      <c r="B9" s="19">
        <v>64121.82</v>
      </c>
    </row>
    <row r="10" spans="1:2">
      <c r="A10" t="s">
        <v>88</v>
      </c>
      <c r="B10" s="19">
        <v>60597.91</v>
      </c>
    </row>
    <row r="11" spans="1:2">
      <c r="A11" t="s">
        <v>84</v>
      </c>
      <c r="B11" s="19">
        <v>56799.98</v>
      </c>
    </row>
    <row r="12" spans="1:2">
      <c r="A12" t="s">
        <v>206</v>
      </c>
      <c r="B12" s="19">
        <v>56139.62</v>
      </c>
    </row>
    <row r="13" spans="1:2">
      <c r="A13" t="s">
        <v>102</v>
      </c>
      <c r="B13" s="19">
        <v>53364.97</v>
      </c>
    </row>
    <row r="14" spans="1:2">
      <c r="A14" t="s">
        <v>219</v>
      </c>
      <c r="B14" s="19">
        <v>820500.29</v>
      </c>
    </row>
  </sheetData>
  <pageMargins left="0.75" right="0.75" top="1" bottom="1" header="0.5" footer="0.5"/>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workbookViewId="0">
      <selection activeCell="J16" sqref="J16"/>
    </sheetView>
  </sheetViews>
  <sheetFormatPr defaultColWidth="8.72727272727273" defaultRowHeight="14.5" outlineLevelRow="6" outlineLevelCol="1"/>
  <cols>
    <col min="1" max="1" width="12.3636363636364"/>
    <col min="2" max="2" width="16.3636363636364"/>
  </cols>
  <sheetData>
    <row r="3" spans="1:2">
      <c r="A3" t="s">
        <v>9</v>
      </c>
      <c r="B3" t="s">
        <v>218</v>
      </c>
    </row>
    <row r="4" spans="1:2">
      <c r="A4" t="s">
        <v>22</v>
      </c>
      <c r="B4" s="19">
        <v>613679.85</v>
      </c>
    </row>
    <row r="5" spans="1:2">
      <c r="A5" t="s">
        <v>15</v>
      </c>
      <c r="B5" s="19">
        <v>360799.84</v>
      </c>
    </row>
    <row r="6" spans="1:2">
      <c r="A6" t="s">
        <v>61</v>
      </c>
      <c r="B6" s="19">
        <v>74400</v>
      </c>
    </row>
    <row r="7" spans="1:2">
      <c r="A7" t="s">
        <v>219</v>
      </c>
      <c r="B7" s="19">
        <v>1048879.69</v>
      </c>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5"/>
  <sheetViews>
    <sheetView workbookViewId="0">
      <selection activeCell="K22" sqref="K22"/>
    </sheetView>
  </sheetViews>
  <sheetFormatPr defaultColWidth="8.72727272727273" defaultRowHeight="14.5" outlineLevelCol="1"/>
  <cols>
    <col min="1" max="1" width="11.6363636363636"/>
    <col min="2" max="2" width="19.8181818181818"/>
  </cols>
  <sheetData>
    <row r="3" spans="1:2">
      <c r="A3" t="s">
        <v>220</v>
      </c>
      <c r="B3" t="s">
        <v>221</v>
      </c>
    </row>
    <row r="4" spans="1:2">
      <c r="A4" t="s">
        <v>222</v>
      </c>
      <c r="B4" s="19">
        <v>4403.9</v>
      </c>
    </row>
    <row r="5" spans="1:2">
      <c r="A5" t="s">
        <v>223</v>
      </c>
      <c r="B5" s="19">
        <v>3576.8</v>
      </c>
    </row>
    <row r="6" spans="1:2">
      <c r="A6" t="s">
        <v>224</v>
      </c>
      <c r="B6" s="19">
        <v>3296.12652173913</v>
      </c>
    </row>
    <row r="7" spans="1:2">
      <c r="A7" t="s">
        <v>225</v>
      </c>
      <c r="B7" s="19">
        <v>3063.9135483871</v>
      </c>
    </row>
    <row r="8" spans="1:2">
      <c r="A8" t="s">
        <v>226</v>
      </c>
      <c r="B8" s="19">
        <v>2962.903125</v>
      </c>
    </row>
    <row r="9" spans="1:2">
      <c r="A9" t="s">
        <v>227</v>
      </c>
      <c r="B9" s="19">
        <v>2850.76466666667</v>
      </c>
    </row>
    <row r="10" spans="1:2">
      <c r="A10" t="s">
        <v>228</v>
      </c>
      <c r="B10" s="19">
        <v>2810.57298701299</v>
      </c>
    </row>
    <row r="11" spans="1:2">
      <c r="A11" t="s">
        <v>229</v>
      </c>
      <c r="B11" s="19">
        <v>2809.67676190476</v>
      </c>
    </row>
    <row r="12" spans="1:2">
      <c r="A12" t="s">
        <v>230</v>
      </c>
      <c r="B12" s="19">
        <v>2803.0559375</v>
      </c>
    </row>
    <row r="13" spans="1:2">
      <c r="A13" t="s">
        <v>231</v>
      </c>
      <c r="B13" s="19">
        <v>2725.6780952381</v>
      </c>
    </row>
    <row r="14" spans="1:2">
      <c r="A14" t="s">
        <v>232</v>
      </c>
      <c r="B14" s="19">
        <v>2451.27703703704</v>
      </c>
    </row>
    <row r="15" spans="1:2">
      <c r="A15" t="s">
        <v>219</v>
      </c>
      <c r="B15" s="19">
        <v>2857.98280653951</v>
      </c>
    </row>
  </sheetData>
  <pageMargins left="0.75" right="0.75" top="1" bottom="1" header="0.5" footer="0.5"/>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workbookViewId="0">
      <selection activeCell="B5" sqref="B5"/>
    </sheetView>
  </sheetViews>
  <sheetFormatPr defaultColWidth="8.72727272727273" defaultRowHeight="14.5" outlineLevelRow="6" outlineLevelCol="1"/>
  <cols>
    <col min="1" max="1" width="11.6363636363636"/>
    <col min="2" max="2" width="25.2727272727273"/>
  </cols>
  <sheetData>
    <row r="3" spans="1:2">
      <c r="A3" t="s">
        <v>233</v>
      </c>
      <c r="B3" t="s">
        <v>234</v>
      </c>
    </row>
    <row r="4" spans="1:2">
      <c r="A4">
        <v>2004</v>
      </c>
      <c r="B4" s="18">
        <v>220</v>
      </c>
    </row>
    <row r="5" spans="1:2">
      <c r="A5">
        <v>2003</v>
      </c>
      <c r="B5" s="18">
        <v>132</v>
      </c>
    </row>
    <row r="6" spans="1:2">
      <c r="A6">
        <v>2005</v>
      </c>
      <c r="B6" s="18">
        <v>15</v>
      </c>
    </row>
    <row r="7" spans="1:2">
      <c r="A7" t="s">
        <v>219</v>
      </c>
      <c r="B7" s="18">
        <v>367</v>
      </c>
    </row>
  </sheetData>
  <pageMargins left="0.75" right="0.75" top="1" bottom="1" header="0.5" footer="0.5"/>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95"/>
  <sheetViews>
    <sheetView workbookViewId="0">
      <selection activeCell="B9" sqref="B9"/>
    </sheetView>
  </sheetViews>
  <sheetFormatPr defaultColWidth="8.72727272727273" defaultRowHeight="14.5" outlineLevelCol="3"/>
  <cols>
    <col min="1" max="1" width="31.4545454545455"/>
    <col min="2" max="2" width="25.2727272727273"/>
    <col min="3" max="3" width="17.1818181818182" customWidth="1"/>
    <col min="4" max="4" width="13.0909090909091" customWidth="1"/>
  </cols>
  <sheetData>
    <row r="3" ht="15.5" spans="1:4">
      <c r="A3" s="16" t="s">
        <v>0</v>
      </c>
      <c r="B3" t="s">
        <v>234</v>
      </c>
      <c r="C3" s="17" t="s">
        <v>235</v>
      </c>
      <c r="D3" s="17" t="s">
        <v>236</v>
      </c>
    </row>
    <row r="4" spans="1:4">
      <c r="A4" t="s">
        <v>42</v>
      </c>
      <c r="B4">
        <v>55</v>
      </c>
      <c r="C4" t="str">
        <f>IF(B4&gt;20,"Loyal Customer","Regular Customer")</f>
        <v>Loyal Customer</v>
      </c>
      <c r="D4" t="str">
        <f>IF(B4&gt;20,"10% Discount","No Discount")</f>
        <v>10% Discount</v>
      </c>
    </row>
    <row r="5" spans="1:4">
      <c r="A5" t="s">
        <v>183</v>
      </c>
      <c r="B5">
        <v>50</v>
      </c>
      <c r="C5" t="str">
        <f t="shared" ref="C5:C36" si="0">IF(B5&gt;20,"Loyal Customer","Regular Customer")</f>
        <v>Loyal Customer</v>
      </c>
      <c r="D5" t="str">
        <f t="shared" ref="D5:D36" si="1">IF(B5&gt;20,"10% Discount","No Discount")</f>
        <v>10% Discount</v>
      </c>
    </row>
    <row r="6" spans="1:4">
      <c r="A6" t="s">
        <v>56</v>
      </c>
      <c r="B6">
        <v>29</v>
      </c>
      <c r="C6" t="str">
        <f t="shared" si="0"/>
        <v>Loyal Customer</v>
      </c>
      <c r="D6" t="str">
        <f t="shared" si="1"/>
        <v>10% Discount</v>
      </c>
    </row>
    <row r="7" spans="1:4">
      <c r="A7" t="s">
        <v>40</v>
      </c>
      <c r="B7">
        <v>27</v>
      </c>
      <c r="C7" t="str">
        <f t="shared" si="0"/>
        <v>Loyal Customer</v>
      </c>
      <c r="D7" t="str">
        <f t="shared" si="1"/>
        <v>10% Discount</v>
      </c>
    </row>
    <row r="8" spans="1:4">
      <c r="A8" t="s">
        <v>205</v>
      </c>
      <c r="B8">
        <v>23</v>
      </c>
      <c r="C8" t="str">
        <f t="shared" si="0"/>
        <v>Loyal Customer</v>
      </c>
      <c r="D8" t="str">
        <f t="shared" si="1"/>
        <v>10% Discount</v>
      </c>
    </row>
    <row r="9" spans="1:4">
      <c r="A9" t="s">
        <v>87</v>
      </c>
      <c r="B9">
        <v>22</v>
      </c>
      <c r="C9" t="str">
        <f t="shared" si="0"/>
        <v>Loyal Customer</v>
      </c>
      <c r="D9" t="str">
        <f t="shared" si="1"/>
        <v>10% Discount</v>
      </c>
    </row>
    <row r="10" spans="1:4">
      <c r="A10" t="s">
        <v>173</v>
      </c>
      <c r="B10">
        <v>22</v>
      </c>
      <c r="C10" t="str">
        <f t="shared" si="0"/>
        <v>Loyal Customer</v>
      </c>
      <c r="D10" t="str">
        <f t="shared" si="1"/>
        <v>10% Discount</v>
      </c>
    </row>
    <row r="11" spans="1:4">
      <c r="A11" t="s">
        <v>83</v>
      </c>
      <c r="B11">
        <v>21</v>
      </c>
      <c r="C11" t="str">
        <f t="shared" si="0"/>
        <v>Loyal Customer</v>
      </c>
      <c r="D11" t="str">
        <f t="shared" si="1"/>
        <v>10% Discount</v>
      </c>
    </row>
    <row r="12" spans="1:4">
      <c r="A12" t="s">
        <v>79</v>
      </c>
      <c r="B12">
        <v>20</v>
      </c>
      <c r="C12" t="str">
        <f t="shared" si="0"/>
        <v>Regular Customer</v>
      </c>
      <c r="D12" t="str">
        <f t="shared" si="1"/>
        <v>No Discount</v>
      </c>
    </row>
    <row r="13" spans="1:4">
      <c r="A13" t="s">
        <v>101</v>
      </c>
      <c r="B13">
        <v>18</v>
      </c>
      <c r="C13" t="str">
        <f t="shared" si="0"/>
        <v>Regular Customer</v>
      </c>
      <c r="D13" t="str">
        <f t="shared" si="1"/>
        <v>No Discount</v>
      </c>
    </row>
    <row r="14" spans="1:4">
      <c r="A14" t="s">
        <v>179</v>
      </c>
      <c r="B14">
        <v>16</v>
      </c>
      <c r="C14" t="str">
        <f t="shared" si="0"/>
        <v>Regular Customer</v>
      </c>
      <c r="D14" t="str">
        <f t="shared" si="1"/>
        <v>No Discount</v>
      </c>
    </row>
    <row r="15" spans="1:4">
      <c r="A15" t="s">
        <v>81</v>
      </c>
      <c r="B15">
        <v>15</v>
      </c>
      <c r="C15" t="str">
        <f t="shared" si="0"/>
        <v>Regular Customer</v>
      </c>
      <c r="D15" t="str">
        <f t="shared" si="1"/>
        <v>No Discount</v>
      </c>
    </row>
    <row r="16" spans="1:4">
      <c r="A16" t="s">
        <v>210</v>
      </c>
      <c r="B16">
        <v>14</v>
      </c>
      <c r="C16" t="str">
        <f t="shared" si="0"/>
        <v>Regular Customer</v>
      </c>
      <c r="D16" t="str">
        <f t="shared" si="1"/>
        <v>No Discount</v>
      </c>
    </row>
    <row r="17" spans="1:4">
      <c r="A17" t="s">
        <v>181</v>
      </c>
      <c r="B17">
        <v>13</v>
      </c>
      <c r="C17" t="str">
        <f t="shared" si="0"/>
        <v>Regular Customer</v>
      </c>
      <c r="D17" t="str">
        <f t="shared" si="1"/>
        <v>No Discount</v>
      </c>
    </row>
    <row r="18" spans="1:4">
      <c r="A18" t="s">
        <v>91</v>
      </c>
      <c r="B18">
        <v>11</v>
      </c>
      <c r="C18" t="str">
        <f t="shared" si="0"/>
        <v>Regular Customer</v>
      </c>
      <c r="D18" t="str">
        <f t="shared" si="1"/>
        <v>No Discount</v>
      </c>
    </row>
    <row r="19" spans="1:4">
      <c r="A19" t="s">
        <v>215</v>
      </c>
      <c r="B19">
        <v>8</v>
      </c>
      <c r="C19" t="str">
        <f t="shared" si="0"/>
        <v>Regular Customer</v>
      </c>
      <c r="D19" t="str">
        <f t="shared" si="1"/>
        <v>No Discount</v>
      </c>
    </row>
    <row r="20" spans="1:4">
      <c r="A20" t="s">
        <v>190</v>
      </c>
      <c r="B20">
        <v>3</v>
      </c>
      <c r="C20" t="str">
        <f t="shared" si="0"/>
        <v>Regular Customer</v>
      </c>
      <c r="D20" t="str">
        <f t="shared" si="1"/>
        <v>No Discount</v>
      </c>
    </row>
    <row r="21" spans="1:4">
      <c r="A21" t="s">
        <v>219</v>
      </c>
      <c r="B21">
        <v>367</v>
      </c>
      <c r="C21" t="str">
        <f t="shared" si="0"/>
        <v>Loyal Customer</v>
      </c>
      <c r="D21" t="str">
        <f t="shared" si="1"/>
        <v>10% Discount</v>
      </c>
    </row>
    <row r="22" spans="3:4">
      <c r="C22" t="str">
        <f t="shared" si="0"/>
        <v>Regular Customer</v>
      </c>
      <c r="D22" t="str">
        <f t="shared" si="1"/>
        <v>No Discount</v>
      </c>
    </row>
    <row r="23" spans="3:4">
      <c r="C23" t="str">
        <f t="shared" si="0"/>
        <v>Regular Customer</v>
      </c>
      <c r="D23" t="str">
        <f t="shared" si="1"/>
        <v>No Discount</v>
      </c>
    </row>
    <row r="24" spans="3:4">
      <c r="C24" t="str">
        <f t="shared" si="0"/>
        <v>Regular Customer</v>
      </c>
      <c r="D24" t="str">
        <f t="shared" si="1"/>
        <v>No Discount</v>
      </c>
    </row>
    <row r="25" spans="3:4">
      <c r="C25" t="str">
        <f t="shared" si="0"/>
        <v>Regular Customer</v>
      </c>
      <c r="D25" t="str">
        <f t="shared" si="1"/>
        <v>No Discount</v>
      </c>
    </row>
    <row r="26" spans="3:4">
      <c r="C26" t="str">
        <f t="shared" si="0"/>
        <v>Regular Customer</v>
      </c>
      <c r="D26" t="str">
        <f t="shared" si="1"/>
        <v>No Discount</v>
      </c>
    </row>
    <row r="27" spans="3:4">
      <c r="C27" t="str">
        <f t="shared" si="0"/>
        <v>Regular Customer</v>
      </c>
      <c r="D27" t="str">
        <f t="shared" si="1"/>
        <v>No Discount</v>
      </c>
    </row>
    <row r="28" spans="3:4">
      <c r="C28" t="str">
        <f t="shared" si="0"/>
        <v>Regular Customer</v>
      </c>
      <c r="D28" t="str">
        <f t="shared" si="1"/>
        <v>No Discount</v>
      </c>
    </row>
    <row r="29" spans="3:4">
      <c r="C29" t="str">
        <f t="shared" si="0"/>
        <v>Regular Customer</v>
      </c>
      <c r="D29" t="str">
        <f t="shared" si="1"/>
        <v>No Discount</v>
      </c>
    </row>
    <row r="30" spans="3:4">
      <c r="C30" t="str">
        <f t="shared" si="0"/>
        <v>Regular Customer</v>
      </c>
      <c r="D30" t="str">
        <f t="shared" si="1"/>
        <v>No Discount</v>
      </c>
    </row>
    <row r="31" spans="3:4">
      <c r="C31" t="str">
        <f t="shared" si="0"/>
        <v>Regular Customer</v>
      </c>
      <c r="D31" t="str">
        <f t="shared" si="1"/>
        <v>No Discount</v>
      </c>
    </row>
    <row r="32" spans="3:4">
      <c r="C32" t="str">
        <f t="shared" si="0"/>
        <v>Regular Customer</v>
      </c>
      <c r="D32" t="str">
        <f t="shared" si="1"/>
        <v>No Discount</v>
      </c>
    </row>
    <row r="33" spans="3:4">
      <c r="C33" t="str">
        <f t="shared" si="0"/>
        <v>Regular Customer</v>
      </c>
      <c r="D33" t="str">
        <f t="shared" si="1"/>
        <v>No Discount</v>
      </c>
    </row>
    <row r="34" spans="3:4">
      <c r="C34" t="str">
        <f t="shared" si="0"/>
        <v>Regular Customer</v>
      </c>
      <c r="D34" t="str">
        <f t="shared" si="1"/>
        <v>No Discount</v>
      </c>
    </row>
    <row r="35" spans="3:4">
      <c r="C35" t="str">
        <f t="shared" si="0"/>
        <v>Regular Customer</v>
      </c>
      <c r="D35" t="str">
        <f t="shared" si="1"/>
        <v>No Discount</v>
      </c>
    </row>
    <row r="36" spans="3:4">
      <c r="C36" t="str">
        <f t="shared" si="0"/>
        <v>Regular Customer</v>
      </c>
      <c r="D36" t="str">
        <f t="shared" si="1"/>
        <v>No Discount</v>
      </c>
    </row>
    <row r="37" spans="3:4">
      <c r="C37" t="str">
        <f t="shared" ref="C37:C68" si="2">IF(B37&gt;20,"Loyal Customer","Regular Customer")</f>
        <v>Regular Customer</v>
      </c>
      <c r="D37" t="str">
        <f t="shared" ref="D37:D68" si="3">IF(B37&gt;20,"10% Discount","No Discount")</f>
        <v>No Discount</v>
      </c>
    </row>
    <row r="38" spans="3:4">
      <c r="C38" t="str">
        <f t="shared" si="2"/>
        <v>Regular Customer</v>
      </c>
      <c r="D38" t="str">
        <f t="shared" si="3"/>
        <v>No Discount</v>
      </c>
    </row>
    <row r="39" spans="3:4">
      <c r="C39" t="str">
        <f t="shared" si="2"/>
        <v>Regular Customer</v>
      </c>
      <c r="D39" t="str">
        <f t="shared" si="3"/>
        <v>No Discount</v>
      </c>
    </row>
    <row r="40" spans="3:4">
      <c r="C40" t="str">
        <f t="shared" si="2"/>
        <v>Regular Customer</v>
      </c>
      <c r="D40" t="str">
        <f t="shared" si="3"/>
        <v>No Discount</v>
      </c>
    </row>
    <row r="41" spans="3:4">
      <c r="C41" t="str">
        <f t="shared" si="2"/>
        <v>Regular Customer</v>
      </c>
      <c r="D41" t="str">
        <f t="shared" si="3"/>
        <v>No Discount</v>
      </c>
    </row>
    <row r="42" spans="3:4">
      <c r="C42" t="str">
        <f t="shared" si="2"/>
        <v>Regular Customer</v>
      </c>
      <c r="D42" t="str">
        <f t="shared" si="3"/>
        <v>No Discount</v>
      </c>
    </row>
    <row r="43" spans="3:4">
      <c r="C43" t="str">
        <f t="shared" si="2"/>
        <v>Regular Customer</v>
      </c>
      <c r="D43" t="str">
        <f t="shared" si="3"/>
        <v>No Discount</v>
      </c>
    </row>
    <row r="44" spans="3:4">
      <c r="C44" t="str">
        <f t="shared" si="2"/>
        <v>Regular Customer</v>
      </c>
      <c r="D44" t="str">
        <f t="shared" si="3"/>
        <v>No Discount</v>
      </c>
    </row>
    <row r="45" spans="3:4">
      <c r="C45" t="str">
        <f t="shared" si="2"/>
        <v>Regular Customer</v>
      </c>
      <c r="D45" t="str">
        <f t="shared" si="3"/>
        <v>No Discount</v>
      </c>
    </row>
    <row r="46" spans="3:4">
      <c r="C46" t="str">
        <f t="shared" si="2"/>
        <v>Regular Customer</v>
      </c>
      <c r="D46" t="str">
        <f t="shared" si="3"/>
        <v>No Discount</v>
      </c>
    </row>
    <row r="47" spans="3:4">
      <c r="C47" t="str">
        <f t="shared" si="2"/>
        <v>Regular Customer</v>
      </c>
      <c r="D47" t="str">
        <f t="shared" si="3"/>
        <v>No Discount</v>
      </c>
    </row>
    <row r="48" spans="3:4">
      <c r="C48" t="str">
        <f t="shared" si="2"/>
        <v>Regular Customer</v>
      </c>
      <c r="D48" t="str">
        <f t="shared" si="3"/>
        <v>No Discount</v>
      </c>
    </row>
    <row r="49" spans="3:4">
      <c r="C49" t="str">
        <f t="shared" si="2"/>
        <v>Regular Customer</v>
      </c>
      <c r="D49" t="str">
        <f t="shared" si="3"/>
        <v>No Discount</v>
      </c>
    </row>
    <row r="50" spans="3:4">
      <c r="C50" t="str">
        <f t="shared" si="2"/>
        <v>Regular Customer</v>
      </c>
      <c r="D50" t="str">
        <f t="shared" si="3"/>
        <v>No Discount</v>
      </c>
    </row>
    <row r="51" spans="3:4">
      <c r="C51" t="str">
        <f t="shared" si="2"/>
        <v>Regular Customer</v>
      </c>
      <c r="D51" t="str">
        <f t="shared" si="3"/>
        <v>No Discount</v>
      </c>
    </row>
    <row r="52" spans="3:4">
      <c r="C52" t="str">
        <f t="shared" si="2"/>
        <v>Regular Customer</v>
      </c>
      <c r="D52" t="str">
        <f t="shared" si="3"/>
        <v>No Discount</v>
      </c>
    </row>
    <row r="53" spans="3:4">
      <c r="C53" t="str">
        <f t="shared" si="2"/>
        <v>Regular Customer</v>
      </c>
      <c r="D53" t="str">
        <f t="shared" si="3"/>
        <v>No Discount</v>
      </c>
    </row>
    <row r="54" spans="3:4">
      <c r="C54" t="str">
        <f t="shared" si="2"/>
        <v>Regular Customer</v>
      </c>
      <c r="D54" t="str">
        <f t="shared" si="3"/>
        <v>No Discount</v>
      </c>
    </row>
    <row r="55" spans="3:4">
      <c r="C55" t="str">
        <f t="shared" si="2"/>
        <v>Regular Customer</v>
      </c>
      <c r="D55" t="str">
        <f t="shared" si="3"/>
        <v>No Discount</v>
      </c>
    </row>
    <row r="56" spans="3:4">
      <c r="C56" t="str">
        <f t="shared" si="2"/>
        <v>Regular Customer</v>
      </c>
      <c r="D56" t="str">
        <f t="shared" si="3"/>
        <v>No Discount</v>
      </c>
    </row>
    <row r="57" spans="3:4">
      <c r="C57" t="str">
        <f t="shared" si="2"/>
        <v>Regular Customer</v>
      </c>
      <c r="D57" t="str">
        <f t="shared" si="3"/>
        <v>No Discount</v>
      </c>
    </row>
    <row r="58" spans="3:4">
      <c r="C58" t="str">
        <f t="shared" si="2"/>
        <v>Regular Customer</v>
      </c>
      <c r="D58" t="str">
        <f t="shared" si="3"/>
        <v>No Discount</v>
      </c>
    </row>
    <row r="59" spans="3:4">
      <c r="C59" t="str">
        <f t="shared" si="2"/>
        <v>Regular Customer</v>
      </c>
      <c r="D59" t="str">
        <f t="shared" si="3"/>
        <v>No Discount</v>
      </c>
    </row>
    <row r="60" spans="3:4">
      <c r="C60" t="str">
        <f t="shared" si="2"/>
        <v>Regular Customer</v>
      </c>
      <c r="D60" t="str">
        <f t="shared" si="3"/>
        <v>No Discount</v>
      </c>
    </row>
    <row r="61" spans="3:4">
      <c r="C61" t="str">
        <f t="shared" si="2"/>
        <v>Regular Customer</v>
      </c>
      <c r="D61" t="str">
        <f t="shared" si="3"/>
        <v>No Discount</v>
      </c>
    </row>
    <row r="62" spans="3:4">
      <c r="C62" t="str">
        <f t="shared" si="2"/>
        <v>Regular Customer</v>
      </c>
      <c r="D62" t="str">
        <f t="shared" si="3"/>
        <v>No Discount</v>
      </c>
    </row>
    <row r="63" spans="3:4">
      <c r="C63" t="str">
        <f t="shared" si="2"/>
        <v>Regular Customer</v>
      </c>
      <c r="D63" t="str">
        <f t="shared" si="3"/>
        <v>No Discount</v>
      </c>
    </row>
    <row r="64" spans="3:4">
      <c r="C64" t="str">
        <f t="shared" si="2"/>
        <v>Regular Customer</v>
      </c>
      <c r="D64" t="str">
        <f t="shared" si="3"/>
        <v>No Discount</v>
      </c>
    </row>
    <row r="65" spans="3:4">
      <c r="C65" t="str">
        <f t="shared" si="2"/>
        <v>Regular Customer</v>
      </c>
      <c r="D65" t="str">
        <f t="shared" si="3"/>
        <v>No Discount</v>
      </c>
    </row>
    <row r="66" spans="3:4">
      <c r="C66" t="str">
        <f t="shared" si="2"/>
        <v>Regular Customer</v>
      </c>
      <c r="D66" t="str">
        <f t="shared" si="3"/>
        <v>No Discount</v>
      </c>
    </row>
    <row r="67" spans="3:4">
      <c r="C67" t="str">
        <f t="shared" si="2"/>
        <v>Regular Customer</v>
      </c>
      <c r="D67" t="str">
        <f t="shared" si="3"/>
        <v>No Discount</v>
      </c>
    </row>
    <row r="68" spans="3:4">
      <c r="C68" t="str">
        <f t="shared" si="2"/>
        <v>Regular Customer</v>
      </c>
      <c r="D68" t="str">
        <f t="shared" si="3"/>
        <v>No Discount</v>
      </c>
    </row>
    <row r="69" spans="3:4">
      <c r="C69" t="str">
        <f t="shared" ref="C69:C95" si="4">IF(B69&gt;20,"Loyal Customer","Regular Customer")</f>
        <v>Regular Customer</v>
      </c>
      <c r="D69" t="str">
        <f t="shared" ref="D69:D96" si="5">IF(B69&gt;20,"10% Discount","No Discount")</f>
        <v>No Discount</v>
      </c>
    </row>
    <row r="70" spans="3:4">
      <c r="C70" t="str">
        <f t="shared" si="4"/>
        <v>Regular Customer</v>
      </c>
      <c r="D70" t="str">
        <f t="shared" si="5"/>
        <v>No Discount</v>
      </c>
    </row>
    <row r="71" spans="3:4">
      <c r="C71" t="str">
        <f t="shared" si="4"/>
        <v>Regular Customer</v>
      </c>
      <c r="D71" t="str">
        <f t="shared" si="5"/>
        <v>No Discount</v>
      </c>
    </row>
    <row r="72" spans="3:4">
      <c r="C72" t="str">
        <f t="shared" si="4"/>
        <v>Regular Customer</v>
      </c>
      <c r="D72" t="str">
        <f t="shared" si="5"/>
        <v>No Discount</v>
      </c>
    </row>
    <row r="73" spans="3:4">
      <c r="C73" t="str">
        <f t="shared" si="4"/>
        <v>Regular Customer</v>
      </c>
      <c r="D73" t="str">
        <f t="shared" si="5"/>
        <v>No Discount</v>
      </c>
    </row>
    <row r="74" spans="3:4">
      <c r="C74" t="str">
        <f t="shared" si="4"/>
        <v>Regular Customer</v>
      </c>
      <c r="D74" t="str">
        <f t="shared" si="5"/>
        <v>No Discount</v>
      </c>
    </row>
    <row r="75" spans="3:4">
      <c r="C75" t="str">
        <f t="shared" si="4"/>
        <v>Regular Customer</v>
      </c>
      <c r="D75" t="str">
        <f t="shared" si="5"/>
        <v>No Discount</v>
      </c>
    </row>
    <row r="76" spans="3:4">
      <c r="C76" t="str">
        <f t="shared" si="4"/>
        <v>Regular Customer</v>
      </c>
      <c r="D76" t="str">
        <f t="shared" si="5"/>
        <v>No Discount</v>
      </c>
    </row>
    <row r="77" spans="3:4">
      <c r="C77" t="str">
        <f t="shared" si="4"/>
        <v>Regular Customer</v>
      </c>
      <c r="D77" t="str">
        <f t="shared" si="5"/>
        <v>No Discount</v>
      </c>
    </row>
    <row r="78" spans="3:4">
      <c r="C78" t="str">
        <f t="shared" si="4"/>
        <v>Regular Customer</v>
      </c>
      <c r="D78" t="str">
        <f t="shared" si="5"/>
        <v>No Discount</v>
      </c>
    </row>
    <row r="79" spans="3:4">
      <c r="C79" t="str">
        <f t="shared" si="4"/>
        <v>Regular Customer</v>
      </c>
      <c r="D79" t="str">
        <f t="shared" si="5"/>
        <v>No Discount</v>
      </c>
    </row>
    <row r="80" spans="3:4">
      <c r="C80" t="str">
        <f t="shared" si="4"/>
        <v>Regular Customer</v>
      </c>
      <c r="D80" t="str">
        <f t="shared" si="5"/>
        <v>No Discount</v>
      </c>
    </row>
    <row r="81" spans="3:4">
      <c r="C81" t="str">
        <f t="shared" si="4"/>
        <v>Regular Customer</v>
      </c>
      <c r="D81" t="str">
        <f t="shared" si="5"/>
        <v>No Discount</v>
      </c>
    </row>
    <row r="82" spans="3:4">
      <c r="C82" t="str">
        <f t="shared" si="4"/>
        <v>Regular Customer</v>
      </c>
      <c r="D82" t="str">
        <f t="shared" si="5"/>
        <v>No Discount</v>
      </c>
    </row>
    <row r="83" spans="3:4">
      <c r="C83" t="str">
        <f t="shared" si="4"/>
        <v>Regular Customer</v>
      </c>
      <c r="D83" t="str">
        <f t="shared" si="5"/>
        <v>No Discount</v>
      </c>
    </row>
    <row r="84" spans="3:4">
      <c r="C84" t="str">
        <f t="shared" si="4"/>
        <v>Regular Customer</v>
      </c>
      <c r="D84" t="str">
        <f t="shared" si="5"/>
        <v>No Discount</v>
      </c>
    </row>
    <row r="85" spans="3:4">
      <c r="C85" t="str">
        <f t="shared" si="4"/>
        <v>Regular Customer</v>
      </c>
      <c r="D85" t="str">
        <f t="shared" si="5"/>
        <v>No Discount</v>
      </c>
    </row>
    <row r="86" spans="3:4">
      <c r="C86" t="str">
        <f t="shared" si="4"/>
        <v>Regular Customer</v>
      </c>
      <c r="D86" t="str">
        <f t="shared" si="5"/>
        <v>No Discount</v>
      </c>
    </row>
    <row r="87" spans="3:4">
      <c r="C87" t="str">
        <f t="shared" si="4"/>
        <v>Regular Customer</v>
      </c>
      <c r="D87" t="str">
        <f t="shared" si="5"/>
        <v>No Discount</v>
      </c>
    </row>
    <row r="88" spans="3:4">
      <c r="C88" t="str">
        <f t="shared" si="4"/>
        <v>Regular Customer</v>
      </c>
      <c r="D88" t="str">
        <f t="shared" si="5"/>
        <v>No Discount</v>
      </c>
    </row>
    <row r="89" spans="3:4">
      <c r="C89" t="str">
        <f t="shared" si="4"/>
        <v>Regular Customer</v>
      </c>
      <c r="D89" t="str">
        <f t="shared" si="5"/>
        <v>No Discount</v>
      </c>
    </row>
    <row r="90" spans="3:4">
      <c r="C90" t="str">
        <f t="shared" si="4"/>
        <v>Regular Customer</v>
      </c>
      <c r="D90" t="str">
        <f t="shared" si="5"/>
        <v>No Discount</v>
      </c>
    </row>
    <row r="91" spans="3:4">
      <c r="C91" t="str">
        <f t="shared" si="4"/>
        <v>Regular Customer</v>
      </c>
      <c r="D91" t="str">
        <f t="shared" si="5"/>
        <v>No Discount</v>
      </c>
    </row>
    <row r="92" spans="3:4">
      <c r="C92" t="str">
        <f t="shared" si="4"/>
        <v>Regular Customer</v>
      </c>
      <c r="D92" t="str">
        <f t="shared" si="5"/>
        <v>No Discount</v>
      </c>
    </row>
    <row r="93" spans="3:4">
      <c r="C93" t="str">
        <f t="shared" si="4"/>
        <v>Regular Customer</v>
      </c>
      <c r="D93" t="str">
        <f t="shared" si="5"/>
        <v>No Discount</v>
      </c>
    </row>
    <row r="94" spans="3:4">
      <c r="C94" t="str">
        <f t="shared" si="4"/>
        <v>Regular Customer</v>
      </c>
      <c r="D94" t="str">
        <f t="shared" si="5"/>
        <v>No Discount</v>
      </c>
    </row>
    <row r="95" spans="3:4">
      <c r="C95" t="str">
        <f t="shared" si="4"/>
        <v>Regular Customer</v>
      </c>
      <c r="D95" t="str">
        <f t="shared" si="5"/>
        <v>No Discount</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82"/>
  <sheetViews>
    <sheetView tabSelected="1" zoomScale="75" zoomScaleNormal="75" topLeftCell="D1" workbookViewId="0">
      <selection activeCell="J13" sqref="J13"/>
    </sheetView>
  </sheetViews>
  <sheetFormatPr defaultColWidth="9" defaultRowHeight="14.5"/>
  <cols>
    <col min="1" max="1" width="27.1545454545455" style="2" customWidth="1"/>
    <col min="2" max="2" width="19.7454545454545" style="3" customWidth="1"/>
    <col min="3" max="3" width="23.3909090909091" style="3" customWidth="1"/>
    <col min="4" max="4" width="14.9" style="4" customWidth="1"/>
    <col min="5" max="5" width="16.3636363636364" style="5" customWidth="1"/>
    <col min="6" max="6" width="18.4272727272727" customWidth="1"/>
    <col min="7" max="7" width="17.5727272727273" style="2" customWidth="1"/>
    <col min="8" max="8" width="14" style="3" customWidth="1"/>
    <col min="9" max="9" width="12.9636363636364" style="6" customWidth="1"/>
    <col min="10" max="10" width="15.0272727272727" style="2" customWidth="1"/>
    <col min="11" max="11" width="26.9090909090909" style="2" customWidth="1"/>
    <col min="12" max="12" width="11.7545454545455" style="7" customWidth="1"/>
    <col min="13" max="13" width="11.1454545454545" style="2" customWidth="1"/>
  </cols>
  <sheetData>
    <row r="1" ht="15.5" spans="1:14">
      <c r="A1" s="8" t="s">
        <v>0</v>
      </c>
      <c r="B1" s="9" t="s">
        <v>1</v>
      </c>
      <c r="C1" s="9" t="s">
        <v>2</v>
      </c>
      <c r="D1" s="10" t="s">
        <v>3</v>
      </c>
      <c r="E1" s="11" t="s">
        <v>4</v>
      </c>
      <c r="F1" s="12" t="s">
        <v>5</v>
      </c>
      <c r="G1" s="8" t="s">
        <v>6</v>
      </c>
      <c r="H1" s="9" t="s">
        <v>7</v>
      </c>
      <c r="I1" s="14" t="s">
        <v>8</v>
      </c>
      <c r="J1" s="8" t="s">
        <v>9</v>
      </c>
      <c r="K1" s="8" t="s">
        <v>10</v>
      </c>
      <c r="L1" s="15" t="s">
        <v>237</v>
      </c>
      <c r="M1" s="2" t="s">
        <v>220</v>
      </c>
      <c r="N1" t="s">
        <v>233</v>
      </c>
    </row>
    <row r="2" spans="1:14">
      <c r="A2" s="2" t="s">
        <v>12</v>
      </c>
      <c r="B2" s="3">
        <v>10107</v>
      </c>
      <c r="C2" s="3">
        <v>30</v>
      </c>
      <c r="D2" s="13">
        <v>95.7</v>
      </c>
      <c r="E2" s="5">
        <v>37676</v>
      </c>
      <c r="F2" s="2" t="s">
        <v>13</v>
      </c>
      <c r="G2" s="2" t="s">
        <v>14</v>
      </c>
      <c r="H2" s="3">
        <v>1</v>
      </c>
      <c r="I2" s="6">
        <v>2003</v>
      </c>
      <c r="J2" s="2" t="s">
        <v>15</v>
      </c>
      <c r="K2" s="2" t="s">
        <v>16</v>
      </c>
      <c r="L2" s="7">
        <f t="shared" ref="L2:L65" si="0">PRODUCT(C2,D2)</f>
        <v>2871</v>
      </c>
      <c r="M2" s="2" t="str">
        <f t="shared" ref="M2:M65" si="1">TEXT(E2,"MMMM")</f>
        <v>February</v>
      </c>
      <c r="N2" s="6">
        <f t="shared" ref="N2:N65" si="2">YEAR(E2)</f>
        <v>2003</v>
      </c>
    </row>
    <row r="3" spans="1:14">
      <c r="A3" s="2" t="s">
        <v>18</v>
      </c>
      <c r="B3" s="3">
        <v>10121</v>
      </c>
      <c r="C3" s="3">
        <v>34</v>
      </c>
      <c r="D3" s="13">
        <v>81.35</v>
      </c>
      <c r="E3" s="5">
        <v>37748</v>
      </c>
      <c r="F3" s="2" t="s">
        <v>13</v>
      </c>
      <c r="G3" s="2" t="s">
        <v>14</v>
      </c>
      <c r="H3" s="3">
        <v>2</v>
      </c>
      <c r="I3" s="6">
        <v>2003</v>
      </c>
      <c r="J3" s="2" t="s">
        <v>15</v>
      </c>
      <c r="K3" s="2" t="s">
        <v>19</v>
      </c>
      <c r="L3" s="7">
        <f t="shared" si="0"/>
        <v>2765.9</v>
      </c>
      <c r="M3" s="2" t="str">
        <f t="shared" si="1"/>
        <v>May</v>
      </c>
      <c r="N3" s="6">
        <f t="shared" si="2"/>
        <v>2003</v>
      </c>
    </row>
    <row r="4" spans="1:14">
      <c r="A4" s="2" t="s">
        <v>21</v>
      </c>
      <c r="B4" s="3">
        <v>10134</v>
      </c>
      <c r="C4" s="3">
        <v>41</v>
      </c>
      <c r="D4" s="13">
        <v>94.74</v>
      </c>
      <c r="E4" s="5">
        <v>37803</v>
      </c>
      <c r="F4" s="2" t="s">
        <v>13</v>
      </c>
      <c r="G4" s="2" t="s">
        <v>14</v>
      </c>
      <c r="H4" s="3">
        <v>3</v>
      </c>
      <c r="I4" s="6">
        <v>2003</v>
      </c>
      <c r="J4" s="2" t="s">
        <v>22</v>
      </c>
      <c r="K4" s="2" t="s">
        <v>23</v>
      </c>
      <c r="L4" s="7">
        <f t="shared" si="0"/>
        <v>3884.34</v>
      </c>
      <c r="M4" s="2" t="str">
        <f t="shared" si="1"/>
        <v>July</v>
      </c>
      <c r="N4" s="6">
        <f t="shared" si="2"/>
        <v>2003</v>
      </c>
    </row>
    <row r="5" spans="1:14">
      <c r="A5" s="2" t="s">
        <v>25</v>
      </c>
      <c r="B5" s="3">
        <v>10145</v>
      </c>
      <c r="C5" s="3">
        <v>45</v>
      </c>
      <c r="D5" s="13">
        <v>83.26</v>
      </c>
      <c r="E5" s="5">
        <v>37858</v>
      </c>
      <c r="F5" s="2" t="s">
        <v>13</v>
      </c>
      <c r="G5" s="2" t="s">
        <v>14</v>
      </c>
      <c r="H5" s="3">
        <v>3</v>
      </c>
      <c r="I5" s="6">
        <v>2003</v>
      </c>
      <c r="J5" s="2" t="s">
        <v>22</v>
      </c>
      <c r="K5" s="2" t="s">
        <v>26</v>
      </c>
      <c r="L5" s="7">
        <f t="shared" si="0"/>
        <v>3746.7</v>
      </c>
      <c r="M5" s="2" t="str">
        <f t="shared" si="1"/>
        <v>August</v>
      </c>
      <c r="N5" s="6">
        <f t="shared" si="2"/>
        <v>2003</v>
      </c>
    </row>
    <row r="6" spans="1:14">
      <c r="A6" s="2" t="s">
        <v>28</v>
      </c>
      <c r="B6" s="3">
        <v>10159</v>
      </c>
      <c r="C6" s="3">
        <v>49</v>
      </c>
      <c r="D6" s="13">
        <v>100</v>
      </c>
      <c r="E6" s="5">
        <v>37904</v>
      </c>
      <c r="F6" s="2" t="s">
        <v>13</v>
      </c>
      <c r="G6" s="2" t="s">
        <v>14</v>
      </c>
      <c r="H6" s="3">
        <v>4</v>
      </c>
      <c r="I6" s="6">
        <v>2003</v>
      </c>
      <c r="J6" s="2" t="s">
        <v>22</v>
      </c>
      <c r="K6" s="2" t="s">
        <v>29</v>
      </c>
      <c r="L6" s="7">
        <f t="shared" si="0"/>
        <v>4900</v>
      </c>
      <c r="M6" s="2" t="str">
        <f t="shared" si="1"/>
        <v>October</v>
      </c>
      <c r="N6" s="6">
        <f t="shared" si="2"/>
        <v>2003</v>
      </c>
    </row>
    <row r="7" spans="1:14">
      <c r="A7" s="2" t="s">
        <v>31</v>
      </c>
      <c r="B7" s="3">
        <v>10168</v>
      </c>
      <c r="C7" s="3">
        <v>36</v>
      </c>
      <c r="D7" s="13">
        <v>96.66</v>
      </c>
      <c r="E7" s="5">
        <v>37922</v>
      </c>
      <c r="F7" s="2" t="s">
        <v>13</v>
      </c>
      <c r="G7" s="2" t="s">
        <v>14</v>
      </c>
      <c r="H7" s="3">
        <v>4</v>
      </c>
      <c r="I7" s="6">
        <v>2003</v>
      </c>
      <c r="J7" s="2" t="s">
        <v>22</v>
      </c>
      <c r="K7" s="2" t="s">
        <v>32</v>
      </c>
      <c r="L7" s="7">
        <f t="shared" si="0"/>
        <v>3479.76</v>
      </c>
      <c r="M7" s="2" t="str">
        <f t="shared" si="1"/>
        <v>October</v>
      </c>
      <c r="N7" s="6">
        <f t="shared" si="2"/>
        <v>2003</v>
      </c>
    </row>
    <row r="8" spans="1:14">
      <c r="A8" s="2" t="s">
        <v>34</v>
      </c>
      <c r="B8" s="3">
        <v>10180</v>
      </c>
      <c r="C8" s="3">
        <v>29</v>
      </c>
      <c r="D8" s="13">
        <v>86.13</v>
      </c>
      <c r="E8" s="5">
        <v>37936</v>
      </c>
      <c r="F8" s="2" t="s">
        <v>13</v>
      </c>
      <c r="G8" s="2" t="s">
        <v>14</v>
      </c>
      <c r="H8" s="3">
        <v>4</v>
      </c>
      <c r="I8" s="6">
        <v>2003</v>
      </c>
      <c r="J8" s="2" t="s">
        <v>15</v>
      </c>
      <c r="K8" s="2" t="s">
        <v>35</v>
      </c>
      <c r="L8" s="7">
        <f t="shared" si="0"/>
        <v>2497.77</v>
      </c>
      <c r="M8" s="2" t="str">
        <f t="shared" si="1"/>
        <v>November</v>
      </c>
      <c r="N8" s="6">
        <f t="shared" si="2"/>
        <v>2003</v>
      </c>
    </row>
    <row r="9" spans="1:14">
      <c r="A9" s="2" t="s">
        <v>36</v>
      </c>
      <c r="B9" s="3">
        <v>10188</v>
      </c>
      <c r="C9" s="3">
        <v>48</v>
      </c>
      <c r="D9" s="13">
        <v>100</v>
      </c>
      <c r="E9" s="5">
        <v>37943</v>
      </c>
      <c r="F9" s="2" t="s">
        <v>13</v>
      </c>
      <c r="G9" s="2" t="s">
        <v>14</v>
      </c>
      <c r="H9" s="3">
        <v>4</v>
      </c>
      <c r="I9" s="6">
        <v>2003</v>
      </c>
      <c r="J9" s="2" t="s">
        <v>22</v>
      </c>
      <c r="K9" s="2" t="s">
        <v>37</v>
      </c>
      <c r="L9" s="7">
        <f t="shared" si="0"/>
        <v>4800</v>
      </c>
      <c r="M9" s="2" t="str">
        <f t="shared" si="1"/>
        <v>November</v>
      </c>
      <c r="N9" s="6">
        <f t="shared" si="2"/>
        <v>2003</v>
      </c>
    </row>
    <row r="10" spans="1:14">
      <c r="A10" s="2" t="s">
        <v>38</v>
      </c>
      <c r="B10" s="3">
        <v>10201</v>
      </c>
      <c r="C10" s="3">
        <v>22</v>
      </c>
      <c r="D10" s="13">
        <v>98.57</v>
      </c>
      <c r="E10" s="5">
        <v>37956</v>
      </c>
      <c r="F10" s="2" t="s">
        <v>13</v>
      </c>
      <c r="G10" s="2" t="s">
        <v>14</v>
      </c>
      <c r="H10" s="3">
        <v>4</v>
      </c>
      <c r="I10" s="6">
        <v>2003</v>
      </c>
      <c r="J10" s="2" t="s">
        <v>15</v>
      </c>
      <c r="K10" s="2" t="s">
        <v>39</v>
      </c>
      <c r="L10" s="7">
        <f t="shared" si="0"/>
        <v>2168.54</v>
      </c>
      <c r="M10" s="2" t="str">
        <f t="shared" si="1"/>
        <v>December</v>
      </c>
      <c r="N10" s="6">
        <f t="shared" si="2"/>
        <v>2003</v>
      </c>
    </row>
    <row r="11" spans="1:14">
      <c r="A11" s="2" t="s">
        <v>40</v>
      </c>
      <c r="B11" s="3">
        <v>10211</v>
      </c>
      <c r="C11" s="3">
        <v>41</v>
      </c>
      <c r="D11" s="13">
        <v>100</v>
      </c>
      <c r="E11" s="5">
        <v>38001</v>
      </c>
      <c r="F11" s="2" t="s">
        <v>13</v>
      </c>
      <c r="G11" s="2" t="s">
        <v>14</v>
      </c>
      <c r="H11" s="3">
        <v>1</v>
      </c>
      <c r="I11" s="6">
        <v>2004</v>
      </c>
      <c r="J11" s="2" t="s">
        <v>22</v>
      </c>
      <c r="K11" s="2" t="s">
        <v>41</v>
      </c>
      <c r="L11" s="7">
        <f t="shared" si="0"/>
        <v>4100</v>
      </c>
      <c r="M11" s="2" t="str">
        <f t="shared" si="1"/>
        <v>January</v>
      </c>
      <c r="N11" s="6">
        <f t="shared" si="2"/>
        <v>2004</v>
      </c>
    </row>
    <row r="12" spans="1:14">
      <c r="A12" s="2" t="s">
        <v>42</v>
      </c>
      <c r="B12" s="3">
        <v>10223</v>
      </c>
      <c r="C12" s="3">
        <v>37</v>
      </c>
      <c r="D12" s="13">
        <v>100</v>
      </c>
      <c r="E12" s="5">
        <v>38037</v>
      </c>
      <c r="F12" s="2" t="s">
        <v>13</v>
      </c>
      <c r="G12" s="2" t="s">
        <v>14</v>
      </c>
      <c r="H12" s="3">
        <v>1</v>
      </c>
      <c r="I12" s="6">
        <v>2004</v>
      </c>
      <c r="J12" s="2" t="s">
        <v>22</v>
      </c>
      <c r="K12" s="2" t="s">
        <v>43</v>
      </c>
      <c r="L12" s="7">
        <f t="shared" si="0"/>
        <v>3700</v>
      </c>
      <c r="M12" s="2" t="str">
        <f t="shared" si="1"/>
        <v>February</v>
      </c>
      <c r="N12" s="6">
        <f t="shared" si="2"/>
        <v>2004</v>
      </c>
    </row>
    <row r="13" spans="1:14">
      <c r="A13" s="2" t="s">
        <v>44</v>
      </c>
      <c r="B13" s="3">
        <v>10237</v>
      </c>
      <c r="C13" s="3">
        <v>23</v>
      </c>
      <c r="D13" s="13">
        <v>100</v>
      </c>
      <c r="E13" s="5">
        <v>38082</v>
      </c>
      <c r="F13" s="2" t="s">
        <v>13</v>
      </c>
      <c r="G13" s="2" t="s">
        <v>14</v>
      </c>
      <c r="H13" s="3">
        <v>2</v>
      </c>
      <c r="I13" s="6">
        <v>2004</v>
      </c>
      <c r="J13" s="2" t="s">
        <v>15</v>
      </c>
      <c r="K13" s="2" t="s">
        <v>45</v>
      </c>
      <c r="L13" s="7">
        <f t="shared" si="0"/>
        <v>2300</v>
      </c>
      <c r="M13" s="2" t="str">
        <f t="shared" si="1"/>
        <v>April</v>
      </c>
      <c r="N13" s="6">
        <f t="shared" si="2"/>
        <v>2004</v>
      </c>
    </row>
    <row r="14" spans="1:14">
      <c r="A14" s="2" t="s">
        <v>46</v>
      </c>
      <c r="B14" s="3">
        <v>10251</v>
      </c>
      <c r="C14" s="3">
        <v>28</v>
      </c>
      <c r="D14" s="13">
        <v>100</v>
      </c>
      <c r="E14" s="5">
        <v>38125</v>
      </c>
      <c r="F14" s="2" t="s">
        <v>13</v>
      </c>
      <c r="G14" s="2" t="s">
        <v>14</v>
      </c>
      <c r="H14" s="3">
        <v>2</v>
      </c>
      <c r="I14" s="6">
        <v>2004</v>
      </c>
      <c r="J14" s="2" t="s">
        <v>22</v>
      </c>
      <c r="K14" s="2" t="s">
        <v>47</v>
      </c>
      <c r="L14" s="7">
        <f t="shared" si="0"/>
        <v>2800</v>
      </c>
      <c r="M14" s="2" t="str">
        <f t="shared" si="1"/>
        <v>May</v>
      </c>
      <c r="N14" s="6">
        <f t="shared" si="2"/>
        <v>2004</v>
      </c>
    </row>
    <row r="15" spans="1:14">
      <c r="A15" s="2" t="s">
        <v>48</v>
      </c>
      <c r="B15" s="3">
        <v>10263</v>
      </c>
      <c r="C15" s="3">
        <v>34</v>
      </c>
      <c r="D15" s="13">
        <v>100</v>
      </c>
      <c r="E15" s="5">
        <v>38166</v>
      </c>
      <c r="F15" s="2" t="s">
        <v>13</v>
      </c>
      <c r="G15" s="2" t="s">
        <v>14</v>
      </c>
      <c r="H15" s="3">
        <v>2</v>
      </c>
      <c r="I15" s="6">
        <v>2004</v>
      </c>
      <c r="J15" s="2" t="s">
        <v>22</v>
      </c>
      <c r="K15" s="2" t="s">
        <v>49</v>
      </c>
      <c r="L15" s="7">
        <f t="shared" si="0"/>
        <v>3400</v>
      </c>
      <c r="M15" s="2" t="str">
        <f t="shared" si="1"/>
        <v>June</v>
      </c>
      <c r="N15" s="6">
        <f t="shared" si="2"/>
        <v>2004</v>
      </c>
    </row>
    <row r="16" spans="1:14">
      <c r="A16" s="2" t="s">
        <v>50</v>
      </c>
      <c r="B16" s="3">
        <v>10275</v>
      </c>
      <c r="C16" s="3">
        <v>45</v>
      </c>
      <c r="D16" s="13">
        <v>92.83</v>
      </c>
      <c r="E16" s="5">
        <v>38191</v>
      </c>
      <c r="F16" s="2" t="s">
        <v>13</v>
      </c>
      <c r="G16" s="2" t="s">
        <v>14</v>
      </c>
      <c r="H16" s="3">
        <v>3</v>
      </c>
      <c r="I16" s="6">
        <v>2004</v>
      </c>
      <c r="J16" s="2" t="s">
        <v>22</v>
      </c>
      <c r="K16" s="2" t="s">
        <v>51</v>
      </c>
      <c r="L16" s="7">
        <f t="shared" si="0"/>
        <v>4177.35</v>
      </c>
      <c r="M16" s="2" t="str">
        <f t="shared" si="1"/>
        <v>July</v>
      </c>
      <c r="N16" s="6">
        <f t="shared" si="2"/>
        <v>2004</v>
      </c>
    </row>
    <row r="17" spans="1:14">
      <c r="A17" s="2" t="s">
        <v>52</v>
      </c>
      <c r="B17" s="3">
        <v>10285</v>
      </c>
      <c r="C17" s="3">
        <v>36</v>
      </c>
      <c r="D17" s="13">
        <v>100</v>
      </c>
      <c r="E17" s="5">
        <v>38226</v>
      </c>
      <c r="F17" s="2" t="s">
        <v>13</v>
      </c>
      <c r="G17" s="2" t="s">
        <v>14</v>
      </c>
      <c r="H17" s="3">
        <v>3</v>
      </c>
      <c r="I17" s="6">
        <v>2004</v>
      </c>
      <c r="J17" s="2" t="s">
        <v>22</v>
      </c>
      <c r="K17" s="2" t="s">
        <v>53</v>
      </c>
      <c r="L17" s="7">
        <f t="shared" si="0"/>
        <v>3600</v>
      </c>
      <c r="M17" s="2" t="str">
        <f t="shared" si="1"/>
        <v>August</v>
      </c>
      <c r="N17" s="6">
        <f t="shared" si="2"/>
        <v>2004</v>
      </c>
    </row>
    <row r="18" spans="1:14">
      <c r="A18" s="2" t="s">
        <v>54</v>
      </c>
      <c r="B18" s="3">
        <v>10299</v>
      </c>
      <c r="C18" s="3">
        <v>23</v>
      </c>
      <c r="D18" s="13">
        <v>100</v>
      </c>
      <c r="E18" s="5">
        <v>38260</v>
      </c>
      <c r="F18" s="2" t="s">
        <v>13</v>
      </c>
      <c r="G18" s="2" t="s">
        <v>14</v>
      </c>
      <c r="H18" s="3">
        <v>3</v>
      </c>
      <c r="I18" s="6">
        <v>2004</v>
      </c>
      <c r="J18" s="2" t="s">
        <v>15</v>
      </c>
      <c r="K18" s="2" t="s">
        <v>55</v>
      </c>
      <c r="L18" s="7">
        <f t="shared" si="0"/>
        <v>2300</v>
      </c>
      <c r="M18" s="2" t="str">
        <f t="shared" si="1"/>
        <v>September</v>
      </c>
      <c r="N18" s="6">
        <f t="shared" si="2"/>
        <v>2004</v>
      </c>
    </row>
    <row r="19" spans="1:14">
      <c r="A19" s="2" t="s">
        <v>56</v>
      </c>
      <c r="B19" s="3">
        <v>10309</v>
      </c>
      <c r="C19" s="3">
        <v>41</v>
      </c>
      <c r="D19" s="13">
        <v>100</v>
      </c>
      <c r="E19" s="5">
        <v>38275</v>
      </c>
      <c r="F19" s="2" t="s">
        <v>13</v>
      </c>
      <c r="G19" s="2" t="s">
        <v>14</v>
      </c>
      <c r="H19" s="3">
        <v>4</v>
      </c>
      <c r="I19" s="6">
        <v>2004</v>
      </c>
      <c r="J19" s="2" t="s">
        <v>22</v>
      </c>
      <c r="K19" s="2" t="s">
        <v>57</v>
      </c>
      <c r="L19" s="7">
        <f t="shared" si="0"/>
        <v>4100</v>
      </c>
      <c r="M19" s="2" t="str">
        <f t="shared" si="1"/>
        <v>October</v>
      </c>
      <c r="N19" s="6">
        <f t="shared" si="2"/>
        <v>2004</v>
      </c>
    </row>
    <row r="20" spans="1:14">
      <c r="A20" s="2" t="s">
        <v>58</v>
      </c>
      <c r="B20" s="3">
        <v>10318</v>
      </c>
      <c r="C20" s="3">
        <v>46</v>
      </c>
      <c r="D20" s="13">
        <v>94.74</v>
      </c>
      <c r="E20" s="5">
        <v>38293</v>
      </c>
      <c r="F20" s="2" t="s">
        <v>13</v>
      </c>
      <c r="G20" s="2" t="s">
        <v>14</v>
      </c>
      <c r="H20" s="3">
        <v>4</v>
      </c>
      <c r="I20" s="6">
        <v>2004</v>
      </c>
      <c r="J20" s="2" t="s">
        <v>22</v>
      </c>
      <c r="K20" s="2" t="s">
        <v>59</v>
      </c>
      <c r="L20" s="7">
        <f t="shared" si="0"/>
        <v>4358.04</v>
      </c>
      <c r="M20" s="2" t="str">
        <f t="shared" si="1"/>
        <v>November</v>
      </c>
      <c r="N20" s="6">
        <f t="shared" si="2"/>
        <v>2004</v>
      </c>
    </row>
    <row r="21" spans="1:14">
      <c r="A21" s="2" t="s">
        <v>12</v>
      </c>
      <c r="B21" s="3">
        <v>10329</v>
      </c>
      <c r="C21" s="3">
        <v>42</v>
      </c>
      <c r="D21" s="13">
        <v>100</v>
      </c>
      <c r="E21" s="5">
        <v>38306</v>
      </c>
      <c r="F21" s="2" t="s">
        <v>13</v>
      </c>
      <c r="G21" s="2" t="s">
        <v>14</v>
      </c>
      <c r="H21" s="3">
        <v>4</v>
      </c>
      <c r="I21" s="6">
        <v>2004</v>
      </c>
      <c r="J21" s="2" t="s">
        <v>22</v>
      </c>
      <c r="K21" s="2" t="s">
        <v>16</v>
      </c>
      <c r="L21" s="7">
        <f t="shared" si="0"/>
        <v>4200</v>
      </c>
      <c r="M21" s="2" t="str">
        <f t="shared" si="1"/>
        <v>November</v>
      </c>
      <c r="N21" s="6">
        <f t="shared" si="2"/>
        <v>2004</v>
      </c>
    </row>
    <row r="22" spans="1:14">
      <c r="A22" s="2" t="s">
        <v>60</v>
      </c>
      <c r="B22" s="3">
        <v>10341</v>
      </c>
      <c r="C22" s="3">
        <v>41</v>
      </c>
      <c r="D22" s="13">
        <v>100</v>
      </c>
      <c r="E22" s="5">
        <v>38315</v>
      </c>
      <c r="F22" s="2" t="s">
        <v>13</v>
      </c>
      <c r="G22" s="2" t="s">
        <v>14</v>
      </c>
      <c r="H22" s="3">
        <v>4</v>
      </c>
      <c r="I22" s="6">
        <v>2004</v>
      </c>
      <c r="J22" s="2" t="s">
        <v>61</v>
      </c>
      <c r="K22" s="2" t="s">
        <v>62</v>
      </c>
      <c r="L22" s="7">
        <f t="shared" si="0"/>
        <v>4100</v>
      </c>
      <c r="M22" s="2" t="str">
        <f t="shared" si="1"/>
        <v>November</v>
      </c>
      <c r="N22" s="6">
        <f t="shared" si="2"/>
        <v>2004</v>
      </c>
    </row>
    <row r="23" spans="1:14">
      <c r="A23" s="2" t="s">
        <v>63</v>
      </c>
      <c r="B23" s="3">
        <v>10361</v>
      </c>
      <c r="C23" s="3">
        <v>20</v>
      </c>
      <c r="D23" s="13">
        <v>72.55</v>
      </c>
      <c r="E23" s="5">
        <v>38338</v>
      </c>
      <c r="F23" s="2" t="s">
        <v>13</v>
      </c>
      <c r="G23" s="2" t="s">
        <v>14</v>
      </c>
      <c r="H23" s="3">
        <v>4</v>
      </c>
      <c r="I23" s="6">
        <v>2004</v>
      </c>
      <c r="J23" s="2" t="s">
        <v>15</v>
      </c>
      <c r="K23" s="2" t="s">
        <v>64</v>
      </c>
      <c r="L23" s="7">
        <f t="shared" si="0"/>
        <v>1451</v>
      </c>
      <c r="M23" s="2" t="str">
        <f t="shared" si="1"/>
        <v>December</v>
      </c>
      <c r="N23" s="6">
        <f t="shared" si="2"/>
        <v>2004</v>
      </c>
    </row>
    <row r="24" spans="1:14">
      <c r="A24" s="2" t="s">
        <v>50</v>
      </c>
      <c r="B24" s="3">
        <v>10375</v>
      </c>
      <c r="C24" s="3">
        <v>21</v>
      </c>
      <c r="D24" s="13">
        <v>34.91</v>
      </c>
      <c r="E24" s="5">
        <v>38386</v>
      </c>
      <c r="F24" s="2" t="s">
        <v>13</v>
      </c>
      <c r="G24" s="2" t="s">
        <v>14</v>
      </c>
      <c r="H24" s="3">
        <v>1</v>
      </c>
      <c r="I24" s="6">
        <v>2005</v>
      </c>
      <c r="J24" s="2" t="s">
        <v>15</v>
      </c>
      <c r="K24" s="2" t="s">
        <v>51</v>
      </c>
      <c r="L24" s="7">
        <f t="shared" si="0"/>
        <v>733.11</v>
      </c>
      <c r="M24" s="2" t="str">
        <f t="shared" si="1"/>
        <v>February</v>
      </c>
      <c r="N24" s="6">
        <f t="shared" si="2"/>
        <v>2005</v>
      </c>
    </row>
    <row r="25" spans="1:14">
      <c r="A25" s="2" t="s">
        <v>65</v>
      </c>
      <c r="B25" s="3">
        <v>10388</v>
      </c>
      <c r="C25" s="3">
        <v>42</v>
      </c>
      <c r="D25" s="13">
        <v>76.36</v>
      </c>
      <c r="E25" s="5">
        <v>38414</v>
      </c>
      <c r="F25" s="2" t="s">
        <v>13</v>
      </c>
      <c r="G25" s="2" t="s">
        <v>14</v>
      </c>
      <c r="H25" s="3">
        <v>1</v>
      </c>
      <c r="I25" s="6">
        <v>2005</v>
      </c>
      <c r="J25" s="2" t="s">
        <v>22</v>
      </c>
      <c r="K25" s="2" t="s">
        <v>66</v>
      </c>
      <c r="L25" s="7">
        <f t="shared" si="0"/>
        <v>3207.12</v>
      </c>
      <c r="M25" s="2" t="str">
        <f t="shared" si="1"/>
        <v>March</v>
      </c>
      <c r="N25" s="6">
        <f t="shared" si="2"/>
        <v>2005</v>
      </c>
    </row>
    <row r="26" spans="1:14">
      <c r="A26" s="2" t="s">
        <v>67</v>
      </c>
      <c r="B26" s="3">
        <v>10403</v>
      </c>
      <c r="C26" s="3">
        <v>24</v>
      </c>
      <c r="D26" s="13">
        <v>100</v>
      </c>
      <c r="E26" s="5">
        <v>38450</v>
      </c>
      <c r="F26" s="2" t="s">
        <v>13</v>
      </c>
      <c r="G26" s="2" t="s">
        <v>14</v>
      </c>
      <c r="H26" s="3">
        <v>2</v>
      </c>
      <c r="I26" s="6">
        <v>2005</v>
      </c>
      <c r="J26" s="2" t="s">
        <v>15</v>
      </c>
      <c r="K26" s="2" t="s">
        <v>68</v>
      </c>
      <c r="L26" s="7">
        <f t="shared" si="0"/>
        <v>2400</v>
      </c>
      <c r="M26" s="2" t="str">
        <f t="shared" si="1"/>
        <v>April</v>
      </c>
      <c r="N26" s="6">
        <f t="shared" si="2"/>
        <v>2005</v>
      </c>
    </row>
    <row r="27" spans="1:14">
      <c r="A27" s="2" t="s">
        <v>69</v>
      </c>
      <c r="B27" s="3">
        <v>10417</v>
      </c>
      <c r="C27" s="3">
        <v>66</v>
      </c>
      <c r="D27" s="13">
        <v>100</v>
      </c>
      <c r="E27" s="5">
        <v>38485</v>
      </c>
      <c r="F27" s="2" t="s">
        <v>70</v>
      </c>
      <c r="G27" s="2" t="s">
        <v>14</v>
      </c>
      <c r="H27" s="3">
        <v>2</v>
      </c>
      <c r="I27" s="6">
        <v>2005</v>
      </c>
      <c r="J27" s="2" t="s">
        <v>61</v>
      </c>
      <c r="K27" s="2" t="s">
        <v>71</v>
      </c>
      <c r="L27" s="7">
        <f t="shared" si="0"/>
        <v>6600</v>
      </c>
      <c r="M27" s="2" t="str">
        <f t="shared" si="1"/>
        <v>May</v>
      </c>
      <c r="N27" s="6">
        <f t="shared" si="2"/>
        <v>2005</v>
      </c>
    </row>
    <row r="28" spans="1:14">
      <c r="A28" s="2" t="s">
        <v>56</v>
      </c>
      <c r="B28" s="3">
        <v>10103</v>
      </c>
      <c r="C28" s="3">
        <v>26</v>
      </c>
      <c r="D28" s="13">
        <v>100</v>
      </c>
      <c r="E28" s="5">
        <v>37650</v>
      </c>
      <c r="F28" s="2" t="s">
        <v>13</v>
      </c>
      <c r="G28" s="2" t="s">
        <v>72</v>
      </c>
      <c r="H28" s="3">
        <v>1</v>
      </c>
      <c r="I28" s="6">
        <v>2003</v>
      </c>
      <c r="J28" s="2" t="s">
        <v>22</v>
      </c>
      <c r="K28" s="2" t="s">
        <v>57</v>
      </c>
      <c r="L28" s="7">
        <f t="shared" si="0"/>
        <v>2600</v>
      </c>
      <c r="M28" s="2" t="str">
        <f t="shared" si="1"/>
        <v>January</v>
      </c>
      <c r="N28" s="6">
        <f t="shared" si="2"/>
        <v>2003</v>
      </c>
    </row>
    <row r="29" spans="1:14">
      <c r="A29" s="2" t="s">
        <v>73</v>
      </c>
      <c r="B29" s="3">
        <v>10112</v>
      </c>
      <c r="C29" s="3">
        <v>29</v>
      </c>
      <c r="D29" s="13">
        <v>100</v>
      </c>
      <c r="E29" s="5">
        <v>37704</v>
      </c>
      <c r="F29" s="2" t="s">
        <v>13</v>
      </c>
      <c r="G29" s="2" t="s">
        <v>72</v>
      </c>
      <c r="H29" s="3">
        <v>1</v>
      </c>
      <c r="I29" s="6">
        <v>2003</v>
      </c>
      <c r="J29" s="2" t="s">
        <v>61</v>
      </c>
      <c r="K29" s="2" t="s">
        <v>74</v>
      </c>
      <c r="L29" s="7">
        <f t="shared" si="0"/>
        <v>2900</v>
      </c>
      <c r="M29" s="2" t="str">
        <f t="shared" si="1"/>
        <v>March</v>
      </c>
      <c r="N29" s="6">
        <f t="shared" si="2"/>
        <v>2003</v>
      </c>
    </row>
    <row r="30" spans="1:14">
      <c r="A30" s="2" t="s">
        <v>75</v>
      </c>
      <c r="B30" s="3">
        <v>10126</v>
      </c>
      <c r="C30" s="3">
        <v>38</v>
      </c>
      <c r="D30" s="13">
        <v>100</v>
      </c>
      <c r="E30" s="5">
        <v>37769</v>
      </c>
      <c r="F30" s="2" t="s">
        <v>13</v>
      </c>
      <c r="G30" s="2" t="s">
        <v>72</v>
      </c>
      <c r="H30" s="3">
        <v>2</v>
      </c>
      <c r="I30" s="6">
        <v>2003</v>
      </c>
      <c r="J30" s="2" t="s">
        <v>61</v>
      </c>
      <c r="K30" s="2" t="s">
        <v>76</v>
      </c>
      <c r="L30" s="7">
        <f t="shared" si="0"/>
        <v>3800</v>
      </c>
      <c r="M30" s="2" t="str">
        <f t="shared" si="1"/>
        <v>May</v>
      </c>
      <c r="N30" s="6">
        <f t="shared" si="2"/>
        <v>2003</v>
      </c>
    </row>
    <row r="31" spans="1:14">
      <c r="A31" s="2" t="s">
        <v>31</v>
      </c>
      <c r="B31" s="3">
        <v>10140</v>
      </c>
      <c r="C31" s="3">
        <v>37</v>
      </c>
      <c r="D31" s="13">
        <v>100</v>
      </c>
      <c r="E31" s="5">
        <v>37826</v>
      </c>
      <c r="F31" s="2" t="s">
        <v>13</v>
      </c>
      <c r="G31" s="2" t="s">
        <v>72</v>
      </c>
      <c r="H31" s="3">
        <v>3</v>
      </c>
      <c r="I31" s="6">
        <v>2003</v>
      </c>
      <c r="J31" s="2" t="s">
        <v>61</v>
      </c>
      <c r="K31" s="2" t="s">
        <v>32</v>
      </c>
      <c r="L31" s="7">
        <f t="shared" si="0"/>
        <v>3700</v>
      </c>
      <c r="M31" s="2" t="str">
        <f t="shared" si="1"/>
        <v>July</v>
      </c>
      <c r="N31" s="6">
        <f t="shared" si="2"/>
        <v>2003</v>
      </c>
    </row>
    <row r="32" spans="1:14">
      <c r="A32" s="2" t="s">
        <v>77</v>
      </c>
      <c r="B32" s="3">
        <v>10150</v>
      </c>
      <c r="C32" s="3">
        <v>45</v>
      </c>
      <c r="D32" s="13">
        <v>100</v>
      </c>
      <c r="E32" s="5">
        <v>37883</v>
      </c>
      <c r="F32" s="2" t="s">
        <v>13</v>
      </c>
      <c r="G32" s="2" t="s">
        <v>72</v>
      </c>
      <c r="H32" s="3">
        <v>3</v>
      </c>
      <c r="I32" s="6">
        <v>2003</v>
      </c>
      <c r="J32" s="2" t="s">
        <v>61</v>
      </c>
      <c r="K32" s="2" t="s">
        <v>78</v>
      </c>
      <c r="L32" s="7">
        <f t="shared" si="0"/>
        <v>4500</v>
      </c>
      <c r="M32" s="2" t="str">
        <f t="shared" si="1"/>
        <v>September</v>
      </c>
      <c r="N32" s="6">
        <f t="shared" si="2"/>
        <v>2003</v>
      </c>
    </row>
    <row r="33" spans="1:14">
      <c r="A33" s="2" t="s">
        <v>79</v>
      </c>
      <c r="B33" s="3">
        <v>10163</v>
      </c>
      <c r="C33" s="3">
        <v>21</v>
      </c>
      <c r="D33" s="13">
        <v>100</v>
      </c>
      <c r="E33" s="5">
        <v>37914</v>
      </c>
      <c r="F33" s="2" t="s">
        <v>13</v>
      </c>
      <c r="G33" s="2" t="s">
        <v>72</v>
      </c>
      <c r="H33" s="3">
        <v>4</v>
      </c>
      <c r="I33" s="6">
        <v>2003</v>
      </c>
      <c r="J33" s="2" t="s">
        <v>22</v>
      </c>
      <c r="K33" s="2" t="s">
        <v>80</v>
      </c>
      <c r="L33" s="7">
        <f t="shared" si="0"/>
        <v>2100</v>
      </c>
      <c r="M33" s="2" t="str">
        <f t="shared" si="1"/>
        <v>October</v>
      </c>
      <c r="N33" s="6">
        <f t="shared" si="2"/>
        <v>2003</v>
      </c>
    </row>
    <row r="34" spans="1:14">
      <c r="A34" s="2" t="s">
        <v>81</v>
      </c>
      <c r="B34" s="3">
        <v>10174</v>
      </c>
      <c r="C34" s="3">
        <v>34</v>
      </c>
      <c r="D34" s="13">
        <v>100</v>
      </c>
      <c r="E34" s="5">
        <v>37931</v>
      </c>
      <c r="F34" s="2" t="s">
        <v>13</v>
      </c>
      <c r="G34" s="2" t="s">
        <v>72</v>
      </c>
      <c r="H34" s="3">
        <v>4</v>
      </c>
      <c r="I34" s="6">
        <v>2003</v>
      </c>
      <c r="J34" s="2" t="s">
        <v>61</v>
      </c>
      <c r="K34" s="2" t="s">
        <v>82</v>
      </c>
      <c r="L34" s="7">
        <f t="shared" si="0"/>
        <v>3400</v>
      </c>
      <c r="M34" s="2" t="str">
        <f t="shared" si="1"/>
        <v>November</v>
      </c>
      <c r="N34" s="6">
        <f t="shared" si="2"/>
        <v>2003</v>
      </c>
    </row>
    <row r="35" spans="1:14">
      <c r="A35" s="2" t="s">
        <v>83</v>
      </c>
      <c r="B35" s="3">
        <v>10183</v>
      </c>
      <c r="C35" s="3">
        <v>23</v>
      </c>
      <c r="D35" s="13">
        <v>100</v>
      </c>
      <c r="E35" s="5">
        <v>37938</v>
      </c>
      <c r="F35" s="2" t="s">
        <v>13</v>
      </c>
      <c r="G35" s="2" t="s">
        <v>72</v>
      </c>
      <c r="H35" s="3">
        <v>4</v>
      </c>
      <c r="I35" s="6">
        <v>2003</v>
      </c>
      <c r="J35" s="2" t="s">
        <v>22</v>
      </c>
      <c r="K35" s="2" t="s">
        <v>84</v>
      </c>
      <c r="L35" s="7">
        <f t="shared" si="0"/>
        <v>2300</v>
      </c>
      <c r="M35" s="2" t="str">
        <f t="shared" si="1"/>
        <v>November</v>
      </c>
      <c r="N35" s="6">
        <f t="shared" si="2"/>
        <v>2003</v>
      </c>
    </row>
    <row r="36" spans="1:14">
      <c r="A36" s="2" t="s">
        <v>85</v>
      </c>
      <c r="B36" s="3">
        <v>10194</v>
      </c>
      <c r="C36" s="3">
        <v>42</v>
      </c>
      <c r="D36" s="13">
        <v>100</v>
      </c>
      <c r="E36" s="5">
        <v>37950</v>
      </c>
      <c r="F36" s="2" t="s">
        <v>13</v>
      </c>
      <c r="G36" s="2" t="s">
        <v>72</v>
      </c>
      <c r="H36" s="3">
        <v>4</v>
      </c>
      <c r="I36" s="6">
        <v>2003</v>
      </c>
      <c r="J36" s="2" t="s">
        <v>61</v>
      </c>
      <c r="K36" s="2" t="s">
        <v>86</v>
      </c>
      <c r="L36" s="7">
        <f t="shared" si="0"/>
        <v>4200</v>
      </c>
      <c r="M36" s="2" t="str">
        <f t="shared" si="1"/>
        <v>November</v>
      </c>
      <c r="N36" s="6">
        <f t="shared" si="2"/>
        <v>2003</v>
      </c>
    </row>
    <row r="37" spans="1:14">
      <c r="A37" s="2" t="s">
        <v>87</v>
      </c>
      <c r="B37" s="3">
        <v>10206</v>
      </c>
      <c r="C37" s="3">
        <v>47</v>
      </c>
      <c r="D37" s="13">
        <v>100</v>
      </c>
      <c r="E37" s="5">
        <v>37960</v>
      </c>
      <c r="F37" s="2" t="s">
        <v>13</v>
      </c>
      <c r="G37" s="2" t="s">
        <v>72</v>
      </c>
      <c r="H37" s="3">
        <v>4</v>
      </c>
      <c r="I37" s="6">
        <v>2003</v>
      </c>
      <c r="J37" s="2" t="s">
        <v>61</v>
      </c>
      <c r="K37" s="2" t="s">
        <v>88</v>
      </c>
      <c r="L37" s="7">
        <f t="shared" si="0"/>
        <v>4700</v>
      </c>
      <c r="M37" s="2" t="str">
        <f t="shared" si="1"/>
        <v>December</v>
      </c>
      <c r="N37" s="6">
        <f t="shared" si="2"/>
        <v>2003</v>
      </c>
    </row>
    <row r="38" spans="1:14">
      <c r="A38" s="2" t="s">
        <v>89</v>
      </c>
      <c r="B38" s="3">
        <v>10215</v>
      </c>
      <c r="C38" s="3">
        <v>35</v>
      </c>
      <c r="D38" s="13">
        <v>100</v>
      </c>
      <c r="E38" s="5">
        <v>38015</v>
      </c>
      <c r="F38" s="2" t="s">
        <v>13</v>
      </c>
      <c r="G38" s="2" t="s">
        <v>72</v>
      </c>
      <c r="H38" s="3">
        <v>1</v>
      </c>
      <c r="I38" s="6">
        <v>2004</v>
      </c>
      <c r="J38" s="2" t="s">
        <v>22</v>
      </c>
      <c r="K38" s="2" t="s">
        <v>90</v>
      </c>
      <c r="L38" s="7">
        <f t="shared" si="0"/>
        <v>3500</v>
      </c>
      <c r="M38" s="2" t="str">
        <f t="shared" si="1"/>
        <v>January</v>
      </c>
      <c r="N38" s="6">
        <f t="shared" si="2"/>
        <v>2004</v>
      </c>
    </row>
    <row r="39" spans="1:14">
      <c r="A39" s="2" t="s">
        <v>91</v>
      </c>
      <c r="B39" s="3">
        <v>10228</v>
      </c>
      <c r="C39" s="3">
        <v>29</v>
      </c>
      <c r="D39" s="13">
        <v>100</v>
      </c>
      <c r="E39" s="5">
        <v>38056</v>
      </c>
      <c r="F39" s="2" t="s">
        <v>13</v>
      </c>
      <c r="G39" s="2" t="s">
        <v>72</v>
      </c>
      <c r="H39" s="3">
        <v>1</v>
      </c>
      <c r="I39" s="6">
        <v>2004</v>
      </c>
      <c r="J39" s="2" t="s">
        <v>22</v>
      </c>
      <c r="K39" s="2" t="s">
        <v>92</v>
      </c>
      <c r="L39" s="7">
        <f t="shared" si="0"/>
        <v>2900</v>
      </c>
      <c r="M39" s="2" t="str">
        <f t="shared" si="1"/>
        <v>March</v>
      </c>
      <c r="N39" s="6">
        <f t="shared" si="2"/>
        <v>2004</v>
      </c>
    </row>
    <row r="40" spans="1:14">
      <c r="A40" s="2" t="s">
        <v>93</v>
      </c>
      <c r="B40" s="3">
        <v>10245</v>
      </c>
      <c r="C40" s="3">
        <v>34</v>
      </c>
      <c r="D40" s="13">
        <v>100</v>
      </c>
      <c r="E40" s="5">
        <v>38111</v>
      </c>
      <c r="F40" s="2" t="s">
        <v>13</v>
      </c>
      <c r="G40" s="2" t="s">
        <v>72</v>
      </c>
      <c r="H40" s="3">
        <v>2</v>
      </c>
      <c r="I40" s="6">
        <v>2004</v>
      </c>
      <c r="J40" s="2" t="s">
        <v>22</v>
      </c>
      <c r="K40" s="2" t="s">
        <v>94</v>
      </c>
      <c r="L40" s="7">
        <f t="shared" si="0"/>
        <v>3400</v>
      </c>
      <c r="M40" s="2" t="str">
        <f t="shared" si="1"/>
        <v>May</v>
      </c>
      <c r="N40" s="6">
        <f t="shared" si="2"/>
        <v>2004</v>
      </c>
    </row>
    <row r="41" spans="1:14">
      <c r="A41" s="2" t="s">
        <v>95</v>
      </c>
      <c r="B41" s="3">
        <v>10258</v>
      </c>
      <c r="C41" s="3">
        <v>32</v>
      </c>
      <c r="D41" s="13">
        <v>100</v>
      </c>
      <c r="E41" s="5">
        <v>38153</v>
      </c>
      <c r="F41" s="2" t="s">
        <v>13</v>
      </c>
      <c r="G41" s="2" t="s">
        <v>72</v>
      </c>
      <c r="H41" s="3">
        <v>2</v>
      </c>
      <c r="I41" s="6">
        <v>2004</v>
      </c>
      <c r="J41" s="2" t="s">
        <v>61</v>
      </c>
      <c r="K41" s="2" t="s">
        <v>96</v>
      </c>
      <c r="L41" s="7">
        <f t="shared" si="0"/>
        <v>3200</v>
      </c>
      <c r="M41" s="2" t="str">
        <f t="shared" si="1"/>
        <v>June</v>
      </c>
      <c r="N41" s="6">
        <f t="shared" si="2"/>
        <v>2004</v>
      </c>
    </row>
    <row r="42" spans="1:14">
      <c r="A42" s="2" t="s">
        <v>63</v>
      </c>
      <c r="B42" s="3">
        <v>10270</v>
      </c>
      <c r="C42" s="3">
        <v>21</v>
      </c>
      <c r="D42" s="13">
        <v>100</v>
      </c>
      <c r="E42" s="5">
        <v>38187</v>
      </c>
      <c r="F42" s="2" t="s">
        <v>13</v>
      </c>
      <c r="G42" s="2" t="s">
        <v>72</v>
      </c>
      <c r="H42" s="3">
        <v>3</v>
      </c>
      <c r="I42" s="6">
        <v>2004</v>
      </c>
      <c r="J42" s="2" t="s">
        <v>22</v>
      </c>
      <c r="K42" s="2" t="s">
        <v>64</v>
      </c>
      <c r="L42" s="7">
        <f t="shared" si="0"/>
        <v>2100</v>
      </c>
      <c r="M42" s="2" t="str">
        <f t="shared" si="1"/>
        <v>July</v>
      </c>
      <c r="N42" s="6">
        <f t="shared" si="2"/>
        <v>2004</v>
      </c>
    </row>
    <row r="43" spans="1:14">
      <c r="A43" s="2" t="s">
        <v>97</v>
      </c>
      <c r="B43" s="3">
        <v>10280</v>
      </c>
      <c r="C43" s="3">
        <v>34</v>
      </c>
      <c r="D43" s="13">
        <v>100</v>
      </c>
      <c r="E43" s="5">
        <v>38216</v>
      </c>
      <c r="F43" s="2" t="s">
        <v>13</v>
      </c>
      <c r="G43" s="2" t="s">
        <v>72</v>
      </c>
      <c r="H43" s="3">
        <v>3</v>
      </c>
      <c r="I43" s="6">
        <v>2004</v>
      </c>
      <c r="J43" s="2" t="s">
        <v>61</v>
      </c>
      <c r="K43" s="2" t="s">
        <v>98</v>
      </c>
      <c r="L43" s="7">
        <f t="shared" si="0"/>
        <v>3400</v>
      </c>
      <c r="M43" s="2" t="str">
        <f t="shared" si="1"/>
        <v>August</v>
      </c>
      <c r="N43" s="6">
        <f t="shared" si="2"/>
        <v>2004</v>
      </c>
    </row>
    <row r="44" spans="1:14">
      <c r="A44" s="2" t="s">
        <v>99</v>
      </c>
      <c r="B44" s="3">
        <v>10291</v>
      </c>
      <c r="C44" s="3">
        <v>37</v>
      </c>
      <c r="D44" s="13">
        <v>100</v>
      </c>
      <c r="E44" s="5">
        <v>38238</v>
      </c>
      <c r="F44" s="2" t="s">
        <v>13</v>
      </c>
      <c r="G44" s="2" t="s">
        <v>72</v>
      </c>
      <c r="H44" s="3">
        <v>3</v>
      </c>
      <c r="I44" s="6">
        <v>2004</v>
      </c>
      <c r="J44" s="2" t="s">
        <v>61</v>
      </c>
      <c r="K44" s="2" t="s">
        <v>100</v>
      </c>
      <c r="L44" s="7">
        <f t="shared" si="0"/>
        <v>3700</v>
      </c>
      <c r="M44" s="2" t="str">
        <f t="shared" si="1"/>
        <v>September</v>
      </c>
      <c r="N44" s="6">
        <f t="shared" si="2"/>
        <v>2004</v>
      </c>
    </row>
    <row r="45" spans="1:14">
      <c r="A45" s="2" t="s">
        <v>101</v>
      </c>
      <c r="B45" s="3">
        <v>10304</v>
      </c>
      <c r="C45" s="3">
        <v>47</v>
      </c>
      <c r="D45" s="13">
        <v>100</v>
      </c>
      <c r="E45" s="5">
        <v>38271</v>
      </c>
      <c r="F45" s="2" t="s">
        <v>13</v>
      </c>
      <c r="G45" s="2" t="s">
        <v>72</v>
      </c>
      <c r="H45" s="3">
        <v>4</v>
      </c>
      <c r="I45" s="6">
        <v>2004</v>
      </c>
      <c r="J45" s="2" t="s">
        <v>61</v>
      </c>
      <c r="K45" s="2" t="s">
        <v>102</v>
      </c>
      <c r="L45" s="7">
        <f t="shared" si="0"/>
        <v>4700</v>
      </c>
      <c r="M45" s="2" t="str">
        <f t="shared" si="1"/>
        <v>October</v>
      </c>
      <c r="N45" s="6">
        <f t="shared" si="2"/>
        <v>2004</v>
      </c>
    </row>
    <row r="46" spans="1:14">
      <c r="A46" s="2" t="s">
        <v>103</v>
      </c>
      <c r="B46" s="3">
        <v>10312</v>
      </c>
      <c r="C46" s="3">
        <v>48</v>
      </c>
      <c r="D46" s="13">
        <v>100</v>
      </c>
      <c r="E46" s="5">
        <v>38281</v>
      </c>
      <c r="F46" s="2" t="s">
        <v>13</v>
      </c>
      <c r="G46" s="2" t="s">
        <v>72</v>
      </c>
      <c r="H46" s="3">
        <v>4</v>
      </c>
      <c r="I46" s="6">
        <v>2004</v>
      </c>
      <c r="J46" s="2" t="s">
        <v>61</v>
      </c>
      <c r="K46" s="2" t="s">
        <v>104</v>
      </c>
      <c r="L46" s="7">
        <f t="shared" si="0"/>
        <v>4800</v>
      </c>
      <c r="M46" s="2" t="str">
        <f t="shared" si="1"/>
        <v>October</v>
      </c>
      <c r="N46" s="6">
        <f t="shared" si="2"/>
        <v>2004</v>
      </c>
    </row>
    <row r="47" spans="1:14">
      <c r="A47" s="2" t="s">
        <v>105</v>
      </c>
      <c r="B47" s="3">
        <v>10322</v>
      </c>
      <c r="C47" s="3">
        <v>40</v>
      </c>
      <c r="D47" s="13">
        <v>100</v>
      </c>
      <c r="E47" s="5">
        <v>38295</v>
      </c>
      <c r="F47" s="2" t="s">
        <v>13</v>
      </c>
      <c r="G47" s="2" t="s">
        <v>72</v>
      </c>
      <c r="H47" s="3">
        <v>4</v>
      </c>
      <c r="I47" s="6">
        <v>2004</v>
      </c>
      <c r="J47" s="2" t="s">
        <v>22</v>
      </c>
      <c r="K47" s="2" t="s">
        <v>106</v>
      </c>
      <c r="L47" s="7">
        <f t="shared" si="0"/>
        <v>4000</v>
      </c>
      <c r="M47" s="2" t="str">
        <f t="shared" si="1"/>
        <v>November</v>
      </c>
      <c r="N47" s="6">
        <f t="shared" si="2"/>
        <v>2004</v>
      </c>
    </row>
    <row r="48" spans="1:14">
      <c r="A48" s="2" t="s">
        <v>38</v>
      </c>
      <c r="B48" s="3">
        <v>10333</v>
      </c>
      <c r="C48" s="3">
        <v>26</v>
      </c>
      <c r="D48" s="13">
        <v>100</v>
      </c>
      <c r="E48" s="5">
        <v>38309</v>
      </c>
      <c r="F48" s="2" t="s">
        <v>13</v>
      </c>
      <c r="G48" s="2" t="s">
        <v>72</v>
      </c>
      <c r="H48" s="3">
        <v>4</v>
      </c>
      <c r="I48" s="6">
        <v>2004</v>
      </c>
      <c r="J48" s="2" t="s">
        <v>22</v>
      </c>
      <c r="K48" s="2" t="s">
        <v>39</v>
      </c>
      <c r="L48" s="7">
        <f t="shared" si="0"/>
        <v>2600</v>
      </c>
      <c r="M48" s="2" t="str">
        <f t="shared" si="1"/>
        <v>November</v>
      </c>
      <c r="N48" s="6">
        <f t="shared" si="2"/>
        <v>2004</v>
      </c>
    </row>
    <row r="49" spans="1:14">
      <c r="A49" s="2" t="s">
        <v>42</v>
      </c>
      <c r="B49" s="3">
        <v>10347</v>
      </c>
      <c r="C49" s="3">
        <v>30</v>
      </c>
      <c r="D49" s="13">
        <v>100</v>
      </c>
      <c r="E49" s="5">
        <v>38320</v>
      </c>
      <c r="F49" s="2" t="s">
        <v>13</v>
      </c>
      <c r="G49" s="2" t="s">
        <v>72</v>
      </c>
      <c r="H49" s="3">
        <v>4</v>
      </c>
      <c r="I49" s="6">
        <v>2004</v>
      </c>
      <c r="J49" s="2" t="s">
        <v>22</v>
      </c>
      <c r="K49" s="2" t="s">
        <v>43</v>
      </c>
      <c r="L49" s="7">
        <f t="shared" si="0"/>
        <v>3000</v>
      </c>
      <c r="M49" s="2" t="str">
        <f t="shared" si="1"/>
        <v>November</v>
      </c>
      <c r="N49" s="6">
        <f t="shared" si="2"/>
        <v>2004</v>
      </c>
    </row>
    <row r="50" spans="1:14">
      <c r="A50" s="2" t="s">
        <v>103</v>
      </c>
      <c r="B50" s="3">
        <v>10357</v>
      </c>
      <c r="C50" s="3">
        <v>32</v>
      </c>
      <c r="D50" s="13">
        <v>100</v>
      </c>
      <c r="E50" s="5">
        <v>38331</v>
      </c>
      <c r="F50" s="2" t="s">
        <v>13</v>
      </c>
      <c r="G50" s="2" t="s">
        <v>72</v>
      </c>
      <c r="H50" s="3">
        <v>4</v>
      </c>
      <c r="I50" s="6">
        <v>2004</v>
      </c>
      <c r="J50" s="2" t="s">
        <v>22</v>
      </c>
      <c r="K50" s="2" t="s">
        <v>104</v>
      </c>
      <c r="L50" s="7">
        <f t="shared" si="0"/>
        <v>3200</v>
      </c>
      <c r="M50" s="2" t="str">
        <f t="shared" si="1"/>
        <v>December</v>
      </c>
      <c r="N50" s="6">
        <f t="shared" si="2"/>
        <v>2004</v>
      </c>
    </row>
    <row r="51" spans="1:14">
      <c r="A51" s="2" t="s">
        <v>107</v>
      </c>
      <c r="B51" s="3">
        <v>10369</v>
      </c>
      <c r="C51" s="3">
        <v>41</v>
      </c>
      <c r="D51" s="13">
        <v>100</v>
      </c>
      <c r="E51" s="5">
        <v>38372</v>
      </c>
      <c r="F51" s="2" t="s">
        <v>13</v>
      </c>
      <c r="G51" s="2" t="s">
        <v>72</v>
      </c>
      <c r="H51" s="3">
        <v>1</v>
      </c>
      <c r="I51" s="6">
        <v>2005</v>
      </c>
      <c r="J51" s="2" t="s">
        <v>22</v>
      </c>
      <c r="K51" s="2" t="s">
        <v>108</v>
      </c>
      <c r="L51" s="7">
        <f t="shared" si="0"/>
        <v>4100</v>
      </c>
      <c r="M51" s="2" t="str">
        <f t="shared" si="1"/>
        <v>January</v>
      </c>
      <c r="N51" s="6">
        <f t="shared" si="2"/>
        <v>2005</v>
      </c>
    </row>
    <row r="52" spans="1:14">
      <c r="A52" s="2" t="s">
        <v>28</v>
      </c>
      <c r="B52" s="3">
        <v>10381</v>
      </c>
      <c r="C52" s="3">
        <v>36</v>
      </c>
      <c r="D52" s="13">
        <v>100</v>
      </c>
      <c r="E52" s="5">
        <v>38400</v>
      </c>
      <c r="F52" s="2" t="s">
        <v>13</v>
      </c>
      <c r="G52" s="2" t="s">
        <v>72</v>
      </c>
      <c r="H52" s="3">
        <v>1</v>
      </c>
      <c r="I52" s="6">
        <v>2005</v>
      </c>
      <c r="J52" s="2" t="s">
        <v>61</v>
      </c>
      <c r="K52" s="2" t="s">
        <v>29</v>
      </c>
      <c r="L52" s="7">
        <f t="shared" si="0"/>
        <v>3600</v>
      </c>
      <c r="M52" s="2" t="str">
        <f t="shared" si="1"/>
        <v>February</v>
      </c>
      <c r="N52" s="6">
        <f t="shared" si="2"/>
        <v>2005</v>
      </c>
    </row>
    <row r="53" spans="1:14">
      <c r="A53" s="2" t="s">
        <v>109</v>
      </c>
      <c r="B53" s="3">
        <v>10391</v>
      </c>
      <c r="C53" s="3">
        <v>24</v>
      </c>
      <c r="D53" s="13">
        <v>100</v>
      </c>
      <c r="E53" s="5">
        <v>38420</v>
      </c>
      <c r="F53" s="2" t="s">
        <v>13</v>
      </c>
      <c r="G53" s="2" t="s">
        <v>72</v>
      </c>
      <c r="H53" s="3">
        <v>1</v>
      </c>
      <c r="I53" s="6">
        <v>2005</v>
      </c>
      <c r="J53" s="2" t="s">
        <v>15</v>
      </c>
      <c r="K53" s="2" t="s">
        <v>110</v>
      </c>
      <c r="L53" s="7">
        <f t="shared" si="0"/>
        <v>2400</v>
      </c>
      <c r="M53" s="2" t="str">
        <f t="shared" si="1"/>
        <v>March</v>
      </c>
      <c r="N53" s="6">
        <f t="shared" si="2"/>
        <v>2005</v>
      </c>
    </row>
    <row r="54" spans="1:14">
      <c r="A54" s="2" t="s">
        <v>111</v>
      </c>
      <c r="B54" s="3">
        <v>10411</v>
      </c>
      <c r="C54" s="3">
        <v>23</v>
      </c>
      <c r="D54" s="13">
        <v>100</v>
      </c>
      <c r="E54" s="5">
        <v>38473</v>
      </c>
      <c r="F54" s="2" t="s">
        <v>13</v>
      </c>
      <c r="G54" s="2" t="s">
        <v>72</v>
      </c>
      <c r="H54" s="3">
        <v>2</v>
      </c>
      <c r="I54" s="6">
        <v>2005</v>
      </c>
      <c r="J54" s="2" t="s">
        <v>22</v>
      </c>
      <c r="K54" s="2" t="s">
        <v>112</v>
      </c>
      <c r="L54" s="7">
        <f t="shared" si="0"/>
        <v>2300</v>
      </c>
      <c r="M54" s="2" t="str">
        <f t="shared" si="1"/>
        <v>May</v>
      </c>
      <c r="N54" s="6">
        <f t="shared" si="2"/>
        <v>2005</v>
      </c>
    </row>
    <row r="55" spans="1:14">
      <c r="A55" s="2" t="s">
        <v>69</v>
      </c>
      <c r="B55" s="3">
        <v>10424</v>
      </c>
      <c r="C55" s="3">
        <v>50</v>
      </c>
      <c r="D55" s="13">
        <v>100</v>
      </c>
      <c r="E55" s="5">
        <v>38503</v>
      </c>
      <c r="F55" s="2" t="s">
        <v>113</v>
      </c>
      <c r="G55" s="2" t="s">
        <v>72</v>
      </c>
      <c r="H55" s="3">
        <v>2</v>
      </c>
      <c r="I55" s="6">
        <v>2005</v>
      </c>
      <c r="J55" s="2" t="s">
        <v>61</v>
      </c>
      <c r="K55" s="2" t="s">
        <v>71</v>
      </c>
      <c r="L55" s="7">
        <f t="shared" si="0"/>
        <v>5000</v>
      </c>
      <c r="M55" s="2" t="str">
        <f t="shared" si="1"/>
        <v>May</v>
      </c>
      <c r="N55" s="6">
        <f t="shared" si="2"/>
        <v>2005</v>
      </c>
    </row>
    <row r="56" spans="1:14">
      <c r="A56" s="2" t="s">
        <v>12</v>
      </c>
      <c r="B56" s="3">
        <v>10107</v>
      </c>
      <c r="C56" s="3">
        <v>39</v>
      </c>
      <c r="D56" s="13">
        <v>99.91</v>
      </c>
      <c r="E56" s="5">
        <v>37676</v>
      </c>
      <c r="F56" s="2" t="s">
        <v>13</v>
      </c>
      <c r="G56" s="2" t="s">
        <v>14</v>
      </c>
      <c r="H56" s="3">
        <v>1</v>
      </c>
      <c r="I56" s="6">
        <v>2003</v>
      </c>
      <c r="J56" s="2" t="s">
        <v>22</v>
      </c>
      <c r="K56" s="2" t="s">
        <v>16</v>
      </c>
      <c r="L56" s="7">
        <f t="shared" si="0"/>
        <v>3896.49</v>
      </c>
      <c r="M56" s="2" t="str">
        <f t="shared" si="1"/>
        <v>February</v>
      </c>
      <c r="N56" s="6">
        <f t="shared" si="2"/>
        <v>2003</v>
      </c>
    </row>
    <row r="57" spans="1:14">
      <c r="A57" s="2" t="s">
        <v>42</v>
      </c>
      <c r="B57" s="3">
        <v>10120</v>
      </c>
      <c r="C57" s="3">
        <v>29</v>
      </c>
      <c r="D57" s="13">
        <v>96.34</v>
      </c>
      <c r="E57" s="5">
        <v>37740</v>
      </c>
      <c r="F57" s="2" t="s">
        <v>13</v>
      </c>
      <c r="G57" s="2" t="s">
        <v>14</v>
      </c>
      <c r="H57" s="3">
        <v>2</v>
      </c>
      <c r="I57" s="6">
        <v>2003</v>
      </c>
      <c r="J57" s="2" t="s">
        <v>15</v>
      </c>
      <c r="K57" s="2" t="s">
        <v>43</v>
      </c>
      <c r="L57" s="7">
        <f t="shared" si="0"/>
        <v>2793.86</v>
      </c>
      <c r="M57" s="2" t="str">
        <f t="shared" si="1"/>
        <v>April</v>
      </c>
      <c r="N57" s="6">
        <f t="shared" si="2"/>
        <v>2003</v>
      </c>
    </row>
    <row r="58" spans="1:14">
      <c r="A58" s="2" t="s">
        <v>21</v>
      </c>
      <c r="B58" s="3">
        <v>10134</v>
      </c>
      <c r="C58" s="3">
        <v>27</v>
      </c>
      <c r="D58" s="13">
        <v>100</v>
      </c>
      <c r="E58" s="5">
        <v>37803</v>
      </c>
      <c r="F58" s="2" t="s">
        <v>13</v>
      </c>
      <c r="G58" s="2" t="s">
        <v>14</v>
      </c>
      <c r="H58" s="3">
        <v>3</v>
      </c>
      <c r="I58" s="6">
        <v>2003</v>
      </c>
      <c r="J58" s="2" t="s">
        <v>22</v>
      </c>
      <c r="K58" s="2" t="s">
        <v>23</v>
      </c>
      <c r="L58" s="7">
        <f t="shared" si="0"/>
        <v>2700</v>
      </c>
      <c r="M58" s="2" t="str">
        <f t="shared" si="1"/>
        <v>July</v>
      </c>
      <c r="N58" s="6">
        <f t="shared" si="2"/>
        <v>2003</v>
      </c>
    </row>
    <row r="59" spans="1:14">
      <c r="A59" s="2" t="s">
        <v>25</v>
      </c>
      <c r="B59" s="3">
        <v>10145</v>
      </c>
      <c r="C59" s="3">
        <v>37</v>
      </c>
      <c r="D59" s="13">
        <v>100</v>
      </c>
      <c r="E59" s="5">
        <v>37858</v>
      </c>
      <c r="F59" s="2" t="s">
        <v>13</v>
      </c>
      <c r="G59" s="2" t="s">
        <v>14</v>
      </c>
      <c r="H59" s="3">
        <v>3</v>
      </c>
      <c r="I59" s="6">
        <v>2003</v>
      </c>
      <c r="J59" s="2" t="s">
        <v>22</v>
      </c>
      <c r="K59" s="2" t="s">
        <v>26</v>
      </c>
      <c r="L59" s="7">
        <f t="shared" si="0"/>
        <v>3700</v>
      </c>
      <c r="M59" s="2" t="str">
        <f t="shared" si="1"/>
        <v>August</v>
      </c>
      <c r="N59" s="6">
        <f t="shared" si="2"/>
        <v>2003</v>
      </c>
    </row>
    <row r="60" spans="1:14">
      <c r="A60" s="2" t="s">
        <v>28</v>
      </c>
      <c r="B60" s="3">
        <v>10159</v>
      </c>
      <c r="C60" s="3">
        <v>37</v>
      </c>
      <c r="D60" s="13">
        <v>100</v>
      </c>
      <c r="E60" s="5">
        <v>37904</v>
      </c>
      <c r="F60" s="2" t="s">
        <v>13</v>
      </c>
      <c r="G60" s="2" t="s">
        <v>14</v>
      </c>
      <c r="H60" s="3">
        <v>4</v>
      </c>
      <c r="I60" s="6">
        <v>2003</v>
      </c>
      <c r="J60" s="2" t="s">
        <v>22</v>
      </c>
      <c r="K60" s="2" t="s">
        <v>29</v>
      </c>
      <c r="L60" s="7">
        <f t="shared" si="0"/>
        <v>3700</v>
      </c>
      <c r="M60" s="2" t="str">
        <f t="shared" si="1"/>
        <v>October</v>
      </c>
      <c r="N60" s="6">
        <f t="shared" si="2"/>
        <v>2003</v>
      </c>
    </row>
    <row r="61" spans="1:14">
      <c r="A61" s="2" t="s">
        <v>31</v>
      </c>
      <c r="B61" s="3">
        <v>10168</v>
      </c>
      <c r="C61" s="3">
        <v>27</v>
      </c>
      <c r="D61" s="13">
        <v>100</v>
      </c>
      <c r="E61" s="5">
        <v>37922</v>
      </c>
      <c r="F61" s="2" t="s">
        <v>13</v>
      </c>
      <c r="G61" s="2" t="s">
        <v>14</v>
      </c>
      <c r="H61" s="3">
        <v>4</v>
      </c>
      <c r="I61" s="6">
        <v>2003</v>
      </c>
      <c r="J61" s="2" t="s">
        <v>22</v>
      </c>
      <c r="K61" s="2" t="s">
        <v>32</v>
      </c>
      <c r="L61" s="7">
        <f t="shared" si="0"/>
        <v>2700</v>
      </c>
      <c r="M61" s="2" t="str">
        <f t="shared" si="1"/>
        <v>October</v>
      </c>
      <c r="N61" s="6">
        <f t="shared" si="2"/>
        <v>2003</v>
      </c>
    </row>
    <row r="62" spans="1:14">
      <c r="A62" s="2" t="s">
        <v>34</v>
      </c>
      <c r="B62" s="3">
        <v>10180</v>
      </c>
      <c r="C62" s="3">
        <v>42</v>
      </c>
      <c r="D62" s="13">
        <v>100</v>
      </c>
      <c r="E62" s="5">
        <v>37936</v>
      </c>
      <c r="F62" s="2" t="s">
        <v>13</v>
      </c>
      <c r="G62" s="2" t="s">
        <v>14</v>
      </c>
      <c r="H62" s="3">
        <v>4</v>
      </c>
      <c r="I62" s="6">
        <v>2003</v>
      </c>
      <c r="J62" s="2" t="s">
        <v>22</v>
      </c>
      <c r="K62" s="2" t="s">
        <v>35</v>
      </c>
      <c r="L62" s="7">
        <f t="shared" si="0"/>
        <v>4200</v>
      </c>
      <c r="M62" s="2" t="str">
        <f t="shared" si="1"/>
        <v>November</v>
      </c>
      <c r="N62" s="6">
        <f t="shared" si="2"/>
        <v>2003</v>
      </c>
    </row>
    <row r="63" spans="1:14">
      <c r="A63" s="2" t="s">
        <v>36</v>
      </c>
      <c r="B63" s="3">
        <v>10188</v>
      </c>
      <c r="C63" s="3">
        <v>38</v>
      </c>
      <c r="D63" s="13">
        <v>96.34</v>
      </c>
      <c r="E63" s="5">
        <v>37943</v>
      </c>
      <c r="F63" s="2" t="s">
        <v>13</v>
      </c>
      <c r="G63" s="2" t="s">
        <v>14</v>
      </c>
      <c r="H63" s="3">
        <v>4</v>
      </c>
      <c r="I63" s="6">
        <v>2003</v>
      </c>
      <c r="J63" s="2" t="s">
        <v>22</v>
      </c>
      <c r="K63" s="2" t="s">
        <v>37</v>
      </c>
      <c r="L63" s="7">
        <f t="shared" si="0"/>
        <v>3660.92</v>
      </c>
      <c r="M63" s="2" t="str">
        <f t="shared" si="1"/>
        <v>November</v>
      </c>
      <c r="N63" s="6">
        <f t="shared" si="2"/>
        <v>2003</v>
      </c>
    </row>
    <row r="64" spans="1:14">
      <c r="A64" s="2" t="s">
        <v>38</v>
      </c>
      <c r="B64" s="3">
        <v>10201</v>
      </c>
      <c r="C64" s="3">
        <v>24</v>
      </c>
      <c r="D64" s="13">
        <v>100</v>
      </c>
      <c r="E64" s="5">
        <v>37956</v>
      </c>
      <c r="F64" s="2" t="s">
        <v>13</v>
      </c>
      <c r="G64" s="2" t="s">
        <v>14</v>
      </c>
      <c r="H64" s="3">
        <v>4</v>
      </c>
      <c r="I64" s="6">
        <v>2003</v>
      </c>
      <c r="J64" s="2" t="s">
        <v>22</v>
      </c>
      <c r="K64" s="2" t="s">
        <v>39</v>
      </c>
      <c r="L64" s="7">
        <f t="shared" si="0"/>
        <v>2400</v>
      </c>
      <c r="M64" s="2" t="str">
        <f t="shared" si="1"/>
        <v>December</v>
      </c>
      <c r="N64" s="6">
        <f t="shared" si="2"/>
        <v>2003</v>
      </c>
    </row>
    <row r="65" spans="1:14">
      <c r="A65" s="2" t="s">
        <v>114</v>
      </c>
      <c r="B65" s="3">
        <v>10210</v>
      </c>
      <c r="C65" s="3">
        <v>23</v>
      </c>
      <c r="D65" s="13">
        <v>100</v>
      </c>
      <c r="E65" s="5">
        <v>37998</v>
      </c>
      <c r="F65" s="2" t="s">
        <v>13</v>
      </c>
      <c r="G65" s="2" t="s">
        <v>14</v>
      </c>
      <c r="H65" s="3">
        <v>1</v>
      </c>
      <c r="I65" s="6">
        <v>2004</v>
      </c>
      <c r="J65" s="2" t="s">
        <v>22</v>
      </c>
      <c r="K65" s="2" t="s">
        <v>115</v>
      </c>
      <c r="L65" s="7">
        <f t="shared" si="0"/>
        <v>2300</v>
      </c>
      <c r="M65" s="2" t="str">
        <f t="shared" si="1"/>
        <v>January</v>
      </c>
      <c r="N65" s="6">
        <f t="shared" si="2"/>
        <v>2004</v>
      </c>
    </row>
    <row r="66" spans="1:14">
      <c r="A66" s="2" t="s">
        <v>42</v>
      </c>
      <c r="B66" s="3">
        <v>10223</v>
      </c>
      <c r="C66" s="3">
        <v>47</v>
      </c>
      <c r="D66" s="13">
        <v>100</v>
      </c>
      <c r="E66" s="5">
        <v>38037</v>
      </c>
      <c r="F66" s="2" t="s">
        <v>13</v>
      </c>
      <c r="G66" s="2" t="s">
        <v>14</v>
      </c>
      <c r="H66" s="3">
        <v>1</v>
      </c>
      <c r="I66" s="6">
        <v>2004</v>
      </c>
      <c r="J66" s="2" t="s">
        <v>22</v>
      </c>
      <c r="K66" s="2" t="s">
        <v>43</v>
      </c>
      <c r="L66" s="7">
        <f t="shared" ref="L66:L129" si="3">PRODUCT(C66,D66)</f>
        <v>4700</v>
      </c>
      <c r="M66" s="2" t="str">
        <f t="shared" ref="M66:M129" si="4">TEXT(E66,"MMMM")</f>
        <v>February</v>
      </c>
      <c r="N66" s="6">
        <f t="shared" ref="N66:N129" si="5">YEAR(E66)</f>
        <v>2004</v>
      </c>
    </row>
    <row r="67" spans="1:14">
      <c r="A67" s="2" t="s">
        <v>116</v>
      </c>
      <c r="B67" s="3">
        <v>10236</v>
      </c>
      <c r="C67" s="3">
        <v>22</v>
      </c>
      <c r="D67" s="13">
        <v>100</v>
      </c>
      <c r="E67" s="5">
        <v>38080</v>
      </c>
      <c r="F67" s="2" t="s">
        <v>13</v>
      </c>
      <c r="G67" s="2" t="s">
        <v>14</v>
      </c>
      <c r="H67" s="3">
        <v>2</v>
      </c>
      <c r="I67" s="6">
        <v>2004</v>
      </c>
      <c r="J67" s="2" t="s">
        <v>15</v>
      </c>
      <c r="K67" s="2" t="s">
        <v>117</v>
      </c>
      <c r="L67" s="7">
        <f t="shared" si="3"/>
        <v>2200</v>
      </c>
      <c r="M67" s="2" t="str">
        <f t="shared" si="4"/>
        <v>April</v>
      </c>
      <c r="N67" s="6">
        <f t="shared" si="5"/>
        <v>2004</v>
      </c>
    </row>
    <row r="68" spans="1:14">
      <c r="A68" s="2" t="s">
        <v>46</v>
      </c>
      <c r="B68" s="3">
        <v>10251</v>
      </c>
      <c r="C68" s="3">
        <v>44</v>
      </c>
      <c r="D68" s="13">
        <v>100</v>
      </c>
      <c r="E68" s="5">
        <v>38125</v>
      </c>
      <c r="F68" s="2" t="s">
        <v>13</v>
      </c>
      <c r="G68" s="2" t="s">
        <v>14</v>
      </c>
      <c r="H68" s="3">
        <v>2</v>
      </c>
      <c r="I68" s="6">
        <v>2004</v>
      </c>
      <c r="J68" s="2" t="s">
        <v>22</v>
      </c>
      <c r="K68" s="2" t="s">
        <v>47</v>
      </c>
      <c r="L68" s="7">
        <f t="shared" si="3"/>
        <v>4400</v>
      </c>
      <c r="M68" s="2" t="str">
        <f t="shared" si="4"/>
        <v>May</v>
      </c>
      <c r="N68" s="6">
        <f t="shared" si="5"/>
        <v>2004</v>
      </c>
    </row>
    <row r="69" spans="1:14">
      <c r="A69" s="2" t="s">
        <v>48</v>
      </c>
      <c r="B69" s="3">
        <v>10263</v>
      </c>
      <c r="C69" s="3">
        <v>40</v>
      </c>
      <c r="D69" s="13">
        <v>100</v>
      </c>
      <c r="E69" s="5">
        <v>38166</v>
      </c>
      <c r="F69" s="2" t="s">
        <v>13</v>
      </c>
      <c r="G69" s="2" t="s">
        <v>14</v>
      </c>
      <c r="H69" s="3">
        <v>2</v>
      </c>
      <c r="I69" s="6">
        <v>2004</v>
      </c>
      <c r="J69" s="2" t="s">
        <v>22</v>
      </c>
      <c r="K69" s="2" t="s">
        <v>49</v>
      </c>
      <c r="L69" s="7">
        <f t="shared" si="3"/>
        <v>4000</v>
      </c>
      <c r="M69" s="2" t="str">
        <f t="shared" si="4"/>
        <v>June</v>
      </c>
      <c r="N69" s="6">
        <f t="shared" si="5"/>
        <v>2004</v>
      </c>
    </row>
    <row r="70" spans="1:14">
      <c r="A70" s="2" t="s">
        <v>50</v>
      </c>
      <c r="B70" s="3">
        <v>10275</v>
      </c>
      <c r="C70" s="3">
        <v>22</v>
      </c>
      <c r="D70" s="13">
        <v>100</v>
      </c>
      <c r="E70" s="5">
        <v>38191</v>
      </c>
      <c r="F70" s="2" t="s">
        <v>13</v>
      </c>
      <c r="G70" s="2" t="s">
        <v>14</v>
      </c>
      <c r="H70" s="3">
        <v>3</v>
      </c>
      <c r="I70" s="6">
        <v>2004</v>
      </c>
      <c r="J70" s="2" t="s">
        <v>15</v>
      </c>
      <c r="K70" s="2" t="s">
        <v>51</v>
      </c>
      <c r="L70" s="7">
        <f t="shared" si="3"/>
        <v>2200</v>
      </c>
      <c r="M70" s="2" t="str">
        <f t="shared" si="4"/>
        <v>July</v>
      </c>
      <c r="N70" s="6">
        <f t="shared" si="5"/>
        <v>2004</v>
      </c>
    </row>
    <row r="71" spans="1:14">
      <c r="A71" s="2" t="s">
        <v>52</v>
      </c>
      <c r="B71" s="3">
        <v>10285</v>
      </c>
      <c r="C71" s="3">
        <v>47</v>
      </c>
      <c r="D71" s="13">
        <v>100</v>
      </c>
      <c r="E71" s="5">
        <v>38226</v>
      </c>
      <c r="F71" s="2" t="s">
        <v>13</v>
      </c>
      <c r="G71" s="2" t="s">
        <v>14</v>
      </c>
      <c r="H71" s="3">
        <v>3</v>
      </c>
      <c r="I71" s="6">
        <v>2004</v>
      </c>
      <c r="J71" s="2" t="s">
        <v>22</v>
      </c>
      <c r="K71" s="2" t="s">
        <v>53</v>
      </c>
      <c r="L71" s="7">
        <f t="shared" si="3"/>
        <v>4700</v>
      </c>
      <c r="M71" s="2" t="str">
        <f t="shared" si="4"/>
        <v>August</v>
      </c>
      <c r="N71" s="6">
        <f t="shared" si="5"/>
        <v>2004</v>
      </c>
    </row>
    <row r="72" spans="1:14">
      <c r="A72" s="2" t="s">
        <v>118</v>
      </c>
      <c r="B72" s="3">
        <v>10298</v>
      </c>
      <c r="C72" s="3">
        <v>39</v>
      </c>
      <c r="D72" s="13">
        <v>96.34</v>
      </c>
      <c r="E72" s="5">
        <v>38257</v>
      </c>
      <c r="F72" s="2" t="s">
        <v>13</v>
      </c>
      <c r="G72" s="2" t="s">
        <v>14</v>
      </c>
      <c r="H72" s="3">
        <v>3</v>
      </c>
      <c r="I72" s="6">
        <v>2004</v>
      </c>
      <c r="J72" s="2" t="s">
        <v>22</v>
      </c>
      <c r="K72" s="2" t="s">
        <v>119</v>
      </c>
      <c r="L72" s="7">
        <f t="shared" si="3"/>
        <v>3757.26</v>
      </c>
      <c r="M72" s="2" t="str">
        <f t="shared" si="4"/>
        <v>September</v>
      </c>
      <c r="N72" s="6">
        <f t="shared" si="5"/>
        <v>2004</v>
      </c>
    </row>
    <row r="73" spans="1:14">
      <c r="A73" s="2" t="s">
        <v>120</v>
      </c>
      <c r="B73" s="3">
        <v>10308</v>
      </c>
      <c r="C73" s="3">
        <v>34</v>
      </c>
      <c r="D73" s="13">
        <v>100</v>
      </c>
      <c r="E73" s="5">
        <v>38275</v>
      </c>
      <c r="F73" s="2" t="s">
        <v>13</v>
      </c>
      <c r="G73" s="2" t="s">
        <v>14</v>
      </c>
      <c r="H73" s="3">
        <v>4</v>
      </c>
      <c r="I73" s="6">
        <v>2004</v>
      </c>
      <c r="J73" s="2" t="s">
        <v>22</v>
      </c>
      <c r="K73" s="2" t="s">
        <v>121</v>
      </c>
      <c r="L73" s="7">
        <f t="shared" si="3"/>
        <v>3400</v>
      </c>
      <c r="M73" s="2" t="str">
        <f t="shared" si="4"/>
        <v>October</v>
      </c>
      <c r="N73" s="6">
        <f t="shared" si="5"/>
        <v>2004</v>
      </c>
    </row>
    <row r="74" spans="1:14">
      <c r="A74" s="2" t="s">
        <v>58</v>
      </c>
      <c r="B74" s="3">
        <v>10318</v>
      </c>
      <c r="C74" s="3">
        <v>45</v>
      </c>
      <c r="D74" s="13">
        <v>100</v>
      </c>
      <c r="E74" s="5">
        <v>38293</v>
      </c>
      <c r="F74" s="2" t="s">
        <v>13</v>
      </c>
      <c r="G74" s="2" t="s">
        <v>14</v>
      </c>
      <c r="H74" s="3">
        <v>4</v>
      </c>
      <c r="I74" s="6">
        <v>2004</v>
      </c>
      <c r="J74" s="2" t="s">
        <v>22</v>
      </c>
      <c r="K74" s="2" t="s">
        <v>59</v>
      </c>
      <c r="L74" s="7">
        <f t="shared" si="3"/>
        <v>4500</v>
      </c>
      <c r="M74" s="2" t="str">
        <f t="shared" si="4"/>
        <v>November</v>
      </c>
      <c r="N74" s="6">
        <f t="shared" si="5"/>
        <v>2004</v>
      </c>
    </row>
    <row r="75" spans="1:14">
      <c r="A75" s="2" t="s">
        <v>12</v>
      </c>
      <c r="B75" s="3">
        <v>10329</v>
      </c>
      <c r="C75" s="3">
        <v>20</v>
      </c>
      <c r="D75" s="13">
        <v>100</v>
      </c>
      <c r="E75" s="5">
        <v>38306</v>
      </c>
      <c r="F75" s="2" t="s">
        <v>13</v>
      </c>
      <c r="G75" s="2" t="s">
        <v>14</v>
      </c>
      <c r="H75" s="3">
        <v>4</v>
      </c>
      <c r="I75" s="6">
        <v>2004</v>
      </c>
      <c r="J75" s="2" t="s">
        <v>22</v>
      </c>
      <c r="K75" s="2" t="s">
        <v>16</v>
      </c>
      <c r="L75" s="7">
        <f t="shared" si="3"/>
        <v>2000</v>
      </c>
      <c r="M75" s="2" t="str">
        <f t="shared" si="4"/>
        <v>November</v>
      </c>
      <c r="N75" s="6">
        <f t="shared" si="5"/>
        <v>2004</v>
      </c>
    </row>
    <row r="76" spans="1:14">
      <c r="A76" s="2" t="s">
        <v>95</v>
      </c>
      <c r="B76" s="3">
        <v>10339</v>
      </c>
      <c r="C76" s="3">
        <v>40</v>
      </c>
      <c r="D76" s="13">
        <v>68.92</v>
      </c>
      <c r="E76" s="5">
        <v>38314</v>
      </c>
      <c r="F76" s="2" t="s">
        <v>13</v>
      </c>
      <c r="G76" s="2" t="s">
        <v>14</v>
      </c>
      <c r="H76" s="3">
        <v>4</v>
      </c>
      <c r="I76" s="6">
        <v>2004</v>
      </c>
      <c r="J76" s="2" t="s">
        <v>15</v>
      </c>
      <c r="K76" s="2" t="s">
        <v>96</v>
      </c>
      <c r="L76" s="7">
        <f t="shared" si="3"/>
        <v>2756.8</v>
      </c>
      <c r="M76" s="2" t="str">
        <f t="shared" si="4"/>
        <v>November</v>
      </c>
      <c r="N76" s="6">
        <f t="shared" si="5"/>
        <v>2004</v>
      </c>
    </row>
    <row r="77" spans="1:14">
      <c r="A77" s="2" t="s">
        <v>63</v>
      </c>
      <c r="B77" s="3">
        <v>10361</v>
      </c>
      <c r="C77" s="3">
        <v>26</v>
      </c>
      <c r="D77" s="13">
        <v>51.15</v>
      </c>
      <c r="E77" s="5">
        <v>38338</v>
      </c>
      <c r="F77" s="2" t="s">
        <v>13</v>
      </c>
      <c r="G77" s="2" t="s">
        <v>14</v>
      </c>
      <c r="H77" s="3">
        <v>4</v>
      </c>
      <c r="I77" s="6">
        <v>2004</v>
      </c>
      <c r="J77" s="2" t="s">
        <v>15</v>
      </c>
      <c r="K77" s="2" t="s">
        <v>64</v>
      </c>
      <c r="L77" s="7">
        <f t="shared" si="3"/>
        <v>1329.9</v>
      </c>
      <c r="M77" s="2" t="str">
        <f t="shared" si="4"/>
        <v>December</v>
      </c>
      <c r="N77" s="6">
        <f t="shared" si="5"/>
        <v>2004</v>
      </c>
    </row>
    <row r="78" spans="1:14">
      <c r="A78" s="2" t="s">
        <v>81</v>
      </c>
      <c r="B78" s="3">
        <v>10374</v>
      </c>
      <c r="C78" s="3">
        <v>39</v>
      </c>
      <c r="D78" s="13">
        <v>100</v>
      </c>
      <c r="E78" s="5">
        <v>38385</v>
      </c>
      <c r="F78" s="2" t="s">
        <v>13</v>
      </c>
      <c r="G78" s="2" t="s">
        <v>14</v>
      </c>
      <c r="H78" s="3">
        <v>1</v>
      </c>
      <c r="I78" s="6">
        <v>2005</v>
      </c>
      <c r="J78" s="2" t="s">
        <v>22</v>
      </c>
      <c r="K78" s="2" t="s">
        <v>82</v>
      </c>
      <c r="L78" s="7">
        <f t="shared" si="3"/>
        <v>3900</v>
      </c>
      <c r="M78" s="2" t="str">
        <f t="shared" si="4"/>
        <v>February</v>
      </c>
      <c r="N78" s="6">
        <f t="shared" si="5"/>
        <v>2005</v>
      </c>
    </row>
    <row r="79" spans="1:14">
      <c r="A79" s="2" t="s">
        <v>65</v>
      </c>
      <c r="B79" s="3">
        <v>10388</v>
      </c>
      <c r="C79" s="3">
        <v>50</v>
      </c>
      <c r="D79" s="13">
        <v>44.51</v>
      </c>
      <c r="E79" s="5">
        <v>38414</v>
      </c>
      <c r="F79" s="2" t="s">
        <v>13</v>
      </c>
      <c r="G79" s="2" t="s">
        <v>14</v>
      </c>
      <c r="H79" s="3">
        <v>1</v>
      </c>
      <c r="I79" s="6">
        <v>2005</v>
      </c>
      <c r="J79" s="2" t="s">
        <v>15</v>
      </c>
      <c r="K79" s="2" t="s">
        <v>66</v>
      </c>
      <c r="L79" s="7">
        <f t="shared" si="3"/>
        <v>2225.5</v>
      </c>
      <c r="M79" s="2" t="str">
        <f t="shared" si="4"/>
        <v>March</v>
      </c>
      <c r="N79" s="6">
        <f t="shared" si="5"/>
        <v>2005</v>
      </c>
    </row>
    <row r="80" spans="1:14">
      <c r="A80" s="2" t="s">
        <v>40</v>
      </c>
      <c r="B80" s="3">
        <v>10402</v>
      </c>
      <c r="C80" s="3">
        <v>45</v>
      </c>
      <c r="D80" s="13">
        <v>100</v>
      </c>
      <c r="E80" s="5">
        <v>38449</v>
      </c>
      <c r="F80" s="2" t="s">
        <v>13</v>
      </c>
      <c r="G80" s="2" t="s">
        <v>14</v>
      </c>
      <c r="H80" s="3">
        <v>2</v>
      </c>
      <c r="I80" s="6">
        <v>2005</v>
      </c>
      <c r="J80" s="2" t="s">
        <v>22</v>
      </c>
      <c r="K80" s="2" t="s">
        <v>41</v>
      </c>
      <c r="L80" s="7">
        <f t="shared" si="3"/>
        <v>4500</v>
      </c>
      <c r="M80" s="2" t="str">
        <f t="shared" si="4"/>
        <v>April</v>
      </c>
      <c r="N80" s="6">
        <f t="shared" si="5"/>
        <v>2005</v>
      </c>
    </row>
    <row r="81" spans="1:14">
      <c r="A81" s="2" t="s">
        <v>69</v>
      </c>
      <c r="B81" s="3">
        <v>10417</v>
      </c>
      <c r="C81" s="3">
        <v>45</v>
      </c>
      <c r="D81" s="13">
        <v>100</v>
      </c>
      <c r="E81" s="5">
        <v>38485</v>
      </c>
      <c r="F81" s="2" t="s">
        <v>70</v>
      </c>
      <c r="G81" s="2" t="s">
        <v>14</v>
      </c>
      <c r="H81" s="3">
        <v>2</v>
      </c>
      <c r="I81" s="6">
        <v>2005</v>
      </c>
      <c r="J81" s="2" t="s">
        <v>22</v>
      </c>
      <c r="K81" s="2" t="s">
        <v>71</v>
      </c>
      <c r="L81" s="7">
        <f t="shared" si="3"/>
        <v>4500</v>
      </c>
      <c r="M81" s="2" t="str">
        <f t="shared" si="4"/>
        <v>May</v>
      </c>
      <c r="N81" s="6">
        <f t="shared" si="5"/>
        <v>2005</v>
      </c>
    </row>
    <row r="82" spans="1:14">
      <c r="A82" s="2" t="s">
        <v>12</v>
      </c>
      <c r="B82" s="3">
        <v>10107</v>
      </c>
      <c r="C82" s="3">
        <v>27</v>
      </c>
      <c r="D82" s="13">
        <v>100</v>
      </c>
      <c r="E82" s="5">
        <v>37676</v>
      </c>
      <c r="F82" s="2" t="s">
        <v>13</v>
      </c>
      <c r="G82" s="2" t="s">
        <v>14</v>
      </c>
      <c r="H82" s="3">
        <v>1</v>
      </c>
      <c r="I82" s="6">
        <v>2003</v>
      </c>
      <c r="J82" s="2" t="s">
        <v>22</v>
      </c>
      <c r="K82" s="2" t="s">
        <v>16</v>
      </c>
      <c r="L82" s="7">
        <f t="shared" si="3"/>
        <v>2700</v>
      </c>
      <c r="M82" s="2" t="str">
        <f t="shared" si="4"/>
        <v>February</v>
      </c>
      <c r="N82" s="6">
        <f t="shared" si="5"/>
        <v>2003</v>
      </c>
    </row>
    <row r="83" spans="1:14">
      <c r="A83" s="2" t="s">
        <v>42</v>
      </c>
      <c r="B83" s="3">
        <v>10120</v>
      </c>
      <c r="C83" s="3">
        <v>46</v>
      </c>
      <c r="D83" s="13">
        <v>100</v>
      </c>
      <c r="E83" s="5">
        <v>37740</v>
      </c>
      <c r="F83" s="2" t="s">
        <v>13</v>
      </c>
      <c r="G83" s="2" t="s">
        <v>14</v>
      </c>
      <c r="H83" s="3">
        <v>2</v>
      </c>
      <c r="I83" s="6">
        <v>2003</v>
      </c>
      <c r="J83" s="2" t="s">
        <v>61</v>
      </c>
      <c r="K83" s="2" t="s">
        <v>43</v>
      </c>
      <c r="L83" s="7">
        <f t="shared" si="3"/>
        <v>4600</v>
      </c>
      <c r="M83" s="2" t="str">
        <f t="shared" si="4"/>
        <v>April</v>
      </c>
      <c r="N83" s="6">
        <f t="shared" si="5"/>
        <v>2003</v>
      </c>
    </row>
    <row r="84" spans="1:14">
      <c r="A84" s="2" t="s">
        <v>21</v>
      </c>
      <c r="B84" s="3">
        <v>10134</v>
      </c>
      <c r="C84" s="3">
        <v>31</v>
      </c>
      <c r="D84" s="13">
        <v>100</v>
      </c>
      <c r="E84" s="5">
        <v>37803</v>
      </c>
      <c r="F84" s="2" t="s">
        <v>13</v>
      </c>
      <c r="G84" s="2" t="s">
        <v>14</v>
      </c>
      <c r="H84" s="3">
        <v>3</v>
      </c>
      <c r="I84" s="6">
        <v>2003</v>
      </c>
      <c r="J84" s="2" t="s">
        <v>61</v>
      </c>
      <c r="K84" s="2" t="s">
        <v>23</v>
      </c>
      <c r="L84" s="7">
        <f t="shared" si="3"/>
        <v>3100</v>
      </c>
      <c r="M84" s="2" t="str">
        <f t="shared" si="4"/>
        <v>July</v>
      </c>
      <c r="N84" s="6">
        <f t="shared" si="5"/>
        <v>2003</v>
      </c>
    </row>
    <row r="85" spans="1:14">
      <c r="A85" s="2" t="s">
        <v>25</v>
      </c>
      <c r="B85" s="3">
        <v>10145</v>
      </c>
      <c r="C85" s="3">
        <v>33</v>
      </c>
      <c r="D85" s="13">
        <v>100</v>
      </c>
      <c r="E85" s="5">
        <v>37858</v>
      </c>
      <c r="F85" s="2" t="s">
        <v>13</v>
      </c>
      <c r="G85" s="2" t="s">
        <v>14</v>
      </c>
      <c r="H85" s="3">
        <v>3</v>
      </c>
      <c r="I85" s="6">
        <v>2003</v>
      </c>
      <c r="J85" s="2" t="s">
        <v>22</v>
      </c>
      <c r="K85" s="2" t="s">
        <v>26</v>
      </c>
      <c r="L85" s="7">
        <f t="shared" si="3"/>
        <v>3300</v>
      </c>
      <c r="M85" s="2" t="str">
        <f t="shared" si="4"/>
        <v>August</v>
      </c>
      <c r="N85" s="6">
        <f t="shared" si="5"/>
        <v>2003</v>
      </c>
    </row>
    <row r="86" spans="1:14">
      <c r="A86" s="2" t="s">
        <v>28</v>
      </c>
      <c r="B86" s="3">
        <v>10159</v>
      </c>
      <c r="C86" s="3">
        <v>22</v>
      </c>
      <c r="D86" s="13">
        <v>100</v>
      </c>
      <c r="E86" s="5">
        <v>37904</v>
      </c>
      <c r="F86" s="2" t="s">
        <v>13</v>
      </c>
      <c r="G86" s="2" t="s">
        <v>14</v>
      </c>
      <c r="H86" s="3">
        <v>4</v>
      </c>
      <c r="I86" s="6">
        <v>2003</v>
      </c>
      <c r="J86" s="2" t="s">
        <v>22</v>
      </c>
      <c r="K86" s="2" t="s">
        <v>29</v>
      </c>
      <c r="L86" s="7">
        <f t="shared" si="3"/>
        <v>2200</v>
      </c>
      <c r="M86" s="2" t="str">
        <f t="shared" si="4"/>
        <v>October</v>
      </c>
      <c r="N86" s="6">
        <f t="shared" si="5"/>
        <v>2003</v>
      </c>
    </row>
    <row r="87" spans="1:14">
      <c r="A87" s="2" t="s">
        <v>31</v>
      </c>
      <c r="B87" s="3">
        <v>10168</v>
      </c>
      <c r="C87" s="3">
        <v>20</v>
      </c>
      <c r="D87" s="13">
        <v>100</v>
      </c>
      <c r="E87" s="5">
        <v>37922</v>
      </c>
      <c r="F87" s="2" t="s">
        <v>13</v>
      </c>
      <c r="G87" s="2" t="s">
        <v>14</v>
      </c>
      <c r="H87" s="3">
        <v>4</v>
      </c>
      <c r="I87" s="6">
        <v>2003</v>
      </c>
      <c r="J87" s="2" t="s">
        <v>22</v>
      </c>
      <c r="K87" s="2" t="s">
        <v>32</v>
      </c>
      <c r="L87" s="7">
        <f t="shared" si="3"/>
        <v>2000</v>
      </c>
      <c r="M87" s="2" t="str">
        <f t="shared" si="4"/>
        <v>October</v>
      </c>
      <c r="N87" s="6">
        <f t="shared" si="5"/>
        <v>2003</v>
      </c>
    </row>
    <row r="88" spans="1:14">
      <c r="A88" s="2" t="s">
        <v>34</v>
      </c>
      <c r="B88" s="3">
        <v>10180</v>
      </c>
      <c r="C88" s="3">
        <v>41</v>
      </c>
      <c r="D88" s="13">
        <v>100</v>
      </c>
      <c r="E88" s="5">
        <v>37936</v>
      </c>
      <c r="F88" s="2" t="s">
        <v>13</v>
      </c>
      <c r="G88" s="2" t="s">
        <v>14</v>
      </c>
      <c r="H88" s="3">
        <v>4</v>
      </c>
      <c r="I88" s="6">
        <v>2003</v>
      </c>
      <c r="J88" s="2" t="s">
        <v>61</v>
      </c>
      <c r="K88" s="2" t="s">
        <v>35</v>
      </c>
      <c r="L88" s="7">
        <f t="shared" si="3"/>
        <v>4100</v>
      </c>
      <c r="M88" s="2" t="str">
        <f t="shared" si="4"/>
        <v>November</v>
      </c>
      <c r="N88" s="6">
        <f t="shared" si="5"/>
        <v>2003</v>
      </c>
    </row>
    <row r="89" spans="1:14">
      <c r="A89" s="2" t="s">
        <v>36</v>
      </c>
      <c r="B89" s="3">
        <v>10188</v>
      </c>
      <c r="C89" s="3">
        <v>45</v>
      </c>
      <c r="D89" s="13">
        <v>100</v>
      </c>
      <c r="E89" s="5">
        <v>37943</v>
      </c>
      <c r="F89" s="2" t="s">
        <v>13</v>
      </c>
      <c r="G89" s="2" t="s">
        <v>14</v>
      </c>
      <c r="H89" s="3">
        <v>4</v>
      </c>
      <c r="I89" s="6">
        <v>2003</v>
      </c>
      <c r="J89" s="2" t="s">
        <v>61</v>
      </c>
      <c r="K89" s="2" t="s">
        <v>37</v>
      </c>
      <c r="L89" s="7">
        <f t="shared" si="3"/>
        <v>4500</v>
      </c>
      <c r="M89" s="2" t="str">
        <f t="shared" si="4"/>
        <v>November</v>
      </c>
      <c r="N89" s="6">
        <f t="shared" si="5"/>
        <v>2003</v>
      </c>
    </row>
    <row r="90" spans="1:14">
      <c r="A90" s="2" t="s">
        <v>38</v>
      </c>
      <c r="B90" s="3">
        <v>10201</v>
      </c>
      <c r="C90" s="3">
        <v>49</v>
      </c>
      <c r="D90" s="13">
        <v>100</v>
      </c>
      <c r="E90" s="5">
        <v>37956</v>
      </c>
      <c r="F90" s="2" t="s">
        <v>13</v>
      </c>
      <c r="G90" s="2" t="s">
        <v>14</v>
      </c>
      <c r="H90" s="3">
        <v>4</v>
      </c>
      <c r="I90" s="6">
        <v>2003</v>
      </c>
      <c r="J90" s="2" t="s">
        <v>61</v>
      </c>
      <c r="K90" s="2" t="s">
        <v>39</v>
      </c>
      <c r="L90" s="7">
        <f t="shared" si="3"/>
        <v>4900</v>
      </c>
      <c r="M90" s="2" t="str">
        <f t="shared" si="4"/>
        <v>December</v>
      </c>
      <c r="N90" s="6">
        <f t="shared" si="5"/>
        <v>2003</v>
      </c>
    </row>
    <row r="91" spans="1:14">
      <c r="A91" s="2" t="s">
        <v>114</v>
      </c>
      <c r="B91" s="3">
        <v>10210</v>
      </c>
      <c r="C91" s="3">
        <v>34</v>
      </c>
      <c r="D91" s="13">
        <v>100</v>
      </c>
      <c r="E91" s="5">
        <v>37998</v>
      </c>
      <c r="F91" s="2" t="s">
        <v>13</v>
      </c>
      <c r="G91" s="2" t="s">
        <v>14</v>
      </c>
      <c r="H91" s="3">
        <v>1</v>
      </c>
      <c r="I91" s="6">
        <v>2004</v>
      </c>
      <c r="J91" s="2" t="s">
        <v>22</v>
      </c>
      <c r="K91" s="2" t="s">
        <v>115</v>
      </c>
      <c r="L91" s="7">
        <f t="shared" si="3"/>
        <v>3400</v>
      </c>
      <c r="M91" s="2" t="str">
        <f t="shared" si="4"/>
        <v>January</v>
      </c>
      <c r="N91" s="6">
        <f t="shared" si="5"/>
        <v>2004</v>
      </c>
    </row>
    <row r="92" spans="1:14">
      <c r="A92" s="2" t="s">
        <v>42</v>
      </c>
      <c r="B92" s="3">
        <v>10223</v>
      </c>
      <c r="C92" s="3">
        <v>49</v>
      </c>
      <c r="D92" s="13">
        <v>100</v>
      </c>
      <c r="E92" s="5">
        <v>38037</v>
      </c>
      <c r="F92" s="2" t="s">
        <v>13</v>
      </c>
      <c r="G92" s="2" t="s">
        <v>14</v>
      </c>
      <c r="H92" s="3">
        <v>1</v>
      </c>
      <c r="I92" s="6">
        <v>2004</v>
      </c>
      <c r="J92" s="2" t="s">
        <v>61</v>
      </c>
      <c r="K92" s="2" t="s">
        <v>43</v>
      </c>
      <c r="L92" s="7">
        <f t="shared" si="3"/>
        <v>4900</v>
      </c>
      <c r="M92" s="2" t="str">
        <f t="shared" si="4"/>
        <v>February</v>
      </c>
      <c r="N92" s="6">
        <f t="shared" si="5"/>
        <v>2004</v>
      </c>
    </row>
    <row r="93" spans="1:14">
      <c r="A93" s="2" t="s">
        <v>44</v>
      </c>
      <c r="B93" s="3">
        <v>10237</v>
      </c>
      <c r="C93" s="3">
        <v>39</v>
      </c>
      <c r="D93" s="13">
        <v>100</v>
      </c>
      <c r="E93" s="5">
        <v>38082</v>
      </c>
      <c r="F93" s="2" t="s">
        <v>13</v>
      </c>
      <c r="G93" s="2" t="s">
        <v>14</v>
      </c>
      <c r="H93" s="3">
        <v>2</v>
      </c>
      <c r="I93" s="6">
        <v>2004</v>
      </c>
      <c r="J93" s="2" t="s">
        <v>61</v>
      </c>
      <c r="K93" s="2" t="s">
        <v>45</v>
      </c>
      <c r="L93" s="7">
        <f t="shared" si="3"/>
        <v>3900</v>
      </c>
      <c r="M93" s="2" t="str">
        <f t="shared" si="4"/>
        <v>April</v>
      </c>
      <c r="N93" s="6">
        <f t="shared" si="5"/>
        <v>2004</v>
      </c>
    </row>
    <row r="94" spans="1:14">
      <c r="A94" s="2" t="s">
        <v>46</v>
      </c>
      <c r="B94" s="3">
        <v>10251</v>
      </c>
      <c r="C94" s="3">
        <v>43</v>
      </c>
      <c r="D94" s="13">
        <v>100</v>
      </c>
      <c r="E94" s="5">
        <v>38125</v>
      </c>
      <c r="F94" s="2" t="s">
        <v>13</v>
      </c>
      <c r="G94" s="2" t="s">
        <v>14</v>
      </c>
      <c r="H94" s="3">
        <v>2</v>
      </c>
      <c r="I94" s="6">
        <v>2004</v>
      </c>
      <c r="J94" s="2" t="s">
        <v>61</v>
      </c>
      <c r="K94" s="2" t="s">
        <v>47</v>
      </c>
      <c r="L94" s="7">
        <f t="shared" si="3"/>
        <v>4300</v>
      </c>
      <c r="M94" s="2" t="str">
        <f t="shared" si="4"/>
        <v>May</v>
      </c>
      <c r="N94" s="6">
        <f t="shared" si="5"/>
        <v>2004</v>
      </c>
    </row>
    <row r="95" spans="1:14">
      <c r="A95" s="2" t="s">
        <v>48</v>
      </c>
      <c r="B95" s="3">
        <v>10263</v>
      </c>
      <c r="C95" s="3">
        <v>41</v>
      </c>
      <c r="D95" s="13">
        <v>100</v>
      </c>
      <c r="E95" s="5">
        <v>38166</v>
      </c>
      <c r="F95" s="2" t="s">
        <v>13</v>
      </c>
      <c r="G95" s="2" t="s">
        <v>14</v>
      </c>
      <c r="H95" s="3">
        <v>2</v>
      </c>
      <c r="I95" s="6">
        <v>2004</v>
      </c>
      <c r="J95" s="2" t="s">
        <v>61</v>
      </c>
      <c r="K95" s="2" t="s">
        <v>49</v>
      </c>
      <c r="L95" s="7">
        <f t="shared" si="3"/>
        <v>4100</v>
      </c>
      <c r="M95" s="2" t="str">
        <f t="shared" si="4"/>
        <v>June</v>
      </c>
      <c r="N95" s="6">
        <f t="shared" si="5"/>
        <v>2004</v>
      </c>
    </row>
    <row r="96" spans="1:14">
      <c r="A96" s="2" t="s">
        <v>50</v>
      </c>
      <c r="B96" s="3">
        <v>10275</v>
      </c>
      <c r="C96" s="3">
        <v>36</v>
      </c>
      <c r="D96" s="13">
        <v>100</v>
      </c>
      <c r="E96" s="5">
        <v>38191</v>
      </c>
      <c r="F96" s="2" t="s">
        <v>13</v>
      </c>
      <c r="G96" s="2" t="s">
        <v>14</v>
      </c>
      <c r="H96" s="3">
        <v>3</v>
      </c>
      <c r="I96" s="6">
        <v>2004</v>
      </c>
      <c r="J96" s="2" t="s">
        <v>22</v>
      </c>
      <c r="K96" s="2" t="s">
        <v>51</v>
      </c>
      <c r="L96" s="7">
        <f t="shared" si="3"/>
        <v>3600</v>
      </c>
      <c r="M96" s="2" t="str">
        <f t="shared" si="4"/>
        <v>July</v>
      </c>
      <c r="N96" s="6">
        <f t="shared" si="5"/>
        <v>2004</v>
      </c>
    </row>
    <row r="97" spans="1:14">
      <c r="A97" s="2" t="s">
        <v>52</v>
      </c>
      <c r="B97" s="3">
        <v>10285</v>
      </c>
      <c r="C97" s="3">
        <v>27</v>
      </c>
      <c r="D97" s="13">
        <v>100</v>
      </c>
      <c r="E97" s="5">
        <v>38226</v>
      </c>
      <c r="F97" s="2" t="s">
        <v>13</v>
      </c>
      <c r="G97" s="2" t="s">
        <v>14</v>
      </c>
      <c r="H97" s="3">
        <v>3</v>
      </c>
      <c r="I97" s="6">
        <v>2004</v>
      </c>
      <c r="J97" s="2" t="s">
        <v>22</v>
      </c>
      <c r="K97" s="2" t="s">
        <v>53</v>
      </c>
      <c r="L97" s="7">
        <f t="shared" si="3"/>
        <v>2700</v>
      </c>
      <c r="M97" s="2" t="str">
        <f t="shared" si="4"/>
        <v>August</v>
      </c>
      <c r="N97" s="6">
        <f t="shared" si="5"/>
        <v>2004</v>
      </c>
    </row>
    <row r="98" spans="1:14">
      <c r="A98" s="2" t="s">
        <v>54</v>
      </c>
      <c r="B98" s="3">
        <v>10299</v>
      </c>
      <c r="C98" s="3">
        <v>29</v>
      </c>
      <c r="D98" s="13">
        <v>100</v>
      </c>
      <c r="E98" s="5">
        <v>38260</v>
      </c>
      <c r="F98" s="2" t="s">
        <v>13</v>
      </c>
      <c r="G98" s="2" t="s">
        <v>14</v>
      </c>
      <c r="H98" s="3">
        <v>3</v>
      </c>
      <c r="I98" s="6">
        <v>2004</v>
      </c>
      <c r="J98" s="2" t="s">
        <v>22</v>
      </c>
      <c r="K98" s="2" t="s">
        <v>55</v>
      </c>
      <c r="L98" s="7">
        <f t="shared" si="3"/>
        <v>2900</v>
      </c>
      <c r="M98" s="2" t="str">
        <f t="shared" si="4"/>
        <v>September</v>
      </c>
      <c r="N98" s="6">
        <f t="shared" si="5"/>
        <v>2004</v>
      </c>
    </row>
    <row r="99" spans="1:14">
      <c r="A99" s="2" t="s">
        <v>120</v>
      </c>
      <c r="B99" s="3">
        <v>10308</v>
      </c>
      <c r="C99" s="3">
        <v>20</v>
      </c>
      <c r="D99" s="13">
        <v>100</v>
      </c>
      <c r="E99" s="5">
        <v>38275</v>
      </c>
      <c r="F99" s="2" t="s">
        <v>13</v>
      </c>
      <c r="G99" s="2" t="s">
        <v>14</v>
      </c>
      <c r="H99" s="3">
        <v>4</v>
      </c>
      <c r="I99" s="6">
        <v>2004</v>
      </c>
      <c r="J99" s="2" t="s">
        <v>22</v>
      </c>
      <c r="K99" s="2" t="s">
        <v>121</v>
      </c>
      <c r="L99" s="7">
        <f t="shared" si="3"/>
        <v>2000</v>
      </c>
      <c r="M99" s="2" t="str">
        <f t="shared" si="4"/>
        <v>October</v>
      </c>
      <c r="N99" s="6">
        <f t="shared" si="5"/>
        <v>2004</v>
      </c>
    </row>
    <row r="100" spans="1:14">
      <c r="A100" s="2" t="s">
        <v>58</v>
      </c>
      <c r="B100" s="3">
        <v>10318</v>
      </c>
      <c r="C100" s="3">
        <v>37</v>
      </c>
      <c r="D100" s="13">
        <v>100</v>
      </c>
      <c r="E100" s="5">
        <v>38293</v>
      </c>
      <c r="F100" s="2" t="s">
        <v>13</v>
      </c>
      <c r="G100" s="2" t="s">
        <v>14</v>
      </c>
      <c r="H100" s="3">
        <v>4</v>
      </c>
      <c r="I100" s="6">
        <v>2004</v>
      </c>
      <c r="J100" s="2" t="s">
        <v>61</v>
      </c>
      <c r="K100" s="2" t="s">
        <v>59</v>
      </c>
      <c r="L100" s="7">
        <f t="shared" si="3"/>
        <v>3700</v>
      </c>
      <c r="M100" s="2" t="str">
        <f t="shared" si="4"/>
        <v>November</v>
      </c>
      <c r="N100" s="6">
        <f t="shared" si="5"/>
        <v>2004</v>
      </c>
    </row>
    <row r="101" spans="1:14">
      <c r="A101" s="2" t="s">
        <v>12</v>
      </c>
      <c r="B101" s="3">
        <v>10329</v>
      </c>
      <c r="C101" s="3">
        <v>26</v>
      </c>
      <c r="D101" s="13">
        <v>100</v>
      </c>
      <c r="E101" s="5">
        <v>38306</v>
      </c>
      <c r="F101" s="2" t="s">
        <v>13</v>
      </c>
      <c r="G101" s="2" t="s">
        <v>14</v>
      </c>
      <c r="H101" s="3">
        <v>4</v>
      </c>
      <c r="I101" s="6">
        <v>2004</v>
      </c>
      <c r="J101" s="2" t="s">
        <v>22</v>
      </c>
      <c r="K101" s="2" t="s">
        <v>16</v>
      </c>
      <c r="L101" s="7">
        <f t="shared" si="3"/>
        <v>2600</v>
      </c>
      <c r="M101" s="2" t="str">
        <f t="shared" si="4"/>
        <v>November</v>
      </c>
      <c r="N101" s="6">
        <f t="shared" si="5"/>
        <v>2004</v>
      </c>
    </row>
    <row r="102" spans="1:14">
      <c r="A102" s="2" t="s">
        <v>95</v>
      </c>
      <c r="B102" s="3">
        <v>10339</v>
      </c>
      <c r="C102" s="3">
        <v>39</v>
      </c>
      <c r="D102" s="13">
        <v>76.67</v>
      </c>
      <c r="E102" s="5">
        <v>38314</v>
      </c>
      <c r="F102" s="2" t="s">
        <v>13</v>
      </c>
      <c r="G102" s="2" t="s">
        <v>14</v>
      </c>
      <c r="H102" s="3">
        <v>4</v>
      </c>
      <c r="I102" s="6">
        <v>2004</v>
      </c>
      <c r="J102" s="2" t="s">
        <v>15</v>
      </c>
      <c r="K102" s="2" t="s">
        <v>96</v>
      </c>
      <c r="L102" s="7">
        <f t="shared" si="3"/>
        <v>2990.13</v>
      </c>
      <c r="M102" s="2" t="str">
        <f t="shared" si="4"/>
        <v>November</v>
      </c>
      <c r="N102" s="6">
        <f t="shared" si="5"/>
        <v>2004</v>
      </c>
    </row>
    <row r="103" spans="1:14">
      <c r="A103" s="2" t="s">
        <v>31</v>
      </c>
      <c r="B103" s="3">
        <v>10362</v>
      </c>
      <c r="C103" s="3">
        <v>22</v>
      </c>
      <c r="D103" s="13">
        <v>100</v>
      </c>
      <c r="E103" s="5">
        <v>38357</v>
      </c>
      <c r="F103" s="2" t="s">
        <v>13</v>
      </c>
      <c r="G103" s="2" t="s">
        <v>14</v>
      </c>
      <c r="H103" s="3">
        <v>1</v>
      </c>
      <c r="I103" s="6">
        <v>2005</v>
      </c>
      <c r="J103" s="2" t="s">
        <v>22</v>
      </c>
      <c r="K103" s="2" t="s">
        <v>32</v>
      </c>
      <c r="L103" s="7">
        <f t="shared" si="3"/>
        <v>2200</v>
      </c>
      <c r="M103" s="2" t="str">
        <f t="shared" si="4"/>
        <v>January</v>
      </c>
      <c r="N103" s="6">
        <f t="shared" si="5"/>
        <v>2005</v>
      </c>
    </row>
    <row r="104" spans="1:14">
      <c r="A104" s="2" t="s">
        <v>81</v>
      </c>
      <c r="B104" s="3">
        <v>10374</v>
      </c>
      <c r="C104" s="3">
        <v>22</v>
      </c>
      <c r="D104" s="13">
        <v>100</v>
      </c>
      <c r="E104" s="5">
        <v>38385</v>
      </c>
      <c r="F104" s="2" t="s">
        <v>13</v>
      </c>
      <c r="G104" s="2" t="s">
        <v>14</v>
      </c>
      <c r="H104" s="3">
        <v>1</v>
      </c>
      <c r="I104" s="6">
        <v>2005</v>
      </c>
      <c r="J104" s="2" t="s">
        <v>22</v>
      </c>
      <c r="K104" s="2" t="s">
        <v>82</v>
      </c>
      <c r="L104" s="7">
        <f t="shared" si="3"/>
        <v>2200</v>
      </c>
      <c r="M104" s="2" t="str">
        <f t="shared" si="4"/>
        <v>February</v>
      </c>
      <c r="N104" s="6">
        <f t="shared" si="5"/>
        <v>2005</v>
      </c>
    </row>
    <row r="105" spans="1:14">
      <c r="A105" s="2" t="s">
        <v>65</v>
      </c>
      <c r="B105" s="3">
        <v>10388</v>
      </c>
      <c r="C105" s="3">
        <v>21</v>
      </c>
      <c r="D105" s="13">
        <v>86.77</v>
      </c>
      <c r="E105" s="5">
        <v>38414</v>
      </c>
      <c r="F105" s="2" t="s">
        <v>13</v>
      </c>
      <c r="G105" s="2" t="s">
        <v>14</v>
      </c>
      <c r="H105" s="3">
        <v>1</v>
      </c>
      <c r="I105" s="6">
        <v>2005</v>
      </c>
      <c r="J105" s="2" t="s">
        <v>15</v>
      </c>
      <c r="K105" s="2" t="s">
        <v>66</v>
      </c>
      <c r="L105" s="7">
        <f t="shared" si="3"/>
        <v>1822.17</v>
      </c>
      <c r="M105" s="2" t="str">
        <f t="shared" si="4"/>
        <v>March</v>
      </c>
      <c r="N105" s="6">
        <f t="shared" si="5"/>
        <v>2005</v>
      </c>
    </row>
    <row r="106" spans="1:14">
      <c r="A106" s="2" t="s">
        <v>67</v>
      </c>
      <c r="B106" s="3">
        <v>10403</v>
      </c>
      <c r="C106" s="3">
        <v>66</v>
      </c>
      <c r="D106" s="13">
        <v>100</v>
      </c>
      <c r="E106" s="5">
        <v>38450</v>
      </c>
      <c r="F106" s="2" t="s">
        <v>13</v>
      </c>
      <c r="G106" s="2" t="s">
        <v>14</v>
      </c>
      <c r="H106" s="3">
        <v>2</v>
      </c>
      <c r="I106" s="6">
        <v>2005</v>
      </c>
      <c r="J106" s="2" t="s">
        <v>61</v>
      </c>
      <c r="K106" s="2" t="s">
        <v>68</v>
      </c>
      <c r="L106" s="7">
        <f t="shared" si="3"/>
        <v>6600</v>
      </c>
      <c r="M106" s="2" t="str">
        <f t="shared" si="4"/>
        <v>April</v>
      </c>
      <c r="N106" s="6">
        <f t="shared" si="5"/>
        <v>2005</v>
      </c>
    </row>
    <row r="107" spans="1:14">
      <c r="A107" s="2" t="s">
        <v>69</v>
      </c>
      <c r="B107" s="3">
        <v>10417</v>
      </c>
      <c r="C107" s="3">
        <v>56</v>
      </c>
      <c r="D107" s="13">
        <v>100</v>
      </c>
      <c r="E107" s="5">
        <v>38485</v>
      </c>
      <c r="F107" s="2" t="s">
        <v>70</v>
      </c>
      <c r="G107" s="2" t="s">
        <v>14</v>
      </c>
      <c r="H107" s="3">
        <v>2</v>
      </c>
      <c r="I107" s="6">
        <v>2005</v>
      </c>
      <c r="J107" s="2" t="s">
        <v>61</v>
      </c>
      <c r="K107" s="2" t="s">
        <v>71</v>
      </c>
      <c r="L107" s="7">
        <f t="shared" si="3"/>
        <v>5600</v>
      </c>
      <c r="M107" s="2" t="str">
        <f t="shared" si="4"/>
        <v>May</v>
      </c>
      <c r="N107" s="6">
        <f t="shared" si="5"/>
        <v>2005</v>
      </c>
    </row>
    <row r="108" spans="1:14">
      <c r="A108" s="2" t="s">
        <v>122</v>
      </c>
      <c r="B108" s="3">
        <v>10105</v>
      </c>
      <c r="C108" s="3">
        <v>50</v>
      </c>
      <c r="D108" s="13">
        <v>100</v>
      </c>
      <c r="E108" s="5">
        <v>37663</v>
      </c>
      <c r="F108" s="2" t="s">
        <v>13</v>
      </c>
      <c r="G108" s="2" t="s">
        <v>72</v>
      </c>
      <c r="H108" s="3">
        <v>1</v>
      </c>
      <c r="I108" s="6">
        <v>2003</v>
      </c>
      <c r="J108" s="2" t="s">
        <v>61</v>
      </c>
      <c r="K108" s="2" t="s">
        <v>123</v>
      </c>
      <c r="L108" s="7">
        <f t="shared" si="3"/>
        <v>5000</v>
      </c>
      <c r="M108" s="2" t="str">
        <f t="shared" si="4"/>
        <v>February</v>
      </c>
      <c r="N108" s="6">
        <f t="shared" si="5"/>
        <v>2003</v>
      </c>
    </row>
    <row r="109" spans="1:14">
      <c r="A109" s="2" t="s">
        <v>60</v>
      </c>
      <c r="B109" s="3">
        <v>10119</v>
      </c>
      <c r="C109" s="3">
        <v>46</v>
      </c>
      <c r="D109" s="13">
        <v>100</v>
      </c>
      <c r="E109" s="5">
        <v>37739</v>
      </c>
      <c r="F109" s="2" t="s">
        <v>13</v>
      </c>
      <c r="G109" s="2" t="s">
        <v>72</v>
      </c>
      <c r="H109" s="3">
        <v>2</v>
      </c>
      <c r="I109" s="6">
        <v>2003</v>
      </c>
      <c r="J109" s="2" t="s">
        <v>22</v>
      </c>
      <c r="K109" s="2" t="s">
        <v>62</v>
      </c>
      <c r="L109" s="7">
        <f t="shared" si="3"/>
        <v>4600</v>
      </c>
      <c r="M109" s="2" t="str">
        <f t="shared" si="4"/>
        <v>April</v>
      </c>
      <c r="N109" s="6">
        <f t="shared" si="5"/>
        <v>2003</v>
      </c>
    </row>
    <row r="110" spans="1:14">
      <c r="A110" s="2" t="s">
        <v>124</v>
      </c>
      <c r="B110" s="3">
        <v>10129</v>
      </c>
      <c r="C110" s="3">
        <v>33</v>
      </c>
      <c r="D110" s="13">
        <v>100</v>
      </c>
      <c r="E110" s="5">
        <v>37784</v>
      </c>
      <c r="F110" s="2" t="s">
        <v>13</v>
      </c>
      <c r="G110" s="2" t="s">
        <v>72</v>
      </c>
      <c r="H110" s="3">
        <v>2</v>
      </c>
      <c r="I110" s="6">
        <v>2003</v>
      </c>
      <c r="J110" s="2" t="s">
        <v>22</v>
      </c>
      <c r="K110" s="2" t="s">
        <v>125</v>
      </c>
      <c r="L110" s="7">
        <f t="shared" si="3"/>
        <v>3300</v>
      </c>
      <c r="M110" s="2" t="str">
        <f t="shared" si="4"/>
        <v>June</v>
      </c>
      <c r="N110" s="6">
        <f t="shared" si="5"/>
        <v>2003</v>
      </c>
    </row>
    <row r="111" spans="1:14">
      <c r="A111" s="2" t="s">
        <v>126</v>
      </c>
      <c r="B111" s="3">
        <v>10143</v>
      </c>
      <c r="C111" s="3">
        <v>49</v>
      </c>
      <c r="D111" s="13">
        <v>100</v>
      </c>
      <c r="E111" s="5">
        <v>37843</v>
      </c>
      <c r="F111" s="2" t="s">
        <v>13</v>
      </c>
      <c r="G111" s="2" t="s">
        <v>72</v>
      </c>
      <c r="H111" s="3">
        <v>3</v>
      </c>
      <c r="I111" s="6">
        <v>2003</v>
      </c>
      <c r="J111" s="2" t="s">
        <v>22</v>
      </c>
      <c r="K111" s="2" t="s">
        <v>127</v>
      </c>
      <c r="L111" s="7">
        <f t="shared" si="3"/>
        <v>4900</v>
      </c>
      <c r="M111" s="2" t="str">
        <f t="shared" si="4"/>
        <v>August</v>
      </c>
      <c r="N111" s="6">
        <f t="shared" si="5"/>
        <v>2003</v>
      </c>
    </row>
    <row r="112" spans="1:14">
      <c r="A112" s="2" t="s">
        <v>54</v>
      </c>
      <c r="B112" s="3">
        <v>10155</v>
      </c>
      <c r="C112" s="3">
        <v>32</v>
      </c>
      <c r="D112" s="13">
        <v>100</v>
      </c>
      <c r="E112" s="5">
        <v>37900</v>
      </c>
      <c r="F112" s="2" t="s">
        <v>13</v>
      </c>
      <c r="G112" s="2" t="s">
        <v>72</v>
      </c>
      <c r="H112" s="3">
        <v>4</v>
      </c>
      <c r="I112" s="6">
        <v>2003</v>
      </c>
      <c r="J112" s="2" t="s">
        <v>22</v>
      </c>
      <c r="K112" s="2" t="s">
        <v>55</v>
      </c>
      <c r="L112" s="7">
        <f t="shared" si="3"/>
        <v>3200</v>
      </c>
      <c r="M112" s="2" t="str">
        <f t="shared" si="4"/>
        <v>October</v>
      </c>
      <c r="N112" s="6">
        <f t="shared" si="5"/>
        <v>2003</v>
      </c>
    </row>
    <row r="113" spans="1:14">
      <c r="A113" s="2" t="s">
        <v>99</v>
      </c>
      <c r="B113" s="3">
        <v>10167</v>
      </c>
      <c r="C113" s="3">
        <v>44</v>
      </c>
      <c r="D113" s="13">
        <v>100</v>
      </c>
      <c r="E113" s="5">
        <v>37917</v>
      </c>
      <c r="F113" s="2" t="s">
        <v>128</v>
      </c>
      <c r="G113" s="2" t="s">
        <v>72</v>
      </c>
      <c r="H113" s="3">
        <v>4</v>
      </c>
      <c r="I113" s="6">
        <v>2003</v>
      </c>
      <c r="J113" s="2" t="s">
        <v>22</v>
      </c>
      <c r="K113" s="2" t="s">
        <v>100</v>
      </c>
      <c r="L113" s="7">
        <f t="shared" si="3"/>
        <v>4400</v>
      </c>
      <c r="M113" s="2" t="str">
        <f t="shared" si="4"/>
        <v>October</v>
      </c>
      <c r="N113" s="6">
        <f t="shared" si="5"/>
        <v>2003</v>
      </c>
    </row>
    <row r="114" spans="1:14">
      <c r="A114" s="2" t="s">
        <v>129</v>
      </c>
      <c r="B114" s="3">
        <v>10178</v>
      </c>
      <c r="C114" s="3">
        <v>24</v>
      </c>
      <c r="D114" s="13">
        <v>100</v>
      </c>
      <c r="E114" s="5">
        <v>37933</v>
      </c>
      <c r="F114" s="2" t="s">
        <v>13</v>
      </c>
      <c r="G114" s="2" t="s">
        <v>72</v>
      </c>
      <c r="H114" s="3">
        <v>4</v>
      </c>
      <c r="I114" s="6">
        <v>2003</v>
      </c>
      <c r="J114" s="2" t="s">
        <v>22</v>
      </c>
      <c r="K114" s="2" t="s">
        <v>130</v>
      </c>
      <c r="L114" s="7">
        <f t="shared" si="3"/>
        <v>2400</v>
      </c>
      <c r="M114" s="2" t="str">
        <f t="shared" si="4"/>
        <v>November</v>
      </c>
      <c r="N114" s="6">
        <f t="shared" si="5"/>
        <v>2003</v>
      </c>
    </row>
    <row r="115" spans="1:14">
      <c r="A115" s="2" t="s">
        <v>131</v>
      </c>
      <c r="B115" s="3">
        <v>10186</v>
      </c>
      <c r="C115" s="3">
        <v>26</v>
      </c>
      <c r="D115" s="13">
        <v>100</v>
      </c>
      <c r="E115" s="5">
        <v>37939</v>
      </c>
      <c r="F115" s="2" t="s">
        <v>13</v>
      </c>
      <c r="G115" s="2" t="s">
        <v>72</v>
      </c>
      <c r="H115" s="3">
        <v>4</v>
      </c>
      <c r="I115" s="6">
        <v>2003</v>
      </c>
      <c r="J115" s="2" t="s">
        <v>22</v>
      </c>
      <c r="K115" s="2" t="s">
        <v>132</v>
      </c>
      <c r="L115" s="7">
        <f t="shared" si="3"/>
        <v>2600</v>
      </c>
      <c r="M115" s="2" t="str">
        <f t="shared" si="4"/>
        <v>November</v>
      </c>
      <c r="N115" s="6">
        <f t="shared" si="5"/>
        <v>2003</v>
      </c>
    </row>
    <row r="116" spans="1:14">
      <c r="A116" s="2" t="s">
        <v>133</v>
      </c>
      <c r="B116" s="3">
        <v>10197</v>
      </c>
      <c r="C116" s="3">
        <v>45</v>
      </c>
      <c r="D116" s="13">
        <v>100</v>
      </c>
      <c r="E116" s="5">
        <v>37951</v>
      </c>
      <c r="F116" s="2" t="s">
        <v>13</v>
      </c>
      <c r="G116" s="2" t="s">
        <v>72</v>
      </c>
      <c r="H116" s="3">
        <v>4</v>
      </c>
      <c r="I116" s="6">
        <v>2003</v>
      </c>
      <c r="J116" s="2" t="s">
        <v>22</v>
      </c>
      <c r="K116" s="2" t="s">
        <v>134</v>
      </c>
      <c r="L116" s="7">
        <f t="shared" si="3"/>
        <v>4500</v>
      </c>
      <c r="M116" s="2" t="str">
        <f t="shared" si="4"/>
        <v>November</v>
      </c>
      <c r="N116" s="6">
        <f t="shared" si="5"/>
        <v>2003</v>
      </c>
    </row>
    <row r="117" spans="1:14">
      <c r="A117" s="2" t="s">
        <v>135</v>
      </c>
      <c r="B117" s="3">
        <v>10209</v>
      </c>
      <c r="C117" s="3">
        <v>39</v>
      </c>
      <c r="D117" s="13">
        <v>100</v>
      </c>
      <c r="E117" s="5">
        <v>37995</v>
      </c>
      <c r="F117" s="2" t="s">
        <v>13</v>
      </c>
      <c r="G117" s="2" t="s">
        <v>72</v>
      </c>
      <c r="H117" s="3">
        <v>1</v>
      </c>
      <c r="I117" s="6">
        <v>2004</v>
      </c>
      <c r="J117" s="2" t="s">
        <v>22</v>
      </c>
      <c r="K117" s="2" t="s">
        <v>136</v>
      </c>
      <c r="L117" s="7">
        <f t="shared" si="3"/>
        <v>3900</v>
      </c>
      <c r="M117" s="2" t="str">
        <f t="shared" si="4"/>
        <v>January</v>
      </c>
      <c r="N117" s="6">
        <f t="shared" si="5"/>
        <v>2004</v>
      </c>
    </row>
    <row r="118" spans="1:14">
      <c r="A118" s="2" t="s">
        <v>137</v>
      </c>
      <c r="B118" s="3">
        <v>10222</v>
      </c>
      <c r="C118" s="3">
        <v>49</v>
      </c>
      <c r="D118" s="13">
        <v>100</v>
      </c>
      <c r="E118" s="5">
        <v>38036</v>
      </c>
      <c r="F118" s="2" t="s">
        <v>13</v>
      </c>
      <c r="G118" s="2" t="s">
        <v>72</v>
      </c>
      <c r="H118" s="3">
        <v>1</v>
      </c>
      <c r="I118" s="6">
        <v>2004</v>
      </c>
      <c r="J118" s="2" t="s">
        <v>22</v>
      </c>
      <c r="K118" s="2" t="s">
        <v>138</v>
      </c>
      <c r="L118" s="7">
        <f t="shared" si="3"/>
        <v>4900</v>
      </c>
      <c r="M118" s="2" t="str">
        <f t="shared" si="4"/>
        <v>February</v>
      </c>
      <c r="N118" s="6">
        <f t="shared" si="5"/>
        <v>2004</v>
      </c>
    </row>
    <row r="119" spans="1:14">
      <c r="A119" s="2" t="s">
        <v>12</v>
      </c>
      <c r="B119" s="3">
        <v>10248</v>
      </c>
      <c r="C119" s="3">
        <v>20</v>
      </c>
      <c r="D119" s="13">
        <v>100</v>
      </c>
      <c r="E119" s="5">
        <v>38114</v>
      </c>
      <c r="F119" s="2" t="s">
        <v>128</v>
      </c>
      <c r="G119" s="2" t="s">
        <v>72</v>
      </c>
      <c r="H119" s="3">
        <v>2</v>
      </c>
      <c r="I119" s="6">
        <v>2004</v>
      </c>
      <c r="J119" s="2" t="s">
        <v>15</v>
      </c>
      <c r="K119" s="2" t="s">
        <v>16</v>
      </c>
      <c r="L119" s="7">
        <f t="shared" si="3"/>
        <v>2000</v>
      </c>
      <c r="M119" s="2" t="str">
        <f t="shared" si="4"/>
        <v>May</v>
      </c>
      <c r="N119" s="6">
        <f t="shared" si="5"/>
        <v>2004</v>
      </c>
    </row>
    <row r="120" spans="1:14">
      <c r="A120" s="2" t="s">
        <v>111</v>
      </c>
      <c r="B120" s="3">
        <v>10261</v>
      </c>
      <c r="C120" s="3">
        <v>27</v>
      </c>
      <c r="D120" s="13">
        <v>100</v>
      </c>
      <c r="E120" s="5">
        <v>38155</v>
      </c>
      <c r="F120" s="2" t="s">
        <v>13</v>
      </c>
      <c r="G120" s="2" t="s">
        <v>72</v>
      </c>
      <c r="H120" s="3">
        <v>2</v>
      </c>
      <c r="I120" s="6">
        <v>2004</v>
      </c>
      <c r="J120" s="2" t="s">
        <v>22</v>
      </c>
      <c r="K120" s="2" t="s">
        <v>112</v>
      </c>
      <c r="L120" s="7">
        <f t="shared" si="3"/>
        <v>2700</v>
      </c>
      <c r="M120" s="2" t="str">
        <f t="shared" si="4"/>
        <v>June</v>
      </c>
      <c r="N120" s="6">
        <f t="shared" si="5"/>
        <v>2004</v>
      </c>
    </row>
    <row r="121" spans="1:14">
      <c r="A121" s="2" t="s">
        <v>139</v>
      </c>
      <c r="B121" s="3">
        <v>10273</v>
      </c>
      <c r="C121" s="3">
        <v>30</v>
      </c>
      <c r="D121" s="13">
        <v>100</v>
      </c>
      <c r="E121" s="5">
        <v>38189</v>
      </c>
      <c r="F121" s="2" t="s">
        <v>13</v>
      </c>
      <c r="G121" s="2" t="s">
        <v>72</v>
      </c>
      <c r="H121" s="3">
        <v>3</v>
      </c>
      <c r="I121" s="6">
        <v>2004</v>
      </c>
      <c r="J121" s="2" t="s">
        <v>22</v>
      </c>
      <c r="K121" s="2" t="s">
        <v>140</v>
      </c>
      <c r="L121" s="7">
        <f t="shared" si="3"/>
        <v>3000</v>
      </c>
      <c r="M121" s="2" t="str">
        <f t="shared" si="4"/>
        <v>July</v>
      </c>
      <c r="N121" s="6">
        <f t="shared" si="5"/>
        <v>2004</v>
      </c>
    </row>
    <row r="122" spans="1:14">
      <c r="A122" s="2" t="s">
        <v>141</v>
      </c>
      <c r="B122" s="3">
        <v>10283</v>
      </c>
      <c r="C122" s="3">
        <v>25</v>
      </c>
      <c r="D122" s="13">
        <v>100</v>
      </c>
      <c r="E122" s="5">
        <v>38219</v>
      </c>
      <c r="F122" s="2" t="s">
        <v>13</v>
      </c>
      <c r="G122" s="2" t="s">
        <v>72</v>
      </c>
      <c r="H122" s="3">
        <v>3</v>
      </c>
      <c r="I122" s="6">
        <v>2004</v>
      </c>
      <c r="J122" s="2" t="s">
        <v>15</v>
      </c>
      <c r="K122" s="2" t="s">
        <v>142</v>
      </c>
      <c r="L122" s="7">
        <f t="shared" si="3"/>
        <v>2500</v>
      </c>
      <c r="M122" s="2" t="str">
        <f t="shared" si="4"/>
        <v>August</v>
      </c>
      <c r="N122" s="6">
        <f t="shared" si="5"/>
        <v>2004</v>
      </c>
    </row>
    <row r="123" spans="1:14">
      <c r="A123" s="2" t="s">
        <v>143</v>
      </c>
      <c r="B123" s="3">
        <v>10295</v>
      </c>
      <c r="C123" s="3">
        <v>24</v>
      </c>
      <c r="D123" s="13">
        <v>100</v>
      </c>
      <c r="E123" s="5">
        <v>38240</v>
      </c>
      <c r="F123" s="2" t="s">
        <v>13</v>
      </c>
      <c r="G123" s="2" t="s">
        <v>72</v>
      </c>
      <c r="H123" s="3">
        <v>3</v>
      </c>
      <c r="I123" s="6">
        <v>2004</v>
      </c>
      <c r="J123" s="2" t="s">
        <v>22</v>
      </c>
      <c r="K123" s="2" t="s">
        <v>144</v>
      </c>
      <c r="L123" s="7">
        <f t="shared" si="3"/>
        <v>2400</v>
      </c>
      <c r="M123" s="2" t="str">
        <f t="shared" si="4"/>
        <v>September</v>
      </c>
      <c r="N123" s="6">
        <f t="shared" si="5"/>
        <v>2004</v>
      </c>
    </row>
    <row r="124" spans="1:14">
      <c r="A124" s="2" t="s">
        <v>83</v>
      </c>
      <c r="B124" s="3">
        <v>10307</v>
      </c>
      <c r="C124" s="3">
        <v>22</v>
      </c>
      <c r="D124" s="13">
        <v>100</v>
      </c>
      <c r="E124" s="5">
        <v>38274</v>
      </c>
      <c r="F124" s="2" t="s">
        <v>13</v>
      </c>
      <c r="G124" s="2" t="s">
        <v>72</v>
      </c>
      <c r="H124" s="3">
        <v>4</v>
      </c>
      <c r="I124" s="6">
        <v>2004</v>
      </c>
      <c r="J124" s="2" t="s">
        <v>15</v>
      </c>
      <c r="K124" s="2" t="s">
        <v>84</v>
      </c>
      <c r="L124" s="7">
        <f t="shared" si="3"/>
        <v>2200</v>
      </c>
      <c r="M124" s="2" t="str">
        <f t="shared" si="4"/>
        <v>October</v>
      </c>
      <c r="N124" s="6">
        <f t="shared" si="5"/>
        <v>2004</v>
      </c>
    </row>
    <row r="125" spans="1:14">
      <c r="A125" s="2" t="s">
        <v>145</v>
      </c>
      <c r="B125" s="3">
        <v>10316</v>
      </c>
      <c r="C125" s="3">
        <v>33</v>
      </c>
      <c r="D125" s="13">
        <v>100</v>
      </c>
      <c r="E125" s="5">
        <v>38292</v>
      </c>
      <c r="F125" s="2" t="s">
        <v>13</v>
      </c>
      <c r="G125" s="2" t="s">
        <v>72</v>
      </c>
      <c r="H125" s="3">
        <v>4</v>
      </c>
      <c r="I125" s="6">
        <v>2004</v>
      </c>
      <c r="J125" s="2" t="s">
        <v>22</v>
      </c>
      <c r="K125" s="2" t="s">
        <v>146</v>
      </c>
      <c r="L125" s="7">
        <f t="shared" si="3"/>
        <v>3300</v>
      </c>
      <c r="M125" s="2" t="str">
        <f t="shared" si="4"/>
        <v>November</v>
      </c>
      <c r="N125" s="6">
        <f t="shared" si="5"/>
        <v>2004</v>
      </c>
    </row>
    <row r="126" spans="1:14">
      <c r="A126" s="2" t="s">
        <v>56</v>
      </c>
      <c r="B126" s="3">
        <v>10325</v>
      </c>
      <c r="C126" s="3">
        <v>47</v>
      </c>
      <c r="D126" s="13">
        <v>64.93</v>
      </c>
      <c r="E126" s="5">
        <v>38296</v>
      </c>
      <c r="F126" s="2" t="s">
        <v>13</v>
      </c>
      <c r="G126" s="2" t="s">
        <v>72</v>
      </c>
      <c r="H126" s="3">
        <v>4</v>
      </c>
      <c r="I126" s="6">
        <v>2004</v>
      </c>
      <c r="J126" s="2" t="s">
        <v>22</v>
      </c>
      <c r="K126" s="2" t="s">
        <v>57</v>
      </c>
      <c r="L126" s="7">
        <f t="shared" si="3"/>
        <v>3051.71</v>
      </c>
      <c r="M126" s="2" t="str">
        <f t="shared" si="4"/>
        <v>November</v>
      </c>
      <c r="N126" s="6">
        <f t="shared" si="5"/>
        <v>2004</v>
      </c>
    </row>
    <row r="127" spans="1:14">
      <c r="A127" s="2" t="s">
        <v>79</v>
      </c>
      <c r="B127" s="3">
        <v>10337</v>
      </c>
      <c r="C127" s="3">
        <v>25</v>
      </c>
      <c r="D127" s="13">
        <v>48.05</v>
      </c>
      <c r="E127" s="5">
        <v>38312</v>
      </c>
      <c r="F127" s="2" t="s">
        <v>13</v>
      </c>
      <c r="G127" s="2" t="s">
        <v>72</v>
      </c>
      <c r="H127" s="3">
        <v>4</v>
      </c>
      <c r="I127" s="6">
        <v>2004</v>
      </c>
      <c r="J127" s="2" t="s">
        <v>15</v>
      </c>
      <c r="K127" s="2" t="s">
        <v>80</v>
      </c>
      <c r="L127" s="7">
        <f t="shared" si="3"/>
        <v>1201.25</v>
      </c>
      <c r="M127" s="2" t="str">
        <f t="shared" si="4"/>
        <v>November</v>
      </c>
      <c r="N127" s="6">
        <f t="shared" si="5"/>
        <v>2004</v>
      </c>
    </row>
    <row r="128" spans="1:14">
      <c r="A128" s="2" t="s">
        <v>69</v>
      </c>
      <c r="B128" s="3">
        <v>10350</v>
      </c>
      <c r="C128" s="3">
        <v>26</v>
      </c>
      <c r="D128" s="13">
        <v>75.47</v>
      </c>
      <c r="E128" s="5">
        <v>38323</v>
      </c>
      <c r="F128" s="2" t="s">
        <v>13</v>
      </c>
      <c r="G128" s="2" t="s">
        <v>72</v>
      </c>
      <c r="H128" s="3">
        <v>4</v>
      </c>
      <c r="I128" s="6">
        <v>2004</v>
      </c>
      <c r="J128" s="2" t="s">
        <v>15</v>
      </c>
      <c r="K128" s="2" t="s">
        <v>71</v>
      </c>
      <c r="L128" s="7">
        <f t="shared" si="3"/>
        <v>1962.22</v>
      </c>
      <c r="M128" s="2" t="str">
        <f t="shared" si="4"/>
        <v>December</v>
      </c>
      <c r="N128" s="6">
        <f t="shared" si="5"/>
        <v>2004</v>
      </c>
    </row>
    <row r="129" spans="1:14">
      <c r="A129" s="2" t="s">
        <v>18</v>
      </c>
      <c r="B129" s="3">
        <v>10359</v>
      </c>
      <c r="C129" s="3">
        <v>48</v>
      </c>
      <c r="D129" s="13">
        <v>54.68</v>
      </c>
      <c r="E129" s="5">
        <v>38336</v>
      </c>
      <c r="F129" s="2" t="s">
        <v>13</v>
      </c>
      <c r="G129" s="2" t="s">
        <v>72</v>
      </c>
      <c r="H129" s="3">
        <v>4</v>
      </c>
      <c r="I129" s="6">
        <v>2004</v>
      </c>
      <c r="J129" s="2" t="s">
        <v>15</v>
      </c>
      <c r="K129" s="2" t="s">
        <v>19</v>
      </c>
      <c r="L129" s="7">
        <f t="shared" si="3"/>
        <v>2624.64</v>
      </c>
      <c r="M129" s="2" t="str">
        <f t="shared" si="4"/>
        <v>December</v>
      </c>
      <c r="N129" s="6">
        <f t="shared" si="5"/>
        <v>2004</v>
      </c>
    </row>
    <row r="130" spans="1:14">
      <c r="A130" s="2" t="s">
        <v>147</v>
      </c>
      <c r="B130" s="3">
        <v>10373</v>
      </c>
      <c r="C130" s="3">
        <v>39</v>
      </c>
      <c r="D130" s="13">
        <v>100</v>
      </c>
      <c r="E130" s="5">
        <v>38383</v>
      </c>
      <c r="F130" s="2" t="s">
        <v>13</v>
      </c>
      <c r="G130" s="2" t="s">
        <v>72</v>
      </c>
      <c r="H130" s="3">
        <v>1</v>
      </c>
      <c r="I130" s="6">
        <v>2005</v>
      </c>
      <c r="J130" s="2" t="s">
        <v>22</v>
      </c>
      <c r="K130" s="2" t="s">
        <v>148</v>
      </c>
      <c r="L130" s="7">
        <f t="shared" ref="L130:L193" si="6">PRODUCT(C130,D130)</f>
        <v>3900</v>
      </c>
      <c r="M130" s="2" t="str">
        <f t="shared" ref="M130:M193" si="7">TEXT(E130,"MMMM")</f>
        <v>January</v>
      </c>
      <c r="N130" s="6">
        <f t="shared" ref="N130:N193" si="8">YEAR(E130)</f>
        <v>2005</v>
      </c>
    </row>
    <row r="131" spans="1:14">
      <c r="A131" s="2" t="s">
        <v>28</v>
      </c>
      <c r="B131" s="3">
        <v>10384</v>
      </c>
      <c r="C131" s="3">
        <v>34</v>
      </c>
      <c r="D131" s="13">
        <v>100</v>
      </c>
      <c r="E131" s="5">
        <v>38406</v>
      </c>
      <c r="F131" s="2" t="s">
        <v>13</v>
      </c>
      <c r="G131" s="2" t="s">
        <v>72</v>
      </c>
      <c r="H131" s="3">
        <v>1</v>
      </c>
      <c r="I131" s="6">
        <v>2005</v>
      </c>
      <c r="J131" s="2" t="s">
        <v>22</v>
      </c>
      <c r="K131" s="2" t="s">
        <v>29</v>
      </c>
      <c r="L131" s="7">
        <f t="shared" si="6"/>
        <v>3400</v>
      </c>
      <c r="M131" s="2" t="str">
        <f t="shared" si="7"/>
        <v>February</v>
      </c>
      <c r="N131" s="6">
        <f t="shared" si="8"/>
        <v>2005</v>
      </c>
    </row>
    <row r="132" spans="1:14">
      <c r="A132" s="2" t="s">
        <v>21</v>
      </c>
      <c r="B132" s="3">
        <v>10395</v>
      </c>
      <c r="C132" s="3">
        <v>32</v>
      </c>
      <c r="D132" s="13">
        <v>100</v>
      </c>
      <c r="E132" s="5">
        <v>38428</v>
      </c>
      <c r="F132" s="2" t="s">
        <v>13</v>
      </c>
      <c r="G132" s="2" t="s">
        <v>72</v>
      </c>
      <c r="H132" s="3">
        <v>1</v>
      </c>
      <c r="I132" s="6">
        <v>2005</v>
      </c>
      <c r="J132" s="2" t="s">
        <v>22</v>
      </c>
      <c r="K132" s="2" t="s">
        <v>23</v>
      </c>
      <c r="L132" s="7">
        <f t="shared" si="6"/>
        <v>3200</v>
      </c>
      <c r="M132" s="2" t="str">
        <f t="shared" si="7"/>
        <v>March</v>
      </c>
      <c r="N132" s="6">
        <f t="shared" si="8"/>
        <v>2005</v>
      </c>
    </row>
    <row r="133" spans="1:14">
      <c r="A133" s="2" t="s">
        <v>149</v>
      </c>
      <c r="B133" s="3">
        <v>10400</v>
      </c>
      <c r="C133" s="3">
        <v>64</v>
      </c>
      <c r="D133" s="13">
        <v>100</v>
      </c>
      <c r="E133" s="5">
        <v>38443</v>
      </c>
      <c r="F133" s="2" t="s">
        <v>13</v>
      </c>
      <c r="G133" s="2" t="s">
        <v>72</v>
      </c>
      <c r="H133" s="3">
        <v>2</v>
      </c>
      <c r="I133" s="6">
        <v>2005</v>
      </c>
      <c r="J133" s="2" t="s">
        <v>61</v>
      </c>
      <c r="K133" s="2" t="s">
        <v>150</v>
      </c>
      <c r="L133" s="7">
        <f t="shared" si="6"/>
        <v>6400</v>
      </c>
      <c r="M133" s="2" t="str">
        <f t="shared" si="7"/>
        <v>April</v>
      </c>
      <c r="N133" s="6">
        <f t="shared" si="8"/>
        <v>2005</v>
      </c>
    </row>
    <row r="134" spans="1:14">
      <c r="A134" s="2" t="s">
        <v>143</v>
      </c>
      <c r="B134" s="3">
        <v>10414</v>
      </c>
      <c r="C134" s="3">
        <v>19</v>
      </c>
      <c r="D134" s="13">
        <v>100</v>
      </c>
      <c r="E134" s="5">
        <v>38478</v>
      </c>
      <c r="F134" s="2" t="s">
        <v>151</v>
      </c>
      <c r="G134" s="2" t="s">
        <v>72</v>
      </c>
      <c r="H134" s="3">
        <v>2</v>
      </c>
      <c r="I134" s="6">
        <v>2005</v>
      </c>
      <c r="J134" s="2" t="s">
        <v>15</v>
      </c>
      <c r="K134" s="2" t="s">
        <v>144</v>
      </c>
      <c r="L134" s="7">
        <f t="shared" si="6"/>
        <v>1900</v>
      </c>
      <c r="M134" s="2" t="str">
        <f t="shared" si="7"/>
        <v>May</v>
      </c>
      <c r="N134" s="6">
        <f t="shared" si="8"/>
        <v>2005</v>
      </c>
    </row>
    <row r="135" spans="1:14">
      <c r="A135" s="2" t="s">
        <v>56</v>
      </c>
      <c r="B135" s="3">
        <v>10103</v>
      </c>
      <c r="C135" s="3">
        <v>42</v>
      </c>
      <c r="D135" s="13">
        <v>100</v>
      </c>
      <c r="E135" s="5">
        <v>37650</v>
      </c>
      <c r="F135" s="2" t="s">
        <v>13</v>
      </c>
      <c r="G135" s="2" t="s">
        <v>72</v>
      </c>
      <c r="H135" s="3">
        <v>1</v>
      </c>
      <c r="I135" s="6">
        <v>2003</v>
      </c>
      <c r="J135" s="2" t="s">
        <v>22</v>
      </c>
      <c r="K135" s="2" t="s">
        <v>57</v>
      </c>
      <c r="L135" s="7">
        <f t="shared" si="6"/>
        <v>4200</v>
      </c>
      <c r="M135" s="2" t="str">
        <f t="shared" si="7"/>
        <v>January</v>
      </c>
      <c r="N135" s="6">
        <f t="shared" si="8"/>
        <v>2003</v>
      </c>
    </row>
    <row r="136" spans="1:14">
      <c r="A136" s="2" t="s">
        <v>152</v>
      </c>
      <c r="B136" s="3">
        <v>10114</v>
      </c>
      <c r="C136" s="3">
        <v>31</v>
      </c>
      <c r="D136" s="13">
        <v>100</v>
      </c>
      <c r="E136" s="5">
        <v>37712</v>
      </c>
      <c r="F136" s="2" t="s">
        <v>13</v>
      </c>
      <c r="G136" s="2" t="s">
        <v>72</v>
      </c>
      <c r="H136" s="3">
        <v>2</v>
      </c>
      <c r="I136" s="6">
        <v>2003</v>
      </c>
      <c r="J136" s="2" t="s">
        <v>22</v>
      </c>
      <c r="K136" s="2" t="s">
        <v>153</v>
      </c>
      <c r="L136" s="7">
        <f t="shared" si="6"/>
        <v>3100</v>
      </c>
      <c r="M136" s="2" t="str">
        <f t="shared" si="7"/>
        <v>April</v>
      </c>
      <c r="N136" s="6">
        <f t="shared" si="8"/>
        <v>2003</v>
      </c>
    </row>
    <row r="137" spans="1:14">
      <c r="A137" s="2" t="s">
        <v>75</v>
      </c>
      <c r="B137" s="3">
        <v>10126</v>
      </c>
      <c r="C137" s="3">
        <v>22</v>
      </c>
      <c r="D137" s="13">
        <v>100</v>
      </c>
      <c r="E137" s="5">
        <v>37769</v>
      </c>
      <c r="F137" s="2" t="s">
        <v>13</v>
      </c>
      <c r="G137" s="2" t="s">
        <v>72</v>
      </c>
      <c r="H137" s="3">
        <v>2</v>
      </c>
      <c r="I137" s="6">
        <v>2003</v>
      </c>
      <c r="J137" s="2" t="s">
        <v>22</v>
      </c>
      <c r="K137" s="2" t="s">
        <v>76</v>
      </c>
      <c r="L137" s="7">
        <f t="shared" si="6"/>
        <v>2200</v>
      </c>
      <c r="M137" s="2" t="str">
        <f t="shared" si="7"/>
        <v>May</v>
      </c>
      <c r="N137" s="6">
        <f t="shared" si="8"/>
        <v>2003</v>
      </c>
    </row>
    <row r="138" spans="1:14">
      <c r="A138" s="2" t="s">
        <v>31</v>
      </c>
      <c r="B138" s="3">
        <v>10140</v>
      </c>
      <c r="C138" s="3">
        <v>26</v>
      </c>
      <c r="D138" s="13">
        <v>100</v>
      </c>
      <c r="E138" s="5">
        <v>37826</v>
      </c>
      <c r="F138" s="2" t="s">
        <v>13</v>
      </c>
      <c r="G138" s="2" t="s">
        <v>72</v>
      </c>
      <c r="H138" s="3">
        <v>3</v>
      </c>
      <c r="I138" s="6">
        <v>2003</v>
      </c>
      <c r="J138" s="2" t="s">
        <v>22</v>
      </c>
      <c r="K138" s="2" t="s">
        <v>32</v>
      </c>
      <c r="L138" s="7">
        <f t="shared" si="6"/>
        <v>2600</v>
      </c>
      <c r="M138" s="2" t="str">
        <f t="shared" si="7"/>
        <v>July</v>
      </c>
      <c r="N138" s="6">
        <f t="shared" si="8"/>
        <v>2003</v>
      </c>
    </row>
    <row r="139" spans="1:14">
      <c r="A139" s="2" t="s">
        <v>77</v>
      </c>
      <c r="B139" s="3">
        <v>10150</v>
      </c>
      <c r="C139" s="3">
        <v>20</v>
      </c>
      <c r="D139" s="13">
        <v>100</v>
      </c>
      <c r="E139" s="5">
        <v>37883</v>
      </c>
      <c r="F139" s="2" t="s">
        <v>13</v>
      </c>
      <c r="G139" s="2" t="s">
        <v>72</v>
      </c>
      <c r="H139" s="3">
        <v>3</v>
      </c>
      <c r="I139" s="6">
        <v>2003</v>
      </c>
      <c r="J139" s="2" t="s">
        <v>22</v>
      </c>
      <c r="K139" s="2" t="s">
        <v>78</v>
      </c>
      <c r="L139" s="7">
        <f t="shared" si="6"/>
        <v>2000</v>
      </c>
      <c r="M139" s="2" t="str">
        <f t="shared" si="7"/>
        <v>September</v>
      </c>
      <c r="N139" s="6">
        <f t="shared" si="8"/>
        <v>2003</v>
      </c>
    </row>
    <row r="140" spans="1:14">
      <c r="A140" s="2" t="s">
        <v>154</v>
      </c>
      <c r="B140" s="3">
        <v>10164</v>
      </c>
      <c r="C140" s="3">
        <v>21</v>
      </c>
      <c r="D140" s="13">
        <v>100</v>
      </c>
      <c r="E140" s="5">
        <v>37915</v>
      </c>
      <c r="F140" s="2" t="s">
        <v>155</v>
      </c>
      <c r="G140" s="2" t="s">
        <v>72</v>
      </c>
      <c r="H140" s="3">
        <v>4</v>
      </c>
      <c r="I140" s="6">
        <v>2003</v>
      </c>
      <c r="J140" s="2" t="s">
        <v>22</v>
      </c>
      <c r="K140" s="2" t="s">
        <v>156</v>
      </c>
      <c r="L140" s="7">
        <f t="shared" si="6"/>
        <v>2100</v>
      </c>
      <c r="M140" s="2" t="str">
        <f t="shared" si="7"/>
        <v>October</v>
      </c>
      <c r="N140" s="6">
        <f t="shared" si="8"/>
        <v>2003</v>
      </c>
    </row>
    <row r="141" spans="1:14">
      <c r="A141" s="2" t="s">
        <v>124</v>
      </c>
      <c r="B141" s="3">
        <v>10175</v>
      </c>
      <c r="C141" s="3">
        <v>33</v>
      </c>
      <c r="D141" s="13">
        <v>100</v>
      </c>
      <c r="E141" s="5">
        <v>37931</v>
      </c>
      <c r="F141" s="2" t="s">
        <v>13</v>
      </c>
      <c r="G141" s="2" t="s">
        <v>72</v>
      </c>
      <c r="H141" s="3">
        <v>4</v>
      </c>
      <c r="I141" s="6">
        <v>2003</v>
      </c>
      <c r="J141" s="2" t="s">
        <v>22</v>
      </c>
      <c r="K141" s="2" t="s">
        <v>125</v>
      </c>
      <c r="L141" s="7">
        <f t="shared" si="6"/>
        <v>3300</v>
      </c>
      <c r="M141" s="2" t="str">
        <f t="shared" si="7"/>
        <v>November</v>
      </c>
      <c r="N141" s="6">
        <f t="shared" si="8"/>
        <v>2003</v>
      </c>
    </row>
    <row r="142" spans="1:14">
      <c r="A142" s="2" t="s">
        <v>83</v>
      </c>
      <c r="B142" s="3">
        <v>10183</v>
      </c>
      <c r="C142" s="3">
        <v>28</v>
      </c>
      <c r="D142" s="13">
        <v>100</v>
      </c>
      <c r="E142" s="5">
        <v>37938</v>
      </c>
      <c r="F142" s="2" t="s">
        <v>13</v>
      </c>
      <c r="G142" s="2" t="s">
        <v>72</v>
      </c>
      <c r="H142" s="3">
        <v>4</v>
      </c>
      <c r="I142" s="6">
        <v>2003</v>
      </c>
      <c r="J142" s="2" t="s">
        <v>22</v>
      </c>
      <c r="K142" s="2" t="s">
        <v>84</v>
      </c>
      <c r="L142" s="7">
        <f t="shared" si="6"/>
        <v>2800</v>
      </c>
      <c r="M142" s="2" t="str">
        <f t="shared" si="7"/>
        <v>November</v>
      </c>
      <c r="N142" s="6">
        <f t="shared" si="8"/>
        <v>2003</v>
      </c>
    </row>
    <row r="143" spans="1:14">
      <c r="A143" s="2" t="s">
        <v>85</v>
      </c>
      <c r="B143" s="3">
        <v>10194</v>
      </c>
      <c r="C143" s="3">
        <v>26</v>
      </c>
      <c r="D143" s="13">
        <v>100</v>
      </c>
      <c r="E143" s="5">
        <v>37950</v>
      </c>
      <c r="F143" s="2" t="s">
        <v>13</v>
      </c>
      <c r="G143" s="2" t="s">
        <v>72</v>
      </c>
      <c r="H143" s="3">
        <v>4</v>
      </c>
      <c r="I143" s="6">
        <v>2003</v>
      </c>
      <c r="J143" s="2" t="s">
        <v>22</v>
      </c>
      <c r="K143" s="2" t="s">
        <v>86</v>
      </c>
      <c r="L143" s="7">
        <f t="shared" si="6"/>
        <v>2600</v>
      </c>
      <c r="M143" s="2" t="str">
        <f t="shared" si="7"/>
        <v>November</v>
      </c>
      <c r="N143" s="6">
        <f t="shared" si="8"/>
        <v>2003</v>
      </c>
    </row>
    <row r="144" spans="1:14">
      <c r="A144" s="2" t="s">
        <v>157</v>
      </c>
      <c r="B144" s="3">
        <v>10207</v>
      </c>
      <c r="C144" s="3">
        <v>31</v>
      </c>
      <c r="D144" s="13">
        <v>100</v>
      </c>
      <c r="E144" s="5">
        <v>37964</v>
      </c>
      <c r="F144" s="2" t="s">
        <v>13</v>
      </c>
      <c r="G144" s="2" t="s">
        <v>72</v>
      </c>
      <c r="H144" s="3">
        <v>4</v>
      </c>
      <c r="I144" s="6">
        <v>2003</v>
      </c>
      <c r="J144" s="2" t="s">
        <v>22</v>
      </c>
      <c r="K144" s="2" t="s">
        <v>158</v>
      </c>
      <c r="L144" s="7">
        <f t="shared" si="6"/>
        <v>3100</v>
      </c>
      <c r="M144" s="2" t="str">
        <f t="shared" si="7"/>
        <v>December</v>
      </c>
      <c r="N144" s="6">
        <f t="shared" si="8"/>
        <v>2003</v>
      </c>
    </row>
    <row r="145" spans="1:14">
      <c r="A145" s="2" t="s">
        <v>159</v>
      </c>
      <c r="B145" s="3">
        <v>10217</v>
      </c>
      <c r="C145" s="3">
        <v>48</v>
      </c>
      <c r="D145" s="13">
        <v>100</v>
      </c>
      <c r="E145" s="5">
        <v>38021</v>
      </c>
      <c r="F145" s="2" t="s">
        <v>13</v>
      </c>
      <c r="G145" s="2" t="s">
        <v>72</v>
      </c>
      <c r="H145" s="3">
        <v>1</v>
      </c>
      <c r="I145" s="6">
        <v>2004</v>
      </c>
      <c r="J145" s="2" t="s">
        <v>61</v>
      </c>
      <c r="K145" s="2" t="s">
        <v>160</v>
      </c>
      <c r="L145" s="7">
        <f t="shared" si="6"/>
        <v>4800</v>
      </c>
      <c r="M145" s="2" t="str">
        <f t="shared" si="7"/>
        <v>February</v>
      </c>
      <c r="N145" s="6">
        <f t="shared" si="8"/>
        <v>2004</v>
      </c>
    </row>
    <row r="146" spans="1:14">
      <c r="A146" s="2" t="s">
        <v>103</v>
      </c>
      <c r="B146" s="3">
        <v>10229</v>
      </c>
      <c r="C146" s="3">
        <v>50</v>
      </c>
      <c r="D146" s="13">
        <v>100</v>
      </c>
      <c r="E146" s="5">
        <v>38057</v>
      </c>
      <c r="F146" s="2" t="s">
        <v>13</v>
      </c>
      <c r="G146" s="2" t="s">
        <v>72</v>
      </c>
      <c r="H146" s="3">
        <v>1</v>
      </c>
      <c r="I146" s="6">
        <v>2004</v>
      </c>
      <c r="J146" s="2" t="s">
        <v>22</v>
      </c>
      <c r="K146" s="2" t="s">
        <v>104</v>
      </c>
      <c r="L146" s="7">
        <f t="shared" si="6"/>
        <v>5000</v>
      </c>
      <c r="M146" s="2" t="str">
        <f t="shared" si="7"/>
        <v>March</v>
      </c>
      <c r="N146" s="6">
        <f t="shared" si="8"/>
        <v>2004</v>
      </c>
    </row>
    <row r="147" spans="1:14">
      <c r="A147" s="2" t="s">
        <v>93</v>
      </c>
      <c r="B147" s="3">
        <v>10245</v>
      </c>
      <c r="C147" s="3">
        <v>28</v>
      </c>
      <c r="D147" s="13">
        <v>100</v>
      </c>
      <c r="E147" s="5">
        <v>38111</v>
      </c>
      <c r="F147" s="2" t="s">
        <v>13</v>
      </c>
      <c r="G147" s="2" t="s">
        <v>72</v>
      </c>
      <c r="H147" s="3">
        <v>2</v>
      </c>
      <c r="I147" s="6">
        <v>2004</v>
      </c>
      <c r="J147" s="2" t="s">
        <v>22</v>
      </c>
      <c r="K147" s="2" t="s">
        <v>94</v>
      </c>
      <c r="L147" s="7">
        <f t="shared" si="6"/>
        <v>2800</v>
      </c>
      <c r="M147" s="2" t="str">
        <f t="shared" si="7"/>
        <v>May</v>
      </c>
      <c r="N147" s="6">
        <f t="shared" si="8"/>
        <v>2004</v>
      </c>
    </row>
    <row r="148" spans="1:14">
      <c r="A148" s="2" t="s">
        <v>159</v>
      </c>
      <c r="B148" s="3">
        <v>10259</v>
      </c>
      <c r="C148" s="3">
        <v>26</v>
      </c>
      <c r="D148" s="13">
        <v>100</v>
      </c>
      <c r="E148" s="5">
        <v>38153</v>
      </c>
      <c r="F148" s="2" t="s">
        <v>13</v>
      </c>
      <c r="G148" s="2" t="s">
        <v>72</v>
      </c>
      <c r="H148" s="3">
        <v>2</v>
      </c>
      <c r="I148" s="6">
        <v>2004</v>
      </c>
      <c r="J148" s="2" t="s">
        <v>22</v>
      </c>
      <c r="K148" s="2" t="s">
        <v>160</v>
      </c>
      <c r="L148" s="7">
        <f t="shared" si="6"/>
        <v>2600</v>
      </c>
      <c r="M148" s="2" t="str">
        <f t="shared" si="7"/>
        <v>June</v>
      </c>
      <c r="N148" s="6">
        <f t="shared" si="8"/>
        <v>2004</v>
      </c>
    </row>
    <row r="149" spans="1:14">
      <c r="A149" s="2" t="s">
        <v>63</v>
      </c>
      <c r="B149" s="3">
        <v>10270</v>
      </c>
      <c r="C149" s="3">
        <v>32</v>
      </c>
      <c r="D149" s="13">
        <v>100</v>
      </c>
      <c r="E149" s="5">
        <v>38187</v>
      </c>
      <c r="F149" s="2" t="s">
        <v>13</v>
      </c>
      <c r="G149" s="2" t="s">
        <v>72</v>
      </c>
      <c r="H149" s="3">
        <v>3</v>
      </c>
      <c r="I149" s="6">
        <v>2004</v>
      </c>
      <c r="J149" s="2" t="s">
        <v>22</v>
      </c>
      <c r="K149" s="2" t="s">
        <v>64</v>
      </c>
      <c r="L149" s="7">
        <f t="shared" si="6"/>
        <v>3200</v>
      </c>
      <c r="M149" s="2" t="str">
        <f t="shared" si="7"/>
        <v>July</v>
      </c>
      <c r="N149" s="6">
        <f t="shared" si="8"/>
        <v>2004</v>
      </c>
    </row>
    <row r="150" spans="1:14">
      <c r="A150" s="2" t="s">
        <v>58</v>
      </c>
      <c r="B150" s="3">
        <v>10281</v>
      </c>
      <c r="C150" s="3">
        <v>44</v>
      </c>
      <c r="D150" s="13">
        <v>100</v>
      </c>
      <c r="E150" s="5">
        <v>38218</v>
      </c>
      <c r="F150" s="2" t="s">
        <v>13</v>
      </c>
      <c r="G150" s="2" t="s">
        <v>72</v>
      </c>
      <c r="H150" s="3">
        <v>3</v>
      </c>
      <c r="I150" s="6">
        <v>2004</v>
      </c>
      <c r="J150" s="2" t="s">
        <v>61</v>
      </c>
      <c r="K150" s="2" t="s">
        <v>59</v>
      </c>
      <c r="L150" s="7">
        <f t="shared" si="6"/>
        <v>4400</v>
      </c>
      <c r="M150" s="2" t="str">
        <f t="shared" si="7"/>
        <v>August</v>
      </c>
      <c r="N150" s="6">
        <f t="shared" si="8"/>
        <v>2004</v>
      </c>
    </row>
    <row r="151" spans="1:14">
      <c r="A151" s="2" t="s">
        <v>99</v>
      </c>
      <c r="B151" s="3">
        <v>10291</v>
      </c>
      <c r="C151" s="3">
        <v>30</v>
      </c>
      <c r="D151" s="13">
        <v>100</v>
      </c>
      <c r="E151" s="5">
        <v>38238</v>
      </c>
      <c r="F151" s="2" t="s">
        <v>13</v>
      </c>
      <c r="G151" s="2" t="s">
        <v>72</v>
      </c>
      <c r="H151" s="3">
        <v>3</v>
      </c>
      <c r="I151" s="6">
        <v>2004</v>
      </c>
      <c r="J151" s="2" t="s">
        <v>22</v>
      </c>
      <c r="K151" s="2" t="s">
        <v>100</v>
      </c>
      <c r="L151" s="7">
        <f t="shared" si="6"/>
        <v>3000</v>
      </c>
      <c r="M151" s="2" t="str">
        <f t="shared" si="7"/>
        <v>September</v>
      </c>
      <c r="N151" s="6">
        <f t="shared" si="8"/>
        <v>2004</v>
      </c>
    </row>
    <row r="152" spans="1:14">
      <c r="A152" s="2" t="s">
        <v>52</v>
      </c>
      <c r="B152" s="3">
        <v>10305</v>
      </c>
      <c r="C152" s="3">
        <v>38</v>
      </c>
      <c r="D152" s="13">
        <v>100</v>
      </c>
      <c r="E152" s="5">
        <v>38273</v>
      </c>
      <c r="F152" s="2" t="s">
        <v>13</v>
      </c>
      <c r="G152" s="2" t="s">
        <v>72</v>
      </c>
      <c r="H152" s="3">
        <v>4</v>
      </c>
      <c r="I152" s="6">
        <v>2004</v>
      </c>
      <c r="J152" s="2" t="s">
        <v>22</v>
      </c>
      <c r="K152" s="2" t="s">
        <v>53</v>
      </c>
      <c r="L152" s="7">
        <f t="shared" si="6"/>
        <v>3800</v>
      </c>
      <c r="M152" s="2" t="str">
        <f t="shared" si="7"/>
        <v>October</v>
      </c>
      <c r="N152" s="6">
        <f t="shared" si="8"/>
        <v>2004</v>
      </c>
    </row>
    <row r="153" spans="1:14">
      <c r="A153" s="2" t="s">
        <v>87</v>
      </c>
      <c r="B153" s="3">
        <v>10313</v>
      </c>
      <c r="C153" s="3">
        <v>40</v>
      </c>
      <c r="D153" s="13">
        <v>100</v>
      </c>
      <c r="E153" s="5">
        <v>38282</v>
      </c>
      <c r="F153" s="2" t="s">
        <v>13</v>
      </c>
      <c r="G153" s="2" t="s">
        <v>72</v>
      </c>
      <c r="H153" s="3">
        <v>4</v>
      </c>
      <c r="I153" s="6">
        <v>2004</v>
      </c>
      <c r="J153" s="2" t="s">
        <v>22</v>
      </c>
      <c r="K153" s="2" t="s">
        <v>88</v>
      </c>
      <c r="L153" s="7">
        <f t="shared" si="6"/>
        <v>4000</v>
      </c>
      <c r="M153" s="2" t="str">
        <f t="shared" si="7"/>
        <v>October</v>
      </c>
      <c r="N153" s="6">
        <f t="shared" si="8"/>
        <v>2004</v>
      </c>
    </row>
    <row r="154" spans="1:14">
      <c r="A154" s="2" t="s">
        <v>105</v>
      </c>
      <c r="B154" s="3">
        <v>10322</v>
      </c>
      <c r="C154" s="3">
        <v>46</v>
      </c>
      <c r="D154" s="13">
        <v>61.99</v>
      </c>
      <c r="E154" s="5">
        <v>38295</v>
      </c>
      <c r="F154" s="2" t="s">
        <v>13</v>
      </c>
      <c r="G154" s="2" t="s">
        <v>72</v>
      </c>
      <c r="H154" s="3">
        <v>4</v>
      </c>
      <c r="I154" s="6">
        <v>2004</v>
      </c>
      <c r="J154" s="2" t="s">
        <v>15</v>
      </c>
      <c r="K154" s="2" t="s">
        <v>106</v>
      </c>
      <c r="L154" s="7">
        <f t="shared" si="6"/>
        <v>2851.54</v>
      </c>
      <c r="M154" s="2" t="str">
        <f t="shared" si="7"/>
        <v>November</v>
      </c>
      <c r="N154" s="6">
        <f t="shared" si="8"/>
        <v>2004</v>
      </c>
    </row>
    <row r="155" spans="1:14">
      <c r="A155" s="2" t="s">
        <v>73</v>
      </c>
      <c r="B155" s="3">
        <v>10334</v>
      </c>
      <c r="C155" s="3">
        <v>26</v>
      </c>
      <c r="D155" s="13">
        <v>100</v>
      </c>
      <c r="E155" s="5">
        <v>38310</v>
      </c>
      <c r="F155" s="2" t="s">
        <v>151</v>
      </c>
      <c r="G155" s="2" t="s">
        <v>72</v>
      </c>
      <c r="H155" s="3">
        <v>4</v>
      </c>
      <c r="I155" s="6">
        <v>2004</v>
      </c>
      <c r="J155" s="2" t="s">
        <v>22</v>
      </c>
      <c r="K155" s="2" t="s">
        <v>74</v>
      </c>
      <c r="L155" s="7">
        <f t="shared" si="6"/>
        <v>2600</v>
      </c>
      <c r="M155" s="2" t="str">
        <f t="shared" si="7"/>
        <v>November</v>
      </c>
      <c r="N155" s="6">
        <f t="shared" si="8"/>
        <v>2004</v>
      </c>
    </row>
    <row r="156" spans="1:14">
      <c r="A156" s="2" t="s">
        <v>42</v>
      </c>
      <c r="B156" s="3">
        <v>10347</v>
      </c>
      <c r="C156" s="3">
        <v>27</v>
      </c>
      <c r="D156" s="13">
        <v>100</v>
      </c>
      <c r="E156" s="5">
        <v>38320</v>
      </c>
      <c r="F156" s="2" t="s">
        <v>13</v>
      </c>
      <c r="G156" s="2" t="s">
        <v>72</v>
      </c>
      <c r="H156" s="3">
        <v>4</v>
      </c>
      <c r="I156" s="6">
        <v>2004</v>
      </c>
      <c r="J156" s="2" t="s">
        <v>22</v>
      </c>
      <c r="K156" s="2" t="s">
        <v>43</v>
      </c>
      <c r="L156" s="7">
        <f t="shared" si="6"/>
        <v>2700</v>
      </c>
      <c r="M156" s="2" t="str">
        <f t="shared" si="7"/>
        <v>November</v>
      </c>
      <c r="N156" s="6">
        <f t="shared" si="8"/>
        <v>2004</v>
      </c>
    </row>
    <row r="157" spans="1:14">
      <c r="A157" s="2" t="s">
        <v>103</v>
      </c>
      <c r="B157" s="3">
        <v>10357</v>
      </c>
      <c r="C157" s="3">
        <v>43</v>
      </c>
      <c r="D157" s="13">
        <v>100</v>
      </c>
      <c r="E157" s="5">
        <v>38331</v>
      </c>
      <c r="F157" s="2" t="s">
        <v>13</v>
      </c>
      <c r="G157" s="2" t="s">
        <v>72</v>
      </c>
      <c r="H157" s="3">
        <v>4</v>
      </c>
      <c r="I157" s="6">
        <v>2004</v>
      </c>
      <c r="J157" s="2" t="s">
        <v>22</v>
      </c>
      <c r="K157" s="2" t="s">
        <v>104</v>
      </c>
      <c r="L157" s="7">
        <f t="shared" si="6"/>
        <v>4300</v>
      </c>
      <c r="M157" s="2" t="str">
        <f t="shared" si="7"/>
        <v>December</v>
      </c>
      <c r="N157" s="6">
        <f t="shared" si="8"/>
        <v>2004</v>
      </c>
    </row>
    <row r="158" spans="1:14">
      <c r="A158" s="2" t="s">
        <v>109</v>
      </c>
      <c r="B158" s="3">
        <v>10370</v>
      </c>
      <c r="C158" s="3">
        <v>35</v>
      </c>
      <c r="D158" s="13">
        <v>65.63</v>
      </c>
      <c r="E158" s="5">
        <v>38372</v>
      </c>
      <c r="F158" s="2" t="s">
        <v>13</v>
      </c>
      <c r="G158" s="2" t="s">
        <v>72</v>
      </c>
      <c r="H158" s="3">
        <v>1</v>
      </c>
      <c r="I158" s="6">
        <v>2005</v>
      </c>
      <c r="J158" s="2" t="s">
        <v>15</v>
      </c>
      <c r="K158" s="2" t="s">
        <v>110</v>
      </c>
      <c r="L158" s="7">
        <f t="shared" si="6"/>
        <v>2297.05</v>
      </c>
      <c r="M158" s="2" t="str">
        <f t="shared" si="7"/>
        <v>January</v>
      </c>
      <c r="N158" s="6">
        <f t="shared" si="8"/>
        <v>2005</v>
      </c>
    </row>
    <row r="159" spans="1:14">
      <c r="A159" s="2" t="s">
        <v>28</v>
      </c>
      <c r="B159" s="3">
        <v>10381</v>
      </c>
      <c r="C159" s="3">
        <v>37</v>
      </c>
      <c r="D159" s="13">
        <v>100</v>
      </c>
      <c r="E159" s="5">
        <v>38400</v>
      </c>
      <c r="F159" s="2" t="s">
        <v>13</v>
      </c>
      <c r="G159" s="2" t="s">
        <v>72</v>
      </c>
      <c r="H159" s="3">
        <v>1</v>
      </c>
      <c r="I159" s="6">
        <v>2005</v>
      </c>
      <c r="J159" s="2" t="s">
        <v>22</v>
      </c>
      <c r="K159" s="2" t="s">
        <v>29</v>
      </c>
      <c r="L159" s="7">
        <f t="shared" si="6"/>
        <v>3700</v>
      </c>
      <c r="M159" s="2" t="str">
        <f t="shared" si="7"/>
        <v>February</v>
      </c>
      <c r="N159" s="6">
        <f t="shared" si="8"/>
        <v>2005</v>
      </c>
    </row>
    <row r="160" spans="1:14">
      <c r="A160" s="2" t="s">
        <v>109</v>
      </c>
      <c r="B160" s="3">
        <v>10391</v>
      </c>
      <c r="C160" s="3">
        <v>37</v>
      </c>
      <c r="D160" s="13">
        <v>46.9</v>
      </c>
      <c r="E160" s="5">
        <v>38420</v>
      </c>
      <c r="F160" s="2" t="s">
        <v>13</v>
      </c>
      <c r="G160" s="2" t="s">
        <v>72</v>
      </c>
      <c r="H160" s="3">
        <v>1</v>
      </c>
      <c r="I160" s="6">
        <v>2005</v>
      </c>
      <c r="J160" s="2" t="s">
        <v>15</v>
      </c>
      <c r="K160" s="2" t="s">
        <v>110</v>
      </c>
      <c r="L160" s="7">
        <f t="shared" si="6"/>
        <v>1735.3</v>
      </c>
      <c r="M160" s="2" t="str">
        <f t="shared" si="7"/>
        <v>March</v>
      </c>
      <c r="N160" s="6">
        <f t="shared" si="8"/>
        <v>2005</v>
      </c>
    </row>
    <row r="161" spans="1:14">
      <c r="A161" s="2" t="s">
        <v>111</v>
      </c>
      <c r="B161" s="3">
        <v>10411</v>
      </c>
      <c r="C161" s="3">
        <v>27</v>
      </c>
      <c r="D161" s="13">
        <v>100</v>
      </c>
      <c r="E161" s="5">
        <v>38473</v>
      </c>
      <c r="F161" s="2" t="s">
        <v>13</v>
      </c>
      <c r="G161" s="2" t="s">
        <v>72</v>
      </c>
      <c r="H161" s="3">
        <v>2</v>
      </c>
      <c r="I161" s="6">
        <v>2005</v>
      </c>
      <c r="J161" s="2" t="s">
        <v>22</v>
      </c>
      <c r="K161" s="2" t="s">
        <v>112</v>
      </c>
      <c r="L161" s="7">
        <f t="shared" si="6"/>
        <v>2700</v>
      </c>
      <c r="M161" s="2" t="str">
        <f t="shared" si="7"/>
        <v>May</v>
      </c>
      <c r="N161" s="6">
        <f t="shared" si="8"/>
        <v>2005</v>
      </c>
    </row>
    <row r="162" spans="1:14">
      <c r="A162" s="2" t="s">
        <v>50</v>
      </c>
      <c r="B162" s="3">
        <v>10425</v>
      </c>
      <c r="C162" s="3">
        <v>38</v>
      </c>
      <c r="D162" s="13">
        <v>100</v>
      </c>
      <c r="E162" s="5">
        <v>38503</v>
      </c>
      <c r="F162" s="2" t="s">
        <v>113</v>
      </c>
      <c r="G162" s="2" t="s">
        <v>72</v>
      </c>
      <c r="H162" s="3">
        <v>2</v>
      </c>
      <c r="I162" s="6">
        <v>2005</v>
      </c>
      <c r="J162" s="2" t="s">
        <v>22</v>
      </c>
      <c r="K162" s="2" t="s">
        <v>51</v>
      </c>
      <c r="L162" s="7">
        <f t="shared" si="6"/>
        <v>3800</v>
      </c>
      <c r="M162" s="2" t="str">
        <f t="shared" si="7"/>
        <v>May</v>
      </c>
      <c r="N162" s="6">
        <f t="shared" si="8"/>
        <v>2005</v>
      </c>
    </row>
    <row r="163" spans="1:14">
      <c r="A163" s="2" t="s">
        <v>161</v>
      </c>
      <c r="B163" s="3">
        <v>10108</v>
      </c>
      <c r="C163" s="3">
        <v>33</v>
      </c>
      <c r="D163" s="13">
        <v>100</v>
      </c>
      <c r="E163" s="5">
        <v>37683</v>
      </c>
      <c r="F163" s="2" t="s">
        <v>13</v>
      </c>
      <c r="G163" s="2" t="s">
        <v>72</v>
      </c>
      <c r="H163" s="3">
        <v>1</v>
      </c>
      <c r="I163" s="6">
        <v>2003</v>
      </c>
      <c r="J163" s="2" t="s">
        <v>22</v>
      </c>
      <c r="K163" s="2" t="s">
        <v>162</v>
      </c>
      <c r="L163" s="7">
        <f t="shared" si="6"/>
        <v>3300</v>
      </c>
      <c r="M163" s="2" t="str">
        <f t="shared" si="7"/>
        <v>March</v>
      </c>
      <c r="N163" s="6">
        <f t="shared" si="8"/>
        <v>2003</v>
      </c>
    </row>
    <row r="164" spans="1:14">
      <c r="A164" s="2" t="s">
        <v>163</v>
      </c>
      <c r="B164" s="3">
        <v>10122</v>
      </c>
      <c r="C164" s="3">
        <v>42</v>
      </c>
      <c r="D164" s="13">
        <v>100</v>
      </c>
      <c r="E164" s="5">
        <v>37749</v>
      </c>
      <c r="F164" s="2" t="s">
        <v>13</v>
      </c>
      <c r="G164" s="2" t="s">
        <v>72</v>
      </c>
      <c r="H164" s="3">
        <v>2</v>
      </c>
      <c r="I164" s="6">
        <v>2003</v>
      </c>
      <c r="J164" s="2" t="s">
        <v>61</v>
      </c>
      <c r="K164" s="2" t="s">
        <v>164</v>
      </c>
      <c r="L164" s="7">
        <f t="shared" si="6"/>
        <v>4200</v>
      </c>
      <c r="M164" s="2" t="str">
        <f t="shared" si="7"/>
        <v>May</v>
      </c>
      <c r="N164" s="6">
        <f t="shared" si="8"/>
        <v>2003</v>
      </c>
    </row>
    <row r="165" spans="1:14">
      <c r="A165" s="2" t="s">
        <v>103</v>
      </c>
      <c r="B165" s="3">
        <v>10135</v>
      </c>
      <c r="C165" s="3">
        <v>42</v>
      </c>
      <c r="D165" s="13">
        <v>100</v>
      </c>
      <c r="E165" s="5">
        <v>37804</v>
      </c>
      <c r="F165" s="2" t="s">
        <v>13</v>
      </c>
      <c r="G165" s="2" t="s">
        <v>72</v>
      </c>
      <c r="H165" s="3">
        <v>3</v>
      </c>
      <c r="I165" s="6">
        <v>2003</v>
      </c>
      <c r="J165" s="2" t="s">
        <v>61</v>
      </c>
      <c r="K165" s="2" t="s">
        <v>104</v>
      </c>
      <c r="L165" s="7">
        <f t="shared" si="6"/>
        <v>4200</v>
      </c>
      <c r="M165" s="2" t="str">
        <f t="shared" si="7"/>
        <v>July</v>
      </c>
      <c r="N165" s="6">
        <f t="shared" si="8"/>
        <v>2003</v>
      </c>
    </row>
    <row r="166" spans="1:14">
      <c r="A166" s="2" t="s">
        <v>107</v>
      </c>
      <c r="B166" s="3">
        <v>10147</v>
      </c>
      <c r="C166" s="3">
        <v>48</v>
      </c>
      <c r="D166" s="13">
        <v>100</v>
      </c>
      <c r="E166" s="5">
        <v>37869</v>
      </c>
      <c r="F166" s="2" t="s">
        <v>13</v>
      </c>
      <c r="G166" s="2" t="s">
        <v>72</v>
      </c>
      <c r="H166" s="3">
        <v>3</v>
      </c>
      <c r="I166" s="6">
        <v>2003</v>
      </c>
      <c r="J166" s="2" t="s">
        <v>61</v>
      </c>
      <c r="K166" s="2" t="s">
        <v>108</v>
      </c>
      <c r="L166" s="7">
        <f t="shared" si="6"/>
        <v>4800</v>
      </c>
      <c r="M166" s="2" t="str">
        <f t="shared" si="7"/>
        <v>September</v>
      </c>
      <c r="N166" s="6">
        <f t="shared" si="8"/>
        <v>2003</v>
      </c>
    </row>
    <row r="167" spans="1:14">
      <c r="A167" s="2" t="s">
        <v>28</v>
      </c>
      <c r="B167" s="3">
        <v>10159</v>
      </c>
      <c r="C167" s="3">
        <v>41</v>
      </c>
      <c r="D167" s="13">
        <v>100</v>
      </c>
      <c r="E167" s="5">
        <v>37904</v>
      </c>
      <c r="F167" s="2" t="s">
        <v>13</v>
      </c>
      <c r="G167" s="2" t="s">
        <v>72</v>
      </c>
      <c r="H167" s="3">
        <v>4</v>
      </c>
      <c r="I167" s="6">
        <v>2003</v>
      </c>
      <c r="J167" s="2" t="s">
        <v>61</v>
      </c>
      <c r="K167" s="2" t="s">
        <v>29</v>
      </c>
      <c r="L167" s="7">
        <f t="shared" si="6"/>
        <v>4100</v>
      </c>
      <c r="M167" s="2" t="str">
        <f t="shared" si="7"/>
        <v>October</v>
      </c>
      <c r="N167" s="6">
        <f t="shared" si="8"/>
        <v>2003</v>
      </c>
    </row>
    <row r="168" spans="1:14">
      <c r="A168" s="2" t="s">
        <v>109</v>
      </c>
      <c r="B168" s="3">
        <v>10169</v>
      </c>
      <c r="C168" s="3">
        <v>30</v>
      </c>
      <c r="D168" s="13">
        <v>100</v>
      </c>
      <c r="E168" s="5">
        <v>37929</v>
      </c>
      <c r="F168" s="2" t="s">
        <v>13</v>
      </c>
      <c r="G168" s="2" t="s">
        <v>72</v>
      </c>
      <c r="H168" s="3">
        <v>4</v>
      </c>
      <c r="I168" s="6">
        <v>2003</v>
      </c>
      <c r="J168" s="2" t="s">
        <v>22</v>
      </c>
      <c r="K168" s="2" t="s">
        <v>110</v>
      </c>
      <c r="L168" s="7">
        <f t="shared" si="6"/>
        <v>3000</v>
      </c>
      <c r="M168" s="2" t="str">
        <f t="shared" si="7"/>
        <v>November</v>
      </c>
      <c r="N168" s="6">
        <f t="shared" si="8"/>
        <v>2003</v>
      </c>
    </row>
    <row r="169" spans="1:14">
      <c r="A169" s="2" t="s">
        <v>36</v>
      </c>
      <c r="B169" s="3">
        <v>10181</v>
      </c>
      <c r="C169" s="3">
        <v>27</v>
      </c>
      <c r="D169" s="13">
        <v>100</v>
      </c>
      <c r="E169" s="5">
        <v>37937</v>
      </c>
      <c r="F169" s="2" t="s">
        <v>13</v>
      </c>
      <c r="G169" s="2" t="s">
        <v>72</v>
      </c>
      <c r="H169" s="3">
        <v>4</v>
      </c>
      <c r="I169" s="6">
        <v>2003</v>
      </c>
      <c r="J169" s="2" t="s">
        <v>22</v>
      </c>
      <c r="K169" s="2" t="s">
        <v>37</v>
      </c>
      <c r="L169" s="7">
        <f t="shared" si="6"/>
        <v>2700</v>
      </c>
      <c r="M169" s="2" t="str">
        <f t="shared" si="7"/>
        <v>November</v>
      </c>
      <c r="N169" s="6">
        <f t="shared" si="8"/>
        <v>2003</v>
      </c>
    </row>
    <row r="170" spans="1:14">
      <c r="A170" s="2" t="s">
        <v>165</v>
      </c>
      <c r="B170" s="3">
        <v>10191</v>
      </c>
      <c r="C170" s="3">
        <v>21</v>
      </c>
      <c r="D170" s="13">
        <v>100</v>
      </c>
      <c r="E170" s="5">
        <v>37945</v>
      </c>
      <c r="F170" s="2" t="s">
        <v>13</v>
      </c>
      <c r="G170" s="2" t="s">
        <v>72</v>
      </c>
      <c r="H170" s="3">
        <v>4</v>
      </c>
      <c r="I170" s="6">
        <v>2003</v>
      </c>
      <c r="J170" s="2" t="s">
        <v>22</v>
      </c>
      <c r="K170" s="2" t="s">
        <v>166</v>
      </c>
      <c r="L170" s="7">
        <f t="shared" si="6"/>
        <v>2100</v>
      </c>
      <c r="M170" s="2" t="str">
        <f t="shared" si="7"/>
        <v>November</v>
      </c>
      <c r="N170" s="6">
        <f t="shared" si="8"/>
        <v>2003</v>
      </c>
    </row>
    <row r="171" spans="1:14">
      <c r="A171" s="2" t="s">
        <v>69</v>
      </c>
      <c r="B171" s="3">
        <v>10203</v>
      </c>
      <c r="C171" s="3">
        <v>20</v>
      </c>
      <c r="D171" s="13">
        <v>100</v>
      </c>
      <c r="E171" s="5">
        <v>37957</v>
      </c>
      <c r="F171" s="2" t="s">
        <v>13</v>
      </c>
      <c r="G171" s="2" t="s">
        <v>72</v>
      </c>
      <c r="H171" s="3">
        <v>4</v>
      </c>
      <c r="I171" s="6">
        <v>2003</v>
      </c>
      <c r="J171" s="2" t="s">
        <v>22</v>
      </c>
      <c r="K171" s="2" t="s">
        <v>71</v>
      </c>
      <c r="L171" s="7">
        <f t="shared" si="6"/>
        <v>2000</v>
      </c>
      <c r="M171" s="2" t="str">
        <f t="shared" si="7"/>
        <v>December</v>
      </c>
      <c r="N171" s="6">
        <f t="shared" si="8"/>
        <v>2003</v>
      </c>
    </row>
    <row r="172" spans="1:14">
      <c r="A172" s="2" t="s">
        <v>40</v>
      </c>
      <c r="B172" s="3">
        <v>10211</v>
      </c>
      <c r="C172" s="3">
        <v>41</v>
      </c>
      <c r="D172" s="13">
        <v>100</v>
      </c>
      <c r="E172" s="5">
        <v>38001</v>
      </c>
      <c r="F172" s="2" t="s">
        <v>13</v>
      </c>
      <c r="G172" s="2" t="s">
        <v>72</v>
      </c>
      <c r="H172" s="3">
        <v>1</v>
      </c>
      <c r="I172" s="6">
        <v>2004</v>
      </c>
      <c r="J172" s="2" t="s">
        <v>61</v>
      </c>
      <c r="K172" s="2" t="s">
        <v>41</v>
      </c>
      <c r="L172" s="7">
        <f t="shared" si="6"/>
        <v>4100</v>
      </c>
      <c r="M172" s="2" t="str">
        <f t="shared" si="7"/>
        <v>January</v>
      </c>
      <c r="N172" s="6">
        <f t="shared" si="8"/>
        <v>2004</v>
      </c>
    </row>
    <row r="173" spans="1:14">
      <c r="A173" s="2" t="s">
        <v>167</v>
      </c>
      <c r="B173" s="3">
        <v>10225</v>
      </c>
      <c r="C173" s="3">
        <v>27</v>
      </c>
      <c r="D173" s="13">
        <v>100</v>
      </c>
      <c r="E173" s="5">
        <v>38039</v>
      </c>
      <c r="F173" s="2" t="s">
        <v>13</v>
      </c>
      <c r="G173" s="2" t="s">
        <v>72</v>
      </c>
      <c r="H173" s="3">
        <v>1</v>
      </c>
      <c r="I173" s="6">
        <v>2004</v>
      </c>
      <c r="J173" s="2" t="s">
        <v>22</v>
      </c>
      <c r="K173" s="2" t="s">
        <v>168</v>
      </c>
      <c r="L173" s="7">
        <f t="shared" si="6"/>
        <v>2700</v>
      </c>
      <c r="M173" s="2" t="str">
        <f t="shared" si="7"/>
        <v>February</v>
      </c>
      <c r="N173" s="6">
        <f t="shared" si="8"/>
        <v>2004</v>
      </c>
    </row>
    <row r="174" spans="1:14">
      <c r="A174" s="2" t="s">
        <v>122</v>
      </c>
      <c r="B174" s="3">
        <v>10238</v>
      </c>
      <c r="C174" s="3">
        <v>28</v>
      </c>
      <c r="D174" s="13">
        <v>100</v>
      </c>
      <c r="E174" s="5">
        <v>38086</v>
      </c>
      <c r="F174" s="2" t="s">
        <v>13</v>
      </c>
      <c r="G174" s="2" t="s">
        <v>72</v>
      </c>
      <c r="H174" s="3">
        <v>2</v>
      </c>
      <c r="I174" s="6">
        <v>2004</v>
      </c>
      <c r="J174" s="2" t="s">
        <v>22</v>
      </c>
      <c r="K174" s="2" t="s">
        <v>123</v>
      </c>
      <c r="L174" s="7">
        <f t="shared" si="6"/>
        <v>2800</v>
      </c>
      <c r="M174" s="2" t="str">
        <f t="shared" si="7"/>
        <v>April</v>
      </c>
      <c r="N174" s="6">
        <f t="shared" si="8"/>
        <v>2004</v>
      </c>
    </row>
    <row r="175" spans="1:14">
      <c r="A175" s="2" t="s">
        <v>67</v>
      </c>
      <c r="B175" s="3">
        <v>10253</v>
      </c>
      <c r="C175" s="3">
        <v>24</v>
      </c>
      <c r="D175" s="13">
        <v>100</v>
      </c>
      <c r="E175" s="5">
        <v>38139</v>
      </c>
      <c r="F175" s="2" t="s">
        <v>128</v>
      </c>
      <c r="G175" s="2" t="s">
        <v>72</v>
      </c>
      <c r="H175" s="3">
        <v>2</v>
      </c>
      <c r="I175" s="6">
        <v>2004</v>
      </c>
      <c r="J175" s="2" t="s">
        <v>22</v>
      </c>
      <c r="K175" s="2" t="s">
        <v>68</v>
      </c>
      <c r="L175" s="7">
        <f t="shared" si="6"/>
        <v>2400</v>
      </c>
      <c r="M175" s="2" t="str">
        <f t="shared" si="7"/>
        <v>June</v>
      </c>
      <c r="N175" s="6">
        <f t="shared" si="8"/>
        <v>2004</v>
      </c>
    </row>
    <row r="176" spans="1:14">
      <c r="A176" s="2" t="s">
        <v>169</v>
      </c>
      <c r="B176" s="3">
        <v>10266</v>
      </c>
      <c r="C176" s="3">
        <v>44</v>
      </c>
      <c r="D176" s="13">
        <v>100</v>
      </c>
      <c r="E176" s="5">
        <v>38174</v>
      </c>
      <c r="F176" s="2" t="s">
        <v>13</v>
      </c>
      <c r="G176" s="2" t="s">
        <v>72</v>
      </c>
      <c r="H176" s="3">
        <v>3</v>
      </c>
      <c r="I176" s="6">
        <v>2004</v>
      </c>
      <c r="J176" s="2" t="s">
        <v>61</v>
      </c>
      <c r="K176" s="2" t="s">
        <v>170</v>
      </c>
      <c r="L176" s="7">
        <f t="shared" si="6"/>
        <v>4400</v>
      </c>
      <c r="M176" s="2" t="str">
        <f t="shared" si="7"/>
        <v>July</v>
      </c>
      <c r="N176" s="6">
        <f t="shared" si="8"/>
        <v>2004</v>
      </c>
    </row>
    <row r="177" spans="1:14">
      <c r="A177" s="2" t="s">
        <v>171</v>
      </c>
      <c r="B177" s="3">
        <v>10276</v>
      </c>
      <c r="C177" s="3">
        <v>50</v>
      </c>
      <c r="D177" s="13">
        <v>100</v>
      </c>
      <c r="E177" s="5">
        <v>38201</v>
      </c>
      <c r="F177" s="2" t="s">
        <v>13</v>
      </c>
      <c r="G177" s="2" t="s">
        <v>72</v>
      </c>
      <c r="H177" s="3">
        <v>3</v>
      </c>
      <c r="I177" s="6">
        <v>2004</v>
      </c>
      <c r="J177" s="2" t="s">
        <v>61</v>
      </c>
      <c r="K177" s="2" t="s">
        <v>172</v>
      </c>
      <c r="L177" s="7">
        <f t="shared" si="6"/>
        <v>5000</v>
      </c>
      <c r="M177" s="2" t="str">
        <f t="shared" si="7"/>
        <v>August</v>
      </c>
      <c r="N177" s="6">
        <f t="shared" si="8"/>
        <v>2004</v>
      </c>
    </row>
    <row r="178" spans="1:14">
      <c r="A178" s="2" t="s">
        <v>167</v>
      </c>
      <c r="B178" s="3">
        <v>10287</v>
      </c>
      <c r="C178" s="3">
        <v>21</v>
      </c>
      <c r="D178" s="13">
        <v>100</v>
      </c>
      <c r="E178" s="5">
        <v>38229</v>
      </c>
      <c r="F178" s="2" t="s">
        <v>13</v>
      </c>
      <c r="G178" s="2" t="s">
        <v>72</v>
      </c>
      <c r="H178" s="3">
        <v>3</v>
      </c>
      <c r="I178" s="6">
        <v>2004</v>
      </c>
      <c r="J178" s="2" t="s">
        <v>22</v>
      </c>
      <c r="K178" s="2" t="s">
        <v>168</v>
      </c>
      <c r="L178" s="7">
        <f t="shared" si="6"/>
        <v>2100</v>
      </c>
      <c r="M178" s="2" t="str">
        <f t="shared" si="7"/>
        <v>August</v>
      </c>
      <c r="N178" s="6">
        <f t="shared" si="8"/>
        <v>2004</v>
      </c>
    </row>
    <row r="179" spans="1:14">
      <c r="A179" s="2" t="s">
        <v>173</v>
      </c>
      <c r="B179" s="3">
        <v>10300</v>
      </c>
      <c r="C179" s="3">
        <v>33</v>
      </c>
      <c r="D179" s="13">
        <v>100</v>
      </c>
      <c r="E179" s="5">
        <v>37898</v>
      </c>
      <c r="F179" s="2" t="s">
        <v>13</v>
      </c>
      <c r="G179" s="2" t="s">
        <v>72</v>
      </c>
      <c r="H179" s="3">
        <v>4</v>
      </c>
      <c r="I179" s="6">
        <v>2003</v>
      </c>
      <c r="J179" s="2" t="s">
        <v>22</v>
      </c>
      <c r="K179" s="2" t="s">
        <v>174</v>
      </c>
      <c r="L179" s="7">
        <f t="shared" si="6"/>
        <v>3300</v>
      </c>
      <c r="M179" s="2" t="str">
        <f t="shared" si="7"/>
        <v>October</v>
      </c>
      <c r="N179" s="6">
        <f t="shared" si="8"/>
        <v>2003</v>
      </c>
    </row>
    <row r="180" spans="1:14">
      <c r="A180" s="2" t="s">
        <v>165</v>
      </c>
      <c r="B180" s="3">
        <v>10310</v>
      </c>
      <c r="C180" s="3">
        <v>33</v>
      </c>
      <c r="D180" s="13">
        <v>100</v>
      </c>
      <c r="E180" s="5">
        <v>38276</v>
      </c>
      <c r="F180" s="2" t="s">
        <v>13</v>
      </c>
      <c r="G180" s="2" t="s">
        <v>72</v>
      </c>
      <c r="H180" s="3">
        <v>4</v>
      </c>
      <c r="I180" s="6">
        <v>2004</v>
      </c>
      <c r="J180" s="2" t="s">
        <v>22</v>
      </c>
      <c r="K180" s="2" t="s">
        <v>166</v>
      </c>
      <c r="L180" s="7">
        <f t="shared" si="6"/>
        <v>3300</v>
      </c>
      <c r="M180" s="2" t="str">
        <f t="shared" si="7"/>
        <v>October</v>
      </c>
      <c r="N180" s="6">
        <f t="shared" si="8"/>
        <v>2004</v>
      </c>
    </row>
    <row r="181" spans="1:14">
      <c r="A181" s="2" t="s">
        <v>73</v>
      </c>
      <c r="B181" s="3">
        <v>10320</v>
      </c>
      <c r="C181" s="3">
        <v>31</v>
      </c>
      <c r="D181" s="13">
        <v>100</v>
      </c>
      <c r="E181" s="5">
        <v>38294</v>
      </c>
      <c r="F181" s="2" t="s">
        <v>13</v>
      </c>
      <c r="G181" s="2" t="s">
        <v>72</v>
      </c>
      <c r="H181" s="3">
        <v>4</v>
      </c>
      <c r="I181" s="6">
        <v>2004</v>
      </c>
      <c r="J181" s="2" t="s">
        <v>22</v>
      </c>
      <c r="K181" s="2" t="s">
        <v>74</v>
      </c>
      <c r="L181" s="7">
        <f t="shared" si="6"/>
        <v>3100</v>
      </c>
      <c r="M181" s="2" t="str">
        <f t="shared" si="7"/>
        <v>November</v>
      </c>
      <c r="N181" s="6">
        <f t="shared" si="8"/>
        <v>2004</v>
      </c>
    </row>
    <row r="182" spans="1:14">
      <c r="A182" s="2" t="s">
        <v>12</v>
      </c>
      <c r="B182" s="3">
        <v>10329</v>
      </c>
      <c r="C182" s="3">
        <v>41</v>
      </c>
      <c r="D182" s="13">
        <v>71.47</v>
      </c>
      <c r="E182" s="5">
        <v>38306</v>
      </c>
      <c r="F182" s="2" t="s">
        <v>13</v>
      </c>
      <c r="G182" s="2" t="s">
        <v>72</v>
      </c>
      <c r="H182" s="3">
        <v>4</v>
      </c>
      <c r="I182" s="6">
        <v>2004</v>
      </c>
      <c r="J182" s="2" t="s">
        <v>15</v>
      </c>
      <c r="K182" s="2" t="s">
        <v>16</v>
      </c>
      <c r="L182" s="7">
        <f t="shared" si="6"/>
        <v>2930.27</v>
      </c>
      <c r="M182" s="2" t="str">
        <f t="shared" si="7"/>
        <v>November</v>
      </c>
      <c r="N182" s="6">
        <f t="shared" si="8"/>
        <v>2004</v>
      </c>
    </row>
    <row r="183" spans="1:14">
      <c r="A183" s="2" t="s">
        <v>60</v>
      </c>
      <c r="B183" s="3">
        <v>10341</v>
      </c>
      <c r="C183" s="3">
        <v>45</v>
      </c>
      <c r="D183" s="13">
        <v>79.65</v>
      </c>
      <c r="E183" s="5">
        <v>38315</v>
      </c>
      <c r="F183" s="2" t="s">
        <v>13</v>
      </c>
      <c r="G183" s="2" t="s">
        <v>72</v>
      </c>
      <c r="H183" s="3">
        <v>4</v>
      </c>
      <c r="I183" s="6">
        <v>2004</v>
      </c>
      <c r="J183" s="2" t="s">
        <v>22</v>
      </c>
      <c r="K183" s="2" t="s">
        <v>62</v>
      </c>
      <c r="L183" s="7">
        <f t="shared" si="6"/>
        <v>3584.25</v>
      </c>
      <c r="M183" s="2" t="str">
        <f t="shared" si="7"/>
        <v>November</v>
      </c>
      <c r="N183" s="6">
        <f t="shared" si="8"/>
        <v>2004</v>
      </c>
    </row>
    <row r="184" spans="1:14">
      <c r="A184" s="2" t="s">
        <v>175</v>
      </c>
      <c r="B184" s="3">
        <v>10363</v>
      </c>
      <c r="C184" s="3">
        <v>33</v>
      </c>
      <c r="D184" s="13">
        <v>85.39</v>
      </c>
      <c r="E184" s="5">
        <v>38358</v>
      </c>
      <c r="F184" s="2" t="s">
        <v>13</v>
      </c>
      <c r="G184" s="2" t="s">
        <v>72</v>
      </c>
      <c r="H184" s="3">
        <v>1</v>
      </c>
      <c r="I184" s="6">
        <v>2005</v>
      </c>
      <c r="J184" s="2" t="s">
        <v>15</v>
      </c>
      <c r="K184" s="2" t="s">
        <v>176</v>
      </c>
      <c r="L184" s="7">
        <f t="shared" si="6"/>
        <v>2817.87</v>
      </c>
      <c r="M184" s="2" t="str">
        <f t="shared" si="7"/>
        <v>January</v>
      </c>
      <c r="N184" s="6">
        <f t="shared" si="8"/>
        <v>2005</v>
      </c>
    </row>
    <row r="185" spans="1:14">
      <c r="A185" s="2" t="s">
        <v>50</v>
      </c>
      <c r="B185" s="3">
        <v>10375</v>
      </c>
      <c r="C185" s="3">
        <v>45</v>
      </c>
      <c r="D185" s="13">
        <v>76</v>
      </c>
      <c r="E185" s="5">
        <v>38386</v>
      </c>
      <c r="F185" s="2" t="s">
        <v>13</v>
      </c>
      <c r="G185" s="2" t="s">
        <v>72</v>
      </c>
      <c r="H185" s="3">
        <v>1</v>
      </c>
      <c r="I185" s="6">
        <v>2005</v>
      </c>
      <c r="J185" s="2" t="s">
        <v>22</v>
      </c>
      <c r="K185" s="2" t="s">
        <v>51</v>
      </c>
      <c r="L185" s="7">
        <f t="shared" si="6"/>
        <v>3420</v>
      </c>
      <c r="M185" s="2" t="str">
        <f t="shared" si="7"/>
        <v>February</v>
      </c>
      <c r="N185" s="6">
        <f t="shared" si="8"/>
        <v>2005</v>
      </c>
    </row>
    <row r="186" spans="1:14">
      <c r="A186" s="2" t="s">
        <v>99</v>
      </c>
      <c r="B186" s="3">
        <v>10389</v>
      </c>
      <c r="C186" s="3">
        <v>26</v>
      </c>
      <c r="D186" s="13">
        <v>99.04</v>
      </c>
      <c r="E186" s="5">
        <v>38414</v>
      </c>
      <c r="F186" s="2" t="s">
        <v>13</v>
      </c>
      <c r="G186" s="2" t="s">
        <v>72</v>
      </c>
      <c r="H186" s="3">
        <v>1</v>
      </c>
      <c r="I186" s="6">
        <v>2005</v>
      </c>
      <c r="J186" s="2" t="s">
        <v>15</v>
      </c>
      <c r="K186" s="2" t="s">
        <v>100</v>
      </c>
      <c r="L186" s="7">
        <f t="shared" si="6"/>
        <v>2575.04</v>
      </c>
      <c r="M186" s="2" t="str">
        <f t="shared" si="7"/>
        <v>March</v>
      </c>
      <c r="N186" s="6">
        <f t="shared" si="8"/>
        <v>2005</v>
      </c>
    </row>
    <row r="187" spans="1:14">
      <c r="A187" s="2" t="s">
        <v>60</v>
      </c>
      <c r="B187" s="3">
        <v>10419</v>
      </c>
      <c r="C187" s="3">
        <v>12</v>
      </c>
      <c r="D187" s="13">
        <v>100</v>
      </c>
      <c r="E187" s="5">
        <v>38489</v>
      </c>
      <c r="F187" s="2" t="s">
        <v>13</v>
      </c>
      <c r="G187" s="2" t="s">
        <v>72</v>
      </c>
      <c r="H187" s="3">
        <v>2</v>
      </c>
      <c r="I187" s="6">
        <v>2005</v>
      </c>
      <c r="J187" s="2" t="s">
        <v>15</v>
      </c>
      <c r="K187" s="2" t="s">
        <v>62</v>
      </c>
      <c r="L187" s="7">
        <f t="shared" si="6"/>
        <v>1200</v>
      </c>
      <c r="M187" s="2" t="str">
        <f t="shared" si="7"/>
        <v>May</v>
      </c>
      <c r="N187" s="6">
        <f t="shared" si="8"/>
        <v>2005</v>
      </c>
    </row>
    <row r="188" spans="1:14">
      <c r="A188" s="2" t="s">
        <v>122</v>
      </c>
      <c r="B188" s="3">
        <v>10105</v>
      </c>
      <c r="C188" s="3">
        <v>41</v>
      </c>
      <c r="D188" s="13">
        <v>100</v>
      </c>
      <c r="E188" s="5">
        <v>37663</v>
      </c>
      <c r="F188" s="2" t="s">
        <v>13</v>
      </c>
      <c r="G188" s="2" t="s">
        <v>72</v>
      </c>
      <c r="H188" s="3">
        <v>1</v>
      </c>
      <c r="I188" s="6">
        <v>2003</v>
      </c>
      <c r="J188" s="2" t="s">
        <v>61</v>
      </c>
      <c r="K188" s="2" t="s">
        <v>123</v>
      </c>
      <c r="L188" s="7">
        <f t="shared" si="6"/>
        <v>4100</v>
      </c>
      <c r="M188" s="2" t="str">
        <f t="shared" si="7"/>
        <v>February</v>
      </c>
      <c r="N188" s="6">
        <f t="shared" si="8"/>
        <v>2003</v>
      </c>
    </row>
    <row r="189" spans="1:14">
      <c r="A189" s="2" t="s">
        <v>77</v>
      </c>
      <c r="B189" s="3">
        <v>10117</v>
      </c>
      <c r="C189" s="3">
        <v>33</v>
      </c>
      <c r="D189" s="13">
        <v>100</v>
      </c>
      <c r="E189" s="5">
        <v>37727</v>
      </c>
      <c r="F189" s="2" t="s">
        <v>13</v>
      </c>
      <c r="G189" s="2" t="s">
        <v>72</v>
      </c>
      <c r="H189" s="3">
        <v>2</v>
      </c>
      <c r="I189" s="6">
        <v>2003</v>
      </c>
      <c r="J189" s="2" t="s">
        <v>22</v>
      </c>
      <c r="K189" s="2" t="s">
        <v>78</v>
      </c>
      <c r="L189" s="7">
        <f t="shared" si="6"/>
        <v>3300</v>
      </c>
      <c r="M189" s="2" t="str">
        <f t="shared" si="7"/>
        <v>April</v>
      </c>
      <c r="N189" s="6">
        <f t="shared" si="8"/>
        <v>2003</v>
      </c>
    </row>
    <row r="190" spans="1:14">
      <c r="A190" s="2" t="s">
        <v>177</v>
      </c>
      <c r="B190" s="3">
        <v>10127</v>
      </c>
      <c r="C190" s="3">
        <v>46</v>
      </c>
      <c r="D190" s="13">
        <v>100</v>
      </c>
      <c r="E190" s="5">
        <v>37775</v>
      </c>
      <c r="F190" s="2" t="s">
        <v>13</v>
      </c>
      <c r="G190" s="2" t="s">
        <v>72</v>
      </c>
      <c r="H190" s="3">
        <v>2</v>
      </c>
      <c r="I190" s="6">
        <v>2003</v>
      </c>
      <c r="J190" s="2" t="s">
        <v>61</v>
      </c>
      <c r="K190" s="2" t="s">
        <v>178</v>
      </c>
      <c r="L190" s="7">
        <f t="shared" si="6"/>
        <v>4600</v>
      </c>
      <c r="M190" s="2" t="str">
        <f t="shared" si="7"/>
        <v>June</v>
      </c>
      <c r="N190" s="6">
        <f t="shared" si="8"/>
        <v>2003</v>
      </c>
    </row>
    <row r="191" spans="1:14">
      <c r="A191" s="2" t="s">
        <v>103</v>
      </c>
      <c r="B191" s="3">
        <v>10142</v>
      </c>
      <c r="C191" s="3">
        <v>33</v>
      </c>
      <c r="D191" s="13">
        <v>100</v>
      </c>
      <c r="E191" s="5">
        <v>37841</v>
      </c>
      <c r="F191" s="2" t="s">
        <v>13</v>
      </c>
      <c r="G191" s="2" t="s">
        <v>72</v>
      </c>
      <c r="H191" s="3">
        <v>3</v>
      </c>
      <c r="I191" s="6">
        <v>2003</v>
      </c>
      <c r="J191" s="2" t="s">
        <v>61</v>
      </c>
      <c r="K191" s="2" t="s">
        <v>104</v>
      </c>
      <c r="L191" s="7">
        <f t="shared" si="6"/>
        <v>3300</v>
      </c>
      <c r="M191" s="2" t="str">
        <f t="shared" si="7"/>
        <v>August</v>
      </c>
      <c r="N191" s="6">
        <f t="shared" si="8"/>
        <v>2003</v>
      </c>
    </row>
    <row r="192" spans="1:14">
      <c r="A192" s="2" t="s">
        <v>69</v>
      </c>
      <c r="B192" s="3">
        <v>10153</v>
      </c>
      <c r="C192" s="3">
        <v>20</v>
      </c>
      <c r="D192" s="13">
        <v>100</v>
      </c>
      <c r="E192" s="5">
        <v>37892</v>
      </c>
      <c r="F192" s="2" t="s">
        <v>13</v>
      </c>
      <c r="G192" s="2" t="s">
        <v>72</v>
      </c>
      <c r="H192" s="3">
        <v>3</v>
      </c>
      <c r="I192" s="6">
        <v>2003</v>
      </c>
      <c r="J192" s="2" t="s">
        <v>22</v>
      </c>
      <c r="K192" s="2" t="s">
        <v>71</v>
      </c>
      <c r="L192" s="7">
        <f t="shared" si="6"/>
        <v>2000</v>
      </c>
      <c r="M192" s="2" t="str">
        <f t="shared" si="7"/>
        <v>September</v>
      </c>
      <c r="N192" s="6">
        <f t="shared" si="8"/>
        <v>2003</v>
      </c>
    </row>
    <row r="193" spans="1:14">
      <c r="A193" s="2" t="s">
        <v>77</v>
      </c>
      <c r="B193" s="3">
        <v>10165</v>
      </c>
      <c r="C193" s="3">
        <v>44</v>
      </c>
      <c r="D193" s="13">
        <v>100</v>
      </c>
      <c r="E193" s="5">
        <v>37916</v>
      </c>
      <c r="F193" s="2" t="s">
        <v>13</v>
      </c>
      <c r="G193" s="2" t="s">
        <v>72</v>
      </c>
      <c r="H193" s="3">
        <v>4</v>
      </c>
      <c r="I193" s="6">
        <v>2003</v>
      </c>
      <c r="J193" s="2" t="s">
        <v>61</v>
      </c>
      <c r="K193" s="2" t="s">
        <v>78</v>
      </c>
      <c r="L193" s="7">
        <f t="shared" si="6"/>
        <v>4400</v>
      </c>
      <c r="M193" s="2" t="str">
        <f t="shared" si="7"/>
        <v>October</v>
      </c>
      <c r="N193" s="6">
        <f t="shared" si="8"/>
        <v>2003</v>
      </c>
    </row>
    <row r="194" spans="1:14">
      <c r="A194" s="2" t="s">
        <v>169</v>
      </c>
      <c r="B194" s="3">
        <v>10176</v>
      </c>
      <c r="C194" s="3">
        <v>33</v>
      </c>
      <c r="D194" s="13">
        <v>100</v>
      </c>
      <c r="E194" s="5">
        <v>37931</v>
      </c>
      <c r="F194" s="2" t="s">
        <v>13</v>
      </c>
      <c r="G194" s="2" t="s">
        <v>72</v>
      </c>
      <c r="H194" s="3">
        <v>4</v>
      </c>
      <c r="I194" s="6">
        <v>2003</v>
      </c>
      <c r="J194" s="2" t="s">
        <v>61</v>
      </c>
      <c r="K194" s="2" t="s">
        <v>170</v>
      </c>
      <c r="L194" s="7">
        <f t="shared" ref="L194:L257" si="9">PRODUCT(C194,D194)</f>
        <v>3300</v>
      </c>
      <c r="M194" s="2" t="str">
        <f t="shared" ref="M194:M257" si="10">TEXT(E194,"MMMM")</f>
        <v>November</v>
      </c>
      <c r="N194" s="6">
        <f t="shared" ref="N194:N257" si="11">YEAR(E194)</f>
        <v>2003</v>
      </c>
    </row>
    <row r="195" spans="1:14">
      <c r="A195" s="2" t="s">
        <v>126</v>
      </c>
      <c r="B195" s="3">
        <v>10185</v>
      </c>
      <c r="C195" s="3">
        <v>21</v>
      </c>
      <c r="D195" s="13">
        <v>100</v>
      </c>
      <c r="E195" s="5">
        <v>37939</v>
      </c>
      <c r="F195" s="2" t="s">
        <v>13</v>
      </c>
      <c r="G195" s="2" t="s">
        <v>72</v>
      </c>
      <c r="H195" s="3">
        <v>4</v>
      </c>
      <c r="I195" s="6">
        <v>2003</v>
      </c>
      <c r="J195" s="2" t="s">
        <v>22</v>
      </c>
      <c r="K195" s="2" t="s">
        <v>127</v>
      </c>
      <c r="L195" s="7">
        <f t="shared" si="9"/>
        <v>2100</v>
      </c>
      <c r="M195" s="2" t="str">
        <f t="shared" si="10"/>
        <v>November</v>
      </c>
      <c r="N195" s="6">
        <f t="shared" si="11"/>
        <v>2003</v>
      </c>
    </row>
    <row r="196" spans="1:14">
      <c r="A196" s="2" t="s">
        <v>93</v>
      </c>
      <c r="B196" s="3">
        <v>10196</v>
      </c>
      <c r="C196" s="3">
        <v>47</v>
      </c>
      <c r="D196" s="13">
        <v>100</v>
      </c>
      <c r="E196" s="5">
        <v>37951</v>
      </c>
      <c r="F196" s="2" t="s">
        <v>13</v>
      </c>
      <c r="G196" s="2" t="s">
        <v>72</v>
      </c>
      <c r="H196" s="3">
        <v>4</v>
      </c>
      <c r="I196" s="6">
        <v>2003</v>
      </c>
      <c r="J196" s="2" t="s">
        <v>61</v>
      </c>
      <c r="K196" s="2" t="s">
        <v>94</v>
      </c>
      <c r="L196" s="7">
        <f t="shared" si="9"/>
        <v>4700</v>
      </c>
      <c r="M196" s="2" t="str">
        <f t="shared" si="10"/>
        <v>November</v>
      </c>
      <c r="N196" s="6">
        <f t="shared" si="11"/>
        <v>2003</v>
      </c>
    </row>
    <row r="197" spans="1:14">
      <c r="A197" s="2" t="s">
        <v>85</v>
      </c>
      <c r="B197" s="3">
        <v>10208</v>
      </c>
      <c r="C197" s="3">
        <v>46</v>
      </c>
      <c r="D197" s="13">
        <v>100</v>
      </c>
      <c r="E197" s="5">
        <v>37988</v>
      </c>
      <c r="F197" s="2" t="s">
        <v>13</v>
      </c>
      <c r="G197" s="2" t="s">
        <v>72</v>
      </c>
      <c r="H197" s="3">
        <v>1</v>
      </c>
      <c r="I197" s="6">
        <v>2004</v>
      </c>
      <c r="J197" s="2" t="s">
        <v>61</v>
      </c>
      <c r="K197" s="2" t="s">
        <v>86</v>
      </c>
      <c r="L197" s="7">
        <f t="shared" si="9"/>
        <v>4600</v>
      </c>
      <c r="M197" s="2" t="str">
        <f t="shared" si="10"/>
        <v>January</v>
      </c>
      <c r="N197" s="6">
        <f t="shared" si="11"/>
        <v>2004</v>
      </c>
    </row>
    <row r="198" spans="1:14">
      <c r="A198" s="2" t="s">
        <v>179</v>
      </c>
      <c r="B198" s="3">
        <v>10220</v>
      </c>
      <c r="C198" s="3">
        <v>32</v>
      </c>
      <c r="D198" s="13">
        <v>100</v>
      </c>
      <c r="E198" s="5">
        <v>38029</v>
      </c>
      <c r="F198" s="2" t="s">
        <v>13</v>
      </c>
      <c r="G198" s="2" t="s">
        <v>72</v>
      </c>
      <c r="H198" s="3">
        <v>1</v>
      </c>
      <c r="I198" s="6">
        <v>2004</v>
      </c>
      <c r="J198" s="2" t="s">
        <v>61</v>
      </c>
      <c r="K198" s="2" t="s">
        <v>180</v>
      </c>
      <c r="L198" s="7">
        <f t="shared" si="9"/>
        <v>3200</v>
      </c>
      <c r="M198" s="2" t="str">
        <f t="shared" si="10"/>
        <v>February</v>
      </c>
      <c r="N198" s="6">
        <f t="shared" si="11"/>
        <v>2004</v>
      </c>
    </row>
    <row r="199" spans="1:14">
      <c r="A199" s="2" t="s">
        <v>181</v>
      </c>
      <c r="B199" s="3">
        <v>10231</v>
      </c>
      <c r="C199" s="3">
        <v>42</v>
      </c>
      <c r="D199" s="13">
        <v>100</v>
      </c>
      <c r="E199" s="5">
        <v>38065</v>
      </c>
      <c r="F199" s="2" t="s">
        <v>13</v>
      </c>
      <c r="G199" s="2" t="s">
        <v>72</v>
      </c>
      <c r="H199" s="3">
        <v>1</v>
      </c>
      <c r="I199" s="6">
        <v>2004</v>
      </c>
      <c r="J199" s="2" t="s">
        <v>61</v>
      </c>
      <c r="K199" s="2" t="s">
        <v>182</v>
      </c>
      <c r="L199" s="7">
        <f t="shared" si="9"/>
        <v>4200</v>
      </c>
      <c r="M199" s="2" t="str">
        <f t="shared" si="10"/>
        <v>March</v>
      </c>
      <c r="N199" s="6">
        <f t="shared" si="11"/>
        <v>2004</v>
      </c>
    </row>
    <row r="200" spans="1:14">
      <c r="A200" s="2" t="s">
        <v>175</v>
      </c>
      <c r="B200" s="3">
        <v>10247</v>
      </c>
      <c r="C200" s="3">
        <v>44</v>
      </c>
      <c r="D200" s="13">
        <v>100</v>
      </c>
      <c r="E200" s="5">
        <v>38112</v>
      </c>
      <c r="F200" s="2" t="s">
        <v>13</v>
      </c>
      <c r="G200" s="2" t="s">
        <v>72</v>
      </c>
      <c r="H200" s="3">
        <v>2</v>
      </c>
      <c r="I200" s="6">
        <v>2004</v>
      </c>
      <c r="J200" s="2" t="s">
        <v>61</v>
      </c>
      <c r="K200" s="2" t="s">
        <v>176</v>
      </c>
      <c r="L200" s="7">
        <f t="shared" si="9"/>
        <v>4400</v>
      </c>
      <c r="M200" s="2" t="str">
        <f t="shared" si="10"/>
        <v>May</v>
      </c>
      <c r="N200" s="6">
        <f t="shared" si="11"/>
        <v>2004</v>
      </c>
    </row>
    <row r="201" spans="1:14">
      <c r="A201" s="2" t="s">
        <v>58</v>
      </c>
      <c r="B201" s="3">
        <v>10272</v>
      </c>
      <c r="C201" s="3">
        <v>35</v>
      </c>
      <c r="D201" s="13">
        <v>100</v>
      </c>
      <c r="E201" s="5">
        <v>38188</v>
      </c>
      <c r="F201" s="2" t="s">
        <v>13</v>
      </c>
      <c r="G201" s="2" t="s">
        <v>72</v>
      </c>
      <c r="H201" s="3">
        <v>3</v>
      </c>
      <c r="I201" s="6">
        <v>2004</v>
      </c>
      <c r="J201" s="2" t="s">
        <v>22</v>
      </c>
      <c r="K201" s="2" t="s">
        <v>59</v>
      </c>
      <c r="L201" s="7">
        <f t="shared" si="9"/>
        <v>3500</v>
      </c>
      <c r="M201" s="2" t="str">
        <f t="shared" si="10"/>
        <v>July</v>
      </c>
      <c r="N201" s="6">
        <f t="shared" si="11"/>
        <v>2004</v>
      </c>
    </row>
    <row r="202" spans="1:14">
      <c r="A202" s="2" t="s">
        <v>103</v>
      </c>
      <c r="B202" s="3">
        <v>10282</v>
      </c>
      <c r="C202" s="3">
        <v>41</v>
      </c>
      <c r="D202" s="13">
        <v>100</v>
      </c>
      <c r="E202" s="5">
        <v>38219</v>
      </c>
      <c r="F202" s="2" t="s">
        <v>13</v>
      </c>
      <c r="G202" s="2" t="s">
        <v>72</v>
      </c>
      <c r="H202" s="3">
        <v>3</v>
      </c>
      <c r="I202" s="6">
        <v>2004</v>
      </c>
      <c r="J202" s="2" t="s">
        <v>61</v>
      </c>
      <c r="K202" s="2" t="s">
        <v>104</v>
      </c>
      <c r="L202" s="7">
        <f t="shared" si="9"/>
        <v>4100</v>
      </c>
      <c r="M202" s="2" t="str">
        <f t="shared" si="10"/>
        <v>August</v>
      </c>
      <c r="N202" s="6">
        <f t="shared" si="11"/>
        <v>2004</v>
      </c>
    </row>
    <row r="203" spans="1:14">
      <c r="A203" s="2" t="s">
        <v>97</v>
      </c>
      <c r="B203" s="3">
        <v>10293</v>
      </c>
      <c r="C203" s="3">
        <v>46</v>
      </c>
      <c r="D203" s="13">
        <v>100</v>
      </c>
      <c r="E203" s="5">
        <v>38239</v>
      </c>
      <c r="F203" s="2" t="s">
        <v>13</v>
      </c>
      <c r="G203" s="2" t="s">
        <v>72</v>
      </c>
      <c r="H203" s="3">
        <v>3</v>
      </c>
      <c r="I203" s="6">
        <v>2004</v>
      </c>
      <c r="J203" s="2" t="s">
        <v>61</v>
      </c>
      <c r="K203" s="2" t="s">
        <v>98</v>
      </c>
      <c r="L203" s="7">
        <f t="shared" si="9"/>
        <v>4600</v>
      </c>
      <c r="M203" s="2" t="str">
        <f t="shared" si="10"/>
        <v>September</v>
      </c>
      <c r="N203" s="6">
        <f t="shared" si="11"/>
        <v>2004</v>
      </c>
    </row>
    <row r="204" spans="1:14">
      <c r="A204" s="2" t="s">
        <v>183</v>
      </c>
      <c r="B204" s="3">
        <v>10306</v>
      </c>
      <c r="C204" s="3">
        <v>31</v>
      </c>
      <c r="D204" s="13">
        <v>100</v>
      </c>
      <c r="E204" s="5">
        <v>38274</v>
      </c>
      <c r="F204" s="2" t="s">
        <v>13</v>
      </c>
      <c r="G204" s="2" t="s">
        <v>72</v>
      </c>
      <c r="H204" s="3">
        <v>4</v>
      </c>
      <c r="I204" s="6">
        <v>2004</v>
      </c>
      <c r="J204" s="2" t="s">
        <v>22</v>
      </c>
      <c r="K204" s="2" t="s">
        <v>184</v>
      </c>
      <c r="L204" s="7">
        <f t="shared" si="9"/>
        <v>3100</v>
      </c>
      <c r="M204" s="2" t="str">
        <f t="shared" si="10"/>
        <v>October</v>
      </c>
      <c r="N204" s="6">
        <f t="shared" si="11"/>
        <v>2004</v>
      </c>
    </row>
    <row r="205" spans="1:14">
      <c r="A205" s="2" t="s">
        <v>185</v>
      </c>
      <c r="B205" s="3">
        <v>10314</v>
      </c>
      <c r="C205" s="3">
        <v>38</v>
      </c>
      <c r="D205" s="13">
        <v>100</v>
      </c>
      <c r="E205" s="5">
        <v>38282</v>
      </c>
      <c r="F205" s="2" t="s">
        <v>13</v>
      </c>
      <c r="G205" s="2" t="s">
        <v>72</v>
      </c>
      <c r="H205" s="3">
        <v>4</v>
      </c>
      <c r="I205" s="6">
        <v>2004</v>
      </c>
      <c r="J205" s="2" t="s">
        <v>61</v>
      </c>
      <c r="K205" s="2" t="s">
        <v>186</v>
      </c>
      <c r="L205" s="7">
        <f t="shared" si="9"/>
        <v>3800</v>
      </c>
      <c r="M205" s="2" t="str">
        <f t="shared" si="10"/>
        <v>October</v>
      </c>
      <c r="N205" s="6">
        <f t="shared" si="11"/>
        <v>2004</v>
      </c>
    </row>
    <row r="206" spans="1:14">
      <c r="A206" s="2" t="s">
        <v>56</v>
      </c>
      <c r="B206" s="3">
        <v>10325</v>
      </c>
      <c r="C206" s="3">
        <v>42</v>
      </c>
      <c r="D206" s="13">
        <v>64</v>
      </c>
      <c r="E206" s="5">
        <v>38296</v>
      </c>
      <c r="F206" s="2" t="s">
        <v>13</v>
      </c>
      <c r="G206" s="2" t="s">
        <v>72</v>
      </c>
      <c r="H206" s="3">
        <v>4</v>
      </c>
      <c r="I206" s="6">
        <v>2004</v>
      </c>
      <c r="J206" s="2" t="s">
        <v>15</v>
      </c>
      <c r="K206" s="2" t="s">
        <v>57</v>
      </c>
      <c r="L206" s="7">
        <f t="shared" si="9"/>
        <v>2688</v>
      </c>
      <c r="M206" s="2" t="str">
        <f t="shared" si="10"/>
        <v>November</v>
      </c>
      <c r="N206" s="6">
        <f t="shared" si="11"/>
        <v>2004</v>
      </c>
    </row>
    <row r="207" spans="1:14">
      <c r="A207" s="2" t="s">
        <v>152</v>
      </c>
      <c r="B207" s="3">
        <v>10336</v>
      </c>
      <c r="C207" s="3">
        <v>33</v>
      </c>
      <c r="D207" s="13">
        <v>57.22</v>
      </c>
      <c r="E207" s="5">
        <v>38311</v>
      </c>
      <c r="F207" s="2" t="s">
        <v>13</v>
      </c>
      <c r="G207" s="2" t="s">
        <v>72</v>
      </c>
      <c r="H207" s="3">
        <v>4</v>
      </c>
      <c r="I207" s="6">
        <v>2004</v>
      </c>
      <c r="J207" s="2" t="s">
        <v>15</v>
      </c>
      <c r="K207" s="2" t="s">
        <v>153</v>
      </c>
      <c r="L207" s="7">
        <f t="shared" si="9"/>
        <v>1888.26</v>
      </c>
      <c r="M207" s="2" t="str">
        <f t="shared" si="10"/>
        <v>November</v>
      </c>
      <c r="N207" s="6">
        <f t="shared" si="11"/>
        <v>2004</v>
      </c>
    </row>
    <row r="208" spans="1:14">
      <c r="A208" s="2" t="s">
        <v>75</v>
      </c>
      <c r="B208" s="3">
        <v>10348</v>
      </c>
      <c r="C208" s="3">
        <v>48</v>
      </c>
      <c r="D208" s="13">
        <v>52.36</v>
      </c>
      <c r="E208" s="5">
        <v>38292</v>
      </c>
      <c r="F208" s="2" t="s">
        <v>13</v>
      </c>
      <c r="G208" s="2" t="s">
        <v>72</v>
      </c>
      <c r="H208" s="3">
        <v>4</v>
      </c>
      <c r="I208" s="6">
        <v>2004</v>
      </c>
      <c r="J208" s="2" t="s">
        <v>15</v>
      </c>
      <c r="K208" s="2" t="s">
        <v>76</v>
      </c>
      <c r="L208" s="7">
        <f t="shared" si="9"/>
        <v>2513.28</v>
      </c>
      <c r="M208" s="2" t="str">
        <f t="shared" si="10"/>
        <v>November</v>
      </c>
      <c r="N208" s="6">
        <f t="shared" si="11"/>
        <v>2004</v>
      </c>
    </row>
    <row r="209" spans="1:14">
      <c r="A209" s="2" t="s">
        <v>18</v>
      </c>
      <c r="B209" s="3">
        <v>10359</v>
      </c>
      <c r="C209" s="3">
        <v>42</v>
      </c>
      <c r="D209" s="13">
        <v>100</v>
      </c>
      <c r="E209" s="5">
        <v>38336</v>
      </c>
      <c r="F209" s="2" t="s">
        <v>13</v>
      </c>
      <c r="G209" s="2" t="s">
        <v>72</v>
      </c>
      <c r="H209" s="3">
        <v>4</v>
      </c>
      <c r="I209" s="6">
        <v>2004</v>
      </c>
      <c r="J209" s="2" t="s">
        <v>22</v>
      </c>
      <c r="K209" s="2" t="s">
        <v>19</v>
      </c>
      <c r="L209" s="7">
        <f t="shared" si="9"/>
        <v>4200</v>
      </c>
      <c r="M209" s="2" t="str">
        <f t="shared" si="10"/>
        <v>December</v>
      </c>
      <c r="N209" s="6">
        <f t="shared" si="11"/>
        <v>2004</v>
      </c>
    </row>
    <row r="210" spans="1:14">
      <c r="A210" s="2" t="s">
        <v>103</v>
      </c>
      <c r="B210" s="3">
        <v>10371</v>
      </c>
      <c r="C210" s="3">
        <v>32</v>
      </c>
      <c r="D210" s="13">
        <v>100</v>
      </c>
      <c r="E210" s="5">
        <v>38375</v>
      </c>
      <c r="F210" s="2" t="s">
        <v>13</v>
      </c>
      <c r="G210" s="2" t="s">
        <v>72</v>
      </c>
      <c r="H210" s="3">
        <v>1</v>
      </c>
      <c r="I210" s="6">
        <v>2005</v>
      </c>
      <c r="J210" s="2" t="s">
        <v>22</v>
      </c>
      <c r="K210" s="2" t="s">
        <v>104</v>
      </c>
      <c r="L210" s="7">
        <f t="shared" si="9"/>
        <v>3200</v>
      </c>
      <c r="M210" s="2" t="str">
        <f t="shared" si="10"/>
        <v>January</v>
      </c>
      <c r="N210" s="6">
        <f t="shared" si="11"/>
        <v>2005</v>
      </c>
    </row>
    <row r="211" spans="1:14">
      <c r="A211" s="2" t="s">
        <v>103</v>
      </c>
      <c r="B211" s="3">
        <v>10382</v>
      </c>
      <c r="C211" s="3">
        <v>34</v>
      </c>
      <c r="D211" s="13">
        <v>100</v>
      </c>
      <c r="E211" s="5">
        <v>38400</v>
      </c>
      <c r="F211" s="2" t="s">
        <v>13</v>
      </c>
      <c r="G211" s="2" t="s">
        <v>72</v>
      </c>
      <c r="H211" s="3">
        <v>1</v>
      </c>
      <c r="I211" s="6">
        <v>2005</v>
      </c>
      <c r="J211" s="2" t="s">
        <v>22</v>
      </c>
      <c r="K211" s="2" t="s">
        <v>104</v>
      </c>
      <c r="L211" s="7">
        <f t="shared" si="9"/>
        <v>3400</v>
      </c>
      <c r="M211" s="2" t="str">
        <f t="shared" si="10"/>
        <v>February</v>
      </c>
      <c r="N211" s="6">
        <f t="shared" si="11"/>
        <v>2005</v>
      </c>
    </row>
    <row r="212" spans="1:14">
      <c r="A212" s="2" t="s">
        <v>21</v>
      </c>
      <c r="B212" s="3">
        <v>10395</v>
      </c>
      <c r="C212" s="3">
        <v>33</v>
      </c>
      <c r="D212" s="13">
        <v>69.12</v>
      </c>
      <c r="E212" s="5">
        <v>38428</v>
      </c>
      <c r="F212" s="2" t="s">
        <v>13</v>
      </c>
      <c r="G212" s="2" t="s">
        <v>72</v>
      </c>
      <c r="H212" s="3">
        <v>1</v>
      </c>
      <c r="I212" s="6">
        <v>2005</v>
      </c>
      <c r="J212" s="2" t="s">
        <v>15</v>
      </c>
      <c r="K212" s="2" t="s">
        <v>23</v>
      </c>
      <c r="L212" s="7">
        <f t="shared" si="9"/>
        <v>2280.96</v>
      </c>
      <c r="M212" s="2" t="str">
        <f t="shared" si="10"/>
        <v>March</v>
      </c>
      <c r="N212" s="6">
        <f t="shared" si="11"/>
        <v>2005</v>
      </c>
    </row>
    <row r="213" spans="1:14">
      <c r="A213" s="2" t="s">
        <v>48</v>
      </c>
      <c r="B213" s="3">
        <v>10413</v>
      </c>
      <c r="C213" s="3">
        <v>36</v>
      </c>
      <c r="D213" s="13">
        <v>100</v>
      </c>
      <c r="E213" s="5">
        <v>38477</v>
      </c>
      <c r="F213" s="2" t="s">
        <v>13</v>
      </c>
      <c r="G213" s="2" t="s">
        <v>72</v>
      </c>
      <c r="H213" s="3">
        <v>2</v>
      </c>
      <c r="I213" s="6">
        <v>2005</v>
      </c>
      <c r="J213" s="2" t="s">
        <v>61</v>
      </c>
      <c r="K213" s="2" t="s">
        <v>49</v>
      </c>
      <c r="L213" s="7">
        <f t="shared" si="9"/>
        <v>3600</v>
      </c>
      <c r="M213" s="2" t="str">
        <f t="shared" si="10"/>
        <v>May</v>
      </c>
      <c r="N213" s="6">
        <f t="shared" si="11"/>
        <v>2005</v>
      </c>
    </row>
    <row r="214" spans="1:14">
      <c r="A214" s="2" t="s">
        <v>56</v>
      </c>
      <c r="B214" s="3">
        <v>10103</v>
      </c>
      <c r="C214" s="3">
        <v>27</v>
      </c>
      <c r="D214" s="13">
        <v>100</v>
      </c>
      <c r="E214" s="5">
        <v>37650</v>
      </c>
      <c r="F214" s="2" t="s">
        <v>13</v>
      </c>
      <c r="G214" s="2" t="s">
        <v>187</v>
      </c>
      <c r="H214" s="3">
        <v>1</v>
      </c>
      <c r="I214" s="6">
        <v>2003</v>
      </c>
      <c r="J214" s="2" t="s">
        <v>22</v>
      </c>
      <c r="K214" s="2" t="s">
        <v>57</v>
      </c>
      <c r="L214" s="7">
        <f t="shared" si="9"/>
        <v>2700</v>
      </c>
      <c r="M214" s="2" t="str">
        <f t="shared" si="10"/>
        <v>January</v>
      </c>
      <c r="N214" s="6">
        <f t="shared" si="11"/>
        <v>2003</v>
      </c>
    </row>
    <row r="215" spans="1:14">
      <c r="A215" s="2" t="s">
        <v>103</v>
      </c>
      <c r="B215" s="3">
        <v>10113</v>
      </c>
      <c r="C215" s="3">
        <v>21</v>
      </c>
      <c r="D215" s="13">
        <v>100</v>
      </c>
      <c r="E215" s="5">
        <v>37706</v>
      </c>
      <c r="F215" s="2" t="s">
        <v>13</v>
      </c>
      <c r="G215" s="2" t="s">
        <v>187</v>
      </c>
      <c r="H215" s="3">
        <v>1</v>
      </c>
      <c r="I215" s="6">
        <v>2003</v>
      </c>
      <c r="J215" s="2" t="s">
        <v>22</v>
      </c>
      <c r="K215" s="2" t="s">
        <v>104</v>
      </c>
      <c r="L215" s="7">
        <f t="shared" si="9"/>
        <v>2100</v>
      </c>
      <c r="M215" s="2" t="str">
        <f t="shared" si="10"/>
        <v>March</v>
      </c>
      <c r="N215" s="6">
        <f t="shared" si="11"/>
        <v>2003</v>
      </c>
    </row>
    <row r="216" spans="1:14">
      <c r="A216" s="2" t="s">
        <v>75</v>
      </c>
      <c r="B216" s="3">
        <v>10126</v>
      </c>
      <c r="C216" s="3">
        <v>21</v>
      </c>
      <c r="D216" s="13">
        <v>100</v>
      </c>
      <c r="E216" s="5">
        <v>37769</v>
      </c>
      <c r="F216" s="2" t="s">
        <v>13</v>
      </c>
      <c r="G216" s="2" t="s">
        <v>187</v>
      </c>
      <c r="H216" s="3">
        <v>2</v>
      </c>
      <c r="I216" s="6">
        <v>2003</v>
      </c>
      <c r="J216" s="2" t="s">
        <v>15</v>
      </c>
      <c r="K216" s="2" t="s">
        <v>76</v>
      </c>
      <c r="L216" s="7">
        <f t="shared" si="9"/>
        <v>2100</v>
      </c>
      <c r="M216" s="2" t="str">
        <f t="shared" si="10"/>
        <v>May</v>
      </c>
      <c r="N216" s="6">
        <f t="shared" si="11"/>
        <v>2003</v>
      </c>
    </row>
    <row r="217" spans="1:14">
      <c r="A217" s="2" t="s">
        <v>31</v>
      </c>
      <c r="B217" s="3">
        <v>10140</v>
      </c>
      <c r="C217" s="3">
        <v>38</v>
      </c>
      <c r="D217" s="13">
        <v>100</v>
      </c>
      <c r="E217" s="5">
        <v>37826</v>
      </c>
      <c r="F217" s="2" t="s">
        <v>13</v>
      </c>
      <c r="G217" s="2" t="s">
        <v>187</v>
      </c>
      <c r="H217" s="3">
        <v>3</v>
      </c>
      <c r="I217" s="6">
        <v>2003</v>
      </c>
      <c r="J217" s="2" t="s">
        <v>22</v>
      </c>
      <c r="K217" s="2" t="s">
        <v>32</v>
      </c>
      <c r="L217" s="7">
        <f t="shared" si="9"/>
        <v>3800</v>
      </c>
      <c r="M217" s="2" t="str">
        <f t="shared" si="10"/>
        <v>July</v>
      </c>
      <c r="N217" s="6">
        <f t="shared" si="11"/>
        <v>2003</v>
      </c>
    </row>
    <row r="218" spans="1:14">
      <c r="A218" s="2" t="s">
        <v>77</v>
      </c>
      <c r="B218" s="3">
        <v>10150</v>
      </c>
      <c r="C218" s="3">
        <v>30</v>
      </c>
      <c r="D218" s="13">
        <v>100</v>
      </c>
      <c r="E218" s="5">
        <v>37883</v>
      </c>
      <c r="F218" s="2" t="s">
        <v>13</v>
      </c>
      <c r="G218" s="2" t="s">
        <v>187</v>
      </c>
      <c r="H218" s="3">
        <v>3</v>
      </c>
      <c r="I218" s="6">
        <v>2003</v>
      </c>
      <c r="J218" s="2" t="s">
        <v>22</v>
      </c>
      <c r="K218" s="2" t="s">
        <v>78</v>
      </c>
      <c r="L218" s="7">
        <f t="shared" si="9"/>
        <v>3000</v>
      </c>
      <c r="M218" s="2" t="str">
        <f t="shared" si="10"/>
        <v>September</v>
      </c>
      <c r="N218" s="6">
        <f t="shared" si="11"/>
        <v>2003</v>
      </c>
    </row>
    <row r="219" spans="1:14">
      <c r="A219" s="2" t="s">
        <v>154</v>
      </c>
      <c r="B219" s="3">
        <v>10164</v>
      </c>
      <c r="C219" s="3">
        <v>49</v>
      </c>
      <c r="D219" s="13">
        <v>100</v>
      </c>
      <c r="E219" s="5">
        <v>37915</v>
      </c>
      <c r="F219" s="2" t="s">
        <v>155</v>
      </c>
      <c r="G219" s="2" t="s">
        <v>187</v>
      </c>
      <c r="H219" s="3">
        <v>4</v>
      </c>
      <c r="I219" s="6">
        <v>2003</v>
      </c>
      <c r="J219" s="2" t="s">
        <v>22</v>
      </c>
      <c r="K219" s="2" t="s">
        <v>156</v>
      </c>
      <c r="L219" s="7">
        <f t="shared" si="9"/>
        <v>4900</v>
      </c>
      <c r="M219" s="2" t="str">
        <f t="shared" si="10"/>
        <v>October</v>
      </c>
      <c r="N219" s="6">
        <f t="shared" si="11"/>
        <v>2003</v>
      </c>
    </row>
    <row r="220" spans="1:14">
      <c r="A220" s="2" t="s">
        <v>81</v>
      </c>
      <c r="B220" s="3">
        <v>10174</v>
      </c>
      <c r="C220" s="3">
        <v>43</v>
      </c>
      <c r="D220" s="13">
        <v>100</v>
      </c>
      <c r="E220" s="5">
        <v>37931</v>
      </c>
      <c r="F220" s="2" t="s">
        <v>13</v>
      </c>
      <c r="G220" s="2" t="s">
        <v>187</v>
      </c>
      <c r="H220" s="3">
        <v>4</v>
      </c>
      <c r="I220" s="6">
        <v>2003</v>
      </c>
      <c r="J220" s="2" t="s">
        <v>22</v>
      </c>
      <c r="K220" s="2" t="s">
        <v>82</v>
      </c>
      <c r="L220" s="7">
        <f t="shared" si="9"/>
        <v>4300</v>
      </c>
      <c r="M220" s="2" t="str">
        <f t="shared" si="10"/>
        <v>November</v>
      </c>
      <c r="N220" s="6">
        <f t="shared" si="11"/>
        <v>2003</v>
      </c>
    </row>
    <row r="221" spans="1:14">
      <c r="A221" s="2" t="s">
        <v>83</v>
      </c>
      <c r="B221" s="3">
        <v>10183</v>
      </c>
      <c r="C221" s="3">
        <v>41</v>
      </c>
      <c r="D221" s="13">
        <v>100</v>
      </c>
      <c r="E221" s="5">
        <v>37938</v>
      </c>
      <c r="F221" s="2" t="s">
        <v>13</v>
      </c>
      <c r="G221" s="2" t="s">
        <v>187</v>
      </c>
      <c r="H221" s="3">
        <v>4</v>
      </c>
      <c r="I221" s="6">
        <v>2003</v>
      </c>
      <c r="J221" s="2" t="s">
        <v>22</v>
      </c>
      <c r="K221" s="2" t="s">
        <v>84</v>
      </c>
      <c r="L221" s="7">
        <f t="shared" si="9"/>
        <v>4100</v>
      </c>
      <c r="M221" s="2" t="str">
        <f t="shared" si="10"/>
        <v>November</v>
      </c>
      <c r="N221" s="6">
        <f t="shared" si="11"/>
        <v>2003</v>
      </c>
    </row>
    <row r="222" spans="1:14">
      <c r="A222" s="2" t="s">
        <v>85</v>
      </c>
      <c r="B222" s="3">
        <v>10194</v>
      </c>
      <c r="C222" s="3">
        <v>38</v>
      </c>
      <c r="D222" s="13">
        <v>100</v>
      </c>
      <c r="E222" s="5">
        <v>37950</v>
      </c>
      <c r="F222" s="2" t="s">
        <v>13</v>
      </c>
      <c r="G222" s="2" t="s">
        <v>187</v>
      </c>
      <c r="H222" s="3">
        <v>4</v>
      </c>
      <c r="I222" s="6">
        <v>2003</v>
      </c>
      <c r="J222" s="2" t="s">
        <v>22</v>
      </c>
      <c r="K222" s="2" t="s">
        <v>86</v>
      </c>
      <c r="L222" s="7">
        <f t="shared" si="9"/>
        <v>3800</v>
      </c>
      <c r="M222" s="2" t="str">
        <f t="shared" si="10"/>
        <v>November</v>
      </c>
      <c r="N222" s="6">
        <f t="shared" si="11"/>
        <v>2003</v>
      </c>
    </row>
    <row r="223" spans="1:14">
      <c r="A223" s="2" t="s">
        <v>87</v>
      </c>
      <c r="B223" s="3">
        <v>10206</v>
      </c>
      <c r="C223" s="3">
        <v>28</v>
      </c>
      <c r="D223" s="13">
        <v>100</v>
      </c>
      <c r="E223" s="5">
        <v>37960</v>
      </c>
      <c r="F223" s="2" t="s">
        <v>13</v>
      </c>
      <c r="G223" s="2" t="s">
        <v>187</v>
      </c>
      <c r="H223" s="3">
        <v>4</v>
      </c>
      <c r="I223" s="6">
        <v>2003</v>
      </c>
      <c r="J223" s="2" t="s">
        <v>22</v>
      </c>
      <c r="K223" s="2" t="s">
        <v>88</v>
      </c>
      <c r="L223" s="7">
        <f t="shared" si="9"/>
        <v>2800</v>
      </c>
      <c r="M223" s="2" t="str">
        <f t="shared" si="10"/>
        <v>December</v>
      </c>
      <c r="N223" s="6">
        <f t="shared" si="11"/>
        <v>2003</v>
      </c>
    </row>
    <row r="224" spans="1:14">
      <c r="A224" s="2" t="s">
        <v>101</v>
      </c>
      <c r="B224" s="3">
        <v>10216</v>
      </c>
      <c r="C224" s="3">
        <v>43</v>
      </c>
      <c r="D224" s="13">
        <v>100</v>
      </c>
      <c r="E224" s="5">
        <v>38019</v>
      </c>
      <c r="F224" s="2" t="s">
        <v>13</v>
      </c>
      <c r="G224" s="2" t="s">
        <v>187</v>
      </c>
      <c r="H224" s="3">
        <v>1</v>
      </c>
      <c r="I224" s="6">
        <v>2004</v>
      </c>
      <c r="J224" s="2" t="s">
        <v>22</v>
      </c>
      <c r="K224" s="2" t="s">
        <v>102</v>
      </c>
      <c r="L224" s="7">
        <f t="shared" si="9"/>
        <v>4300</v>
      </c>
      <c r="M224" s="2" t="str">
        <f t="shared" si="10"/>
        <v>February</v>
      </c>
      <c r="N224" s="6">
        <f t="shared" si="11"/>
        <v>2004</v>
      </c>
    </row>
    <row r="225" spans="1:14">
      <c r="A225" s="2" t="s">
        <v>103</v>
      </c>
      <c r="B225" s="3">
        <v>10229</v>
      </c>
      <c r="C225" s="3">
        <v>25</v>
      </c>
      <c r="D225" s="13">
        <v>100</v>
      </c>
      <c r="E225" s="5">
        <v>38057</v>
      </c>
      <c r="F225" s="2" t="s">
        <v>13</v>
      </c>
      <c r="G225" s="2" t="s">
        <v>187</v>
      </c>
      <c r="H225" s="3">
        <v>1</v>
      </c>
      <c r="I225" s="6">
        <v>2004</v>
      </c>
      <c r="J225" s="2" t="s">
        <v>22</v>
      </c>
      <c r="K225" s="2" t="s">
        <v>104</v>
      </c>
      <c r="L225" s="7">
        <f t="shared" si="9"/>
        <v>2500</v>
      </c>
      <c r="M225" s="2" t="str">
        <f t="shared" si="10"/>
        <v>March</v>
      </c>
      <c r="N225" s="6">
        <f t="shared" si="11"/>
        <v>2004</v>
      </c>
    </row>
    <row r="226" spans="1:14">
      <c r="A226" s="2" t="s">
        <v>93</v>
      </c>
      <c r="B226" s="3">
        <v>10245</v>
      </c>
      <c r="C226" s="3">
        <v>38</v>
      </c>
      <c r="D226" s="13">
        <v>100</v>
      </c>
      <c r="E226" s="5">
        <v>38111</v>
      </c>
      <c r="F226" s="2" t="s">
        <v>13</v>
      </c>
      <c r="G226" s="2" t="s">
        <v>187</v>
      </c>
      <c r="H226" s="3">
        <v>2</v>
      </c>
      <c r="I226" s="6">
        <v>2004</v>
      </c>
      <c r="J226" s="2" t="s">
        <v>22</v>
      </c>
      <c r="K226" s="2" t="s">
        <v>94</v>
      </c>
      <c r="L226" s="7">
        <f t="shared" si="9"/>
        <v>3800</v>
      </c>
      <c r="M226" s="2" t="str">
        <f t="shared" si="10"/>
        <v>May</v>
      </c>
      <c r="N226" s="6">
        <f t="shared" si="11"/>
        <v>2004</v>
      </c>
    </row>
    <row r="227" spans="1:14">
      <c r="A227" s="2" t="s">
        <v>95</v>
      </c>
      <c r="B227" s="3">
        <v>10258</v>
      </c>
      <c r="C227" s="3">
        <v>41</v>
      </c>
      <c r="D227" s="13">
        <v>100</v>
      </c>
      <c r="E227" s="5">
        <v>38153</v>
      </c>
      <c r="F227" s="2" t="s">
        <v>13</v>
      </c>
      <c r="G227" s="2" t="s">
        <v>187</v>
      </c>
      <c r="H227" s="3">
        <v>2</v>
      </c>
      <c r="I227" s="6">
        <v>2004</v>
      </c>
      <c r="J227" s="2" t="s">
        <v>22</v>
      </c>
      <c r="K227" s="2" t="s">
        <v>96</v>
      </c>
      <c r="L227" s="7">
        <f t="shared" si="9"/>
        <v>4100</v>
      </c>
      <c r="M227" s="2" t="str">
        <f t="shared" si="10"/>
        <v>June</v>
      </c>
      <c r="N227" s="6">
        <f t="shared" si="11"/>
        <v>2004</v>
      </c>
    </row>
    <row r="228" spans="1:14">
      <c r="A228" s="2" t="s">
        <v>63</v>
      </c>
      <c r="B228" s="3">
        <v>10270</v>
      </c>
      <c r="C228" s="3">
        <v>28</v>
      </c>
      <c r="D228" s="13">
        <v>100</v>
      </c>
      <c r="E228" s="5">
        <v>38187</v>
      </c>
      <c r="F228" s="2" t="s">
        <v>13</v>
      </c>
      <c r="G228" s="2" t="s">
        <v>187</v>
      </c>
      <c r="H228" s="3">
        <v>3</v>
      </c>
      <c r="I228" s="6">
        <v>2004</v>
      </c>
      <c r="J228" s="2" t="s">
        <v>22</v>
      </c>
      <c r="K228" s="2" t="s">
        <v>64</v>
      </c>
      <c r="L228" s="7">
        <f t="shared" si="9"/>
        <v>2800</v>
      </c>
      <c r="M228" s="2" t="str">
        <f t="shared" si="10"/>
        <v>July</v>
      </c>
      <c r="N228" s="6">
        <f t="shared" si="11"/>
        <v>2004</v>
      </c>
    </row>
    <row r="229" spans="1:14">
      <c r="A229" s="2" t="s">
        <v>58</v>
      </c>
      <c r="B229" s="3">
        <v>10281</v>
      </c>
      <c r="C229" s="3">
        <v>25</v>
      </c>
      <c r="D229" s="13">
        <v>100</v>
      </c>
      <c r="E229" s="5">
        <v>38218</v>
      </c>
      <c r="F229" s="2" t="s">
        <v>13</v>
      </c>
      <c r="G229" s="2" t="s">
        <v>187</v>
      </c>
      <c r="H229" s="3">
        <v>3</v>
      </c>
      <c r="I229" s="6">
        <v>2004</v>
      </c>
      <c r="J229" s="2" t="s">
        <v>15</v>
      </c>
      <c r="K229" s="2" t="s">
        <v>59</v>
      </c>
      <c r="L229" s="7">
        <f t="shared" si="9"/>
        <v>2500</v>
      </c>
      <c r="M229" s="2" t="str">
        <f t="shared" si="10"/>
        <v>August</v>
      </c>
      <c r="N229" s="6">
        <f t="shared" si="11"/>
        <v>2004</v>
      </c>
    </row>
    <row r="230" spans="1:14">
      <c r="A230" s="2" t="s">
        <v>99</v>
      </c>
      <c r="B230" s="3">
        <v>10291</v>
      </c>
      <c r="C230" s="3">
        <v>41</v>
      </c>
      <c r="D230" s="13">
        <v>100</v>
      </c>
      <c r="E230" s="5">
        <v>38238</v>
      </c>
      <c r="F230" s="2" t="s">
        <v>13</v>
      </c>
      <c r="G230" s="2" t="s">
        <v>187</v>
      </c>
      <c r="H230" s="3">
        <v>3</v>
      </c>
      <c r="I230" s="6">
        <v>2004</v>
      </c>
      <c r="J230" s="2" t="s">
        <v>22</v>
      </c>
      <c r="K230" s="2" t="s">
        <v>100</v>
      </c>
      <c r="L230" s="7">
        <f t="shared" si="9"/>
        <v>4100</v>
      </c>
      <c r="M230" s="2" t="str">
        <f t="shared" si="10"/>
        <v>September</v>
      </c>
      <c r="N230" s="6">
        <f t="shared" si="11"/>
        <v>2004</v>
      </c>
    </row>
    <row r="231" spans="1:14">
      <c r="A231" s="2" t="s">
        <v>101</v>
      </c>
      <c r="B231" s="3">
        <v>10304</v>
      </c>
      <c r="C231" s="3">
        <v>39</v>
      </c>
      <c r="D231" s="13">
        <v>100</v>
      </c>
      <c r="E231" s="5">
        <v>38271</v>
      </c>
      <c r="F231" s="2" t="s">
        <v>13</v>
      </c>
      <c r="G231" s="2" t="s">
        <v>187</v>
      </c>
      <c r="H231" s="3">
        <v>4</v>
      </c>
      <c r="I231" s="6">
        <v>2004</v>
      </c>
      <c r="J231" s="2" t="s">
        <v>22</v>
      </c>
      <c r="K231" s="2" t="s">
        <v>102</v>
      </c>
      <c r="L231" s="7">
        <f t="shared" si="9"/>
        <v>3900</v>
      </c>
      <c r="M231" s="2" t="str">
        <f t="shared" si="10"/>
        <v>October</v>
      </c>
      <c r="N231" s="6">
        <f t="shared" si="11"/>
        <v>2004</v>
      </c>
    </row>
    <row r="232" spans="1:14">
      <c r="A232" s="2" t="s">
        <v>87</v>
      </c>
      <c r="B232" s="3">
        <v>10313</v>
      </c>
      <c r="C232" s="3">
        <v>21</v>
      </c>
      <c r="D232" s="13">
        <v>100</v>
      </c>
      <c r="E232" s="5">
        <v>38282</v>
      </c>
      <c r="F232" s="2" t="s">
        <v>13</v>
      </c>
      <c r="G232" s="2" t="s">
        <v>187</v>
      </c>
      <c r="H232" s="3">
        <v>4</v>
      </c>
      <c r="I232" s="6">
        <v>2004</v>
      </c>
      <c r="J232" s="2" t="s">
        <v>15</v>
      </c>
      <c r="K232" s="2" t="s">
        <v>88</v>
      </c>
      <c r="L232" s="7">
        <f t="shared" si="9"/>
        <v>2100</v>
      </c>
      <c r="M232" s="2" t="str">
        <f t="shared" si="10"/>
        <v>October</v>
      </c>
      <c r="N232" s="6">
        <f t="shared" si="11"/>
        <v>2004</v>
      </c>
    </row>
    <row r="233" spans="1:14">
      <c r="A233" s="2" t="s">
        <v>105</v>
      </c>
      <c r="B233" s="3">
        <v>10322</v>
      </c>
      <c r="C233" s="3">
        <v>27</v>
      </c>
      <c r="D233" s="13">
        <v>100</v>
      </c>
      <c r="E233" s="5">
        <v>38295</v>
      </c>
      <c r="F233" s="2" t="s">
        <v>13</v>
      </c>
      <c r="G233" s="2" t="s">
        <v>187</v>
      </c>
      <c r="H233" s="3">
        <v>4</v>
      </c>
      <c r="I233" s="6">
        <v>2004</v>
      </c>
      <c r="J233" s="2" t="s">
        <v>22</v>
      </c>
      <c r="K233" s="2" t="s">
        <v>106</v>
      </c>
      <c r="L233" s="7">
        <f t="shared" si="9"/>
        <v>2700</v>
      </c>
      <c r="M233" s="2" t="str">
        <f t="shared" si="10"/>
        <v>November</v>
      </c>
      <c r="N233" s="6">
        <f t="shared" si="11"/>
        <v>2004</v>
      </c>
    </row>
    <row r="234" spans="1:14">
      <c r="A234" s="2" t="s">
        <v>38</v>
      </c>
      <c r="B234" s="3">
        <v>10333</v>
      </c>
      <c r="C234" s="3">
        <v>33</v>
      </c>
      <c r="D234" s="13">
        <v>99.21</v>
      </c>
      <c r="E234" s="5">
        <v>38309</v>
      </c>
      <c r="F234" s="2" t="s">
        <v>13</v>
      </c>
      <c r="G234" s="2" t="s">
        <v>187</v>
      </c>
      <c r="H234" s="3">
        <v>4</v>
      </c>
      <c r="I234" s="6">
        <v>2004</v>
      </c>
      <c r="J234" s="2" t="s">
        <v>22</v>
      </c>
      <c r="K234" s="2" t="s">
        <v>39</v>
      </c>
      <c r="L234" s="7">
        <f t="shared" si="9"/>
        <v>3273.93</v>
      </c>
      <c r="M234" s="2" t="str">
        <f t="shared" si="10"/>
        <v>November</v>
      </c>
      <c r="N234" s="6">
        <f t="shared" si="11"/>
        <v>2004</v>
      </c>
    </row>
    <row r="235" spans="1:14">
      <c r="A235" s="2" t="s">
        <v>42</v>
      </c>
      <c r="B235" s="3">
        <v>10347</v>
      </c>
      <c r="C235" s="3">
        <v>29</v>
      </c>
      <c r="D235" s="13">
        <v>100</v>
      </c>
      <c r="E235" s="5">
        <v>38320</v>
      </c>
      <c r="F235" s="2" t="s">
        <v>13</v>
      </c>
      <c r="G235" s="2" t="s">
        <v>187</v>
      </c>
      <c r="H235" s="3">
        <v>4</v>
      </c>
      <c r="I235" s="6">
        <v>2004</v>
      </c>
      <c r="J235" s="2" t="s">
        <v>22</v>
      </c>
      <c r="K235" s="2" t="s">
        <v>43</v>
      </c>
      <c r="L235" s="7">
        <f t="shared" si="9"/>
        <v>2900</v>
      </c>
      <c r="M235" s="2" t="str">
        <f t="shared" si="10"/>
        <v>November</v>
      </c>
      <c r="N235" s="6">
        <f t="shared" si="11"/>
        <v>2004</v>
      </c>
    </row>
    <row r="236" spans="1:14">
      <c r="A236" s="2" t="s">
        <v>103</v>
      </c>
      <c r="B236" s="3">
        <v>10357</v>
      </c>
      <c r="C236" s="3">
        <v>49</v>
      </c>
      <c r="D236" s="13">
        <v>100</v>
      </c>
      <c r="E236" s="5">
        <v>38331</v>
      </c>
      <c r="F236" s="2" t="s">
        <v>13</v>
      </c>
      <c r="G236" s="2" t="s">
        <v>187</v>
      </c>
      <c r="H236" s="3">
        <v>4</v>
      </c>
      <c r="I236" s="6">
        <v>2004</v>
      </c>
      <c r="J236" s="2" t="s">
        <v>22</v>
      </c>
      <c r="K236" s="2" t="s">
        <v>104</v>
      </c>
      <c r="L236" s="7">
        <f t="shared" si="9"/>
        <v>4900</v>
      </c>
      <c r="M236" s="2" t="str">
        <f t="shared" si="10"/>
        <v>December</v>
      </c>
      <c r="N236" s="6">
        <f t="shared" si="11"/>
        <v>2004</v>
      </c>
    </row>
    <row r="237" spans="1:14">
      <c r="A237" s="2" t="s">
        <v>109</v>
      </c>
      <c r="B237" s="3">
        <v>10370</v>
      </c>
      <c r="C237" s="3">
        <v>49</v>
      </c>
      <c r="D237" s="13">
        <v>100</v>
      </c>
      <c r="E237" s="5">
        <v>38372</v>
      </c>
      <c r="F237" s="2" t="s">
        <v>13</v>
      </c>
      <c r="G237" s="2" t="s">
        <v>187</v>
      </c>
      <c r="H237" s="3">
        <v>1</v>
      </c>
      <c r="I237" s="6">
        <v>2005</v>
      </c>
      <c r="J237" s="2" t="s">
        <v>61</v>
      </c>
      <c r="K237" s="2" t="s">
        <v>110</v>
      </c>
      <c r="L237" s="7">
        <f t="shared" si="9"/>
        <v>4900</v>
      </c>
      <c r="M237" s="2" t="str">
        <f t="shared" si="10"/>
        <v>January</v>
      </c>
      <c r="N237" s="6">
        <f t="shared" si="11"/>
        <v>2005</v>
      </c>
    </row>
    <row r="238" spans="1:14">
      <c r="A238" s="2" t="s">
        <v>28</v>
      </c>
      <c r="B238" s="3">
        <v>10381</v>
      </c>
      <c r="C238" s="3">
        <v>20</v>
      </c>
      <c r="D238" s="13">
        <v>100</v>
      </c>
      <c r="E238" s="5">
        <v>38400</v>
      </c>
      <c r="F238" s="2" t="s">
        <v>13</v>
      </c>
      <c r="G238" s="2" t="s">
        <v>187</v>
      </c>
      <c r="H238" s="3">
        <v>1</v>
      </c>
      <c r="I238" s="6">
        <v>2005</v>
      </c>
      <c r="J238" s="2" t="s">
        <v>15</v>
      </c>
      <c r="K238" s="2" t="s">
        <v>29</v>
      </c>
      <c r="L238" s="7">
        <f t="shared" si="9"/>
        <v>2000</v>
      </c>
      <c r="M238" s="2" t="str">
        <f t="shared" si="10"/>
        <v>February</v>
      </c>
      <c r="N238" s="6">
        <f t="shared" si="11"/>
        <v>2005</v>
      </c>
    </row>
    <row r="239" spans="1:14">
      <c r="A239" s="2" t="s">
        <v>109</v>
      </c>
      <c r="B239" s="3">
        <v>10391</v>
      </c>
      <c r="C239" s="3">
        <v>39</v>
      </c>
      <c r="D239" s="13">
        <v>63.2</v>
      </c>
      <c r="E239" s="5">
        <v>38420</v>
      </c>
      <c r="F239" s="2" t="s">
        <v>13</v>
      </c>
      <c r="G239" s="2" t="s">
        <v>187</v>
      </c>
      <c r="H239" s="3">
        <v>1</v>
      </c>
      <c r="I239" s="6">
        <v>2005</v>
      </c>
      <c r="J239" s="2" t="s">
        <v>15</v>
      </c>
      <c r="K239" s="2" t="s">
        <v>110</v>
      </c>
      <c r="L239" s="7">
        <f t="shared" si="9"/>
        <v>2464.8</v>
      </c>
      <c r="M239" s="2" t="str">
        <f t="shared" si="10"/>
        <v>March</v>
      </c>
      <c r="N239" s="6">
        <f t="shared" si="11"/>
        <v>2005</v>
      </c>
    </row>
    <row r="240" spans="1:14">
      <c r="A240" s="2" t="s">
        <v>111</v>
      </c>
      <c r="B240" s="3">
        <v>10411</v>
      </c>
      <c r="C240" s="3">
        <v>40</v>
      </c>
      <c r="D240" s="13">
        <v>100</v>
      </c>
      <c r="E240" s="5">
        <v>38473</v>
      </c>
      <c r="F240" s="2" t="s">
        <v>13</v>
      </c>
      <c r="G240" s="2" t="s">
        <v>187</v>
      </c>
      <c r="H240" s="3">
        <v>2</v>
      </c>
      <c r="I240" s="6">
        <v>2005</v>
      </c>
      <c r="J240" s="2" t="s">
        <v>22</v>
      </c>
      <c r="K240" s="2" t="s">
        <v>112</v>
      </c>
      <c r="L240" s="7">
        <f t="shared" si="9"/>
        <v>4000</v>
      </c>
      <c r="M240" s="2" t="str">
        <f t="shared" si="10"/>
        <v>May</v>
      </c>
      <c r="N240" s="6">
        <f t="shared" si="11"/>
        <v>2005</v>
      </c>
    </row>
    <row r="241" spans="1:14">
      <c r="A241" s="2" t="s">
        <v>69</v>
      </c>
      <c r="B241" s="3">
        <v>10424</v>
      </c>
      <c r="C241" s="3">
        <v>49</v>
      </c>
      <c r="D241" s="13">
        <v>100</v>
      </c>
      <c r="E241" s="5">
        <v>38503</v>
      </c>
      <c r="F241" s="2" t="s">
        <v>113</v>
      </c>
      <c r="G241" s="2" t="s">
        <v>187</v>
      </c>
      <c r="H241" s="3">
        <v>2</v>
      </c>
      <c r="I241" s="6">
        <v>2005</v>
      </c>
      <c r="J241" s="2" t="s">
        <v>61</v>
      </c>
      <c r="K241" s="2" t="s">
        <v>71</v>
      </c>
      <c r="L241" s="7">
        <f t="shared" si="9"/>
        <v>4900</v>
      </c>
      <c r="M241" s="2" t="str">
        <f t="shared" si="10"/>
        <v>May</v>
      </c>
      <c r="N241" s="6">
        <f t="shared" si="11"/>
        <v>2005</v>
      </c>
    </row>
    <row r="242" spans="1:14">
      <c r="A242" s="2" t="s">
        <v>12</v>
      </c>
      <c r="B242" s="3">
        <v>10107</v>
      </c>
      <c r="C242" s="3">
        <v>21</v>
      </c>
      <c r="D242" s="13">
        <v>100</v>
      </c>
      <c r="E242" s="5">
        <v>37676</v>
      </c>
      <c r="F242" s="2" t="s">
        <v>13</v>
      </c>
      <c r="G242" s="2" t="s">
        <v>14</v>
      </c>
      <c r="H242" s="3">
        <v>1</v>
      </c>
      <c r="I242" s="6">
        <v>2003</v>
      </c>
      <c r="J242" s="2" t="s">
        <v>22</v>
      </c>
      <c r="K242" s="2" t="s">
        <v>16</v>
      </c>
      <c r="L242" s="7">
        <f t="shared" si="9"/>
        <v>2100</v>
      </c>
      <c r="M242" s="2" t="str">
        <f t="shared" si="10"/>
        <v>February</v>
      </c>
      <c r="N242" s="6">
        <f t="shared" si="11"/>
        <v>2003</v>
      </c>
    </row>
    <row r="243" spans="1:14">
      <c r="A243" s="2" t="s">
        <v>18</v>
      </c>
      <c r="B243" s="3">
        <v>10121</v>
      </c>
      <c r="C243" s="3">
        <v>50</v>
      </c>
      <c r="D243" s="13">
        <v>100</v>
      </c>
      <c r="E243" s="5">
        <v>37748</v>
      </c>
      <c r="F243" s="2" t="s">
        <v>13</v>
      </c>
      <c r="G243" s="2" t="s">
        <v>14</v>
      </c>
      <c r="H243" s="3">
        <v>2</v>
      </c>
      <c r="I243" s="6">
        <v>2003</v>
      </c>
      <c r="J243" s="2" t="s">
        <v>61</v>
      </c>
      <c r="K243" s="2" t="s">
        <v>19</v>
      </c>
      <c r="L243" s="7">
        <f t="shared" si="9"/>
        <v>5000</v>
      </c>
      <c r="M243" s="2" t="str">
        <f t="shared" si="10"/>
        <v>May</v>
      </c>
      <c r="N243" s="6">
        <f t="shared" si="11"/>
        <v>2003</v>
      </c>
    </row>
    <row r="244" spans="1:14">
      <c r="A244" s="2" t="s">
        <v>21</v>
      </c>
      <c r="B244" s="3">
        <v>10134</v>
      </c>
      <c r="C244" s="3">
        <v>20</v>
      </c>
      <c r="D244" s="13">
        <v>100</v>
      </c>
      <c r="E244" s="5">
        <v>37803</v>
      </c>
      <c r="F244" s="2" t="s">
        <v>13</v>
      </c>
      <c r="G244" s="2" t="s">
        <v>14</v>
      </c>
      <c r="H244" s="3">
        <v>3</v>
      </c>
      <c r="I244" s="6">
        <v>2003</v>
      </c>
      <c r="J244" s="2" t="s">
        <v>15</v>
      </c>
      <c r="K244" s="2" t="s">
        <v>23</v>
      </c>
      <c r="L244" s="7">
        <f t="shared" si="9"/>
        <v>2000</v>
      </c>
      <c r="M244" s="2" t="str">
        <f t="shared" si="10"/>
        <v>July</v>
      </c>
      <c r="N244" s="6">
        <f t="shared" si="11"/>
        <v>2003</v>
      </c>
    </row>
    <row r="245" spans="1:14">
      <c r="A245" s="2" t="s">
        <v>25</v>
      </c>
      <c r="B245" s="3">
        <v>10145</v>
      </c>
      <c r="C245" s="3">
        <v>49</v>
      </c>
      <c r="D245" s="13">
        <v>100</v>
      </c>
      <c r="E245" s="5">
        <v>37858</v>
      </c>
      <c r="F245" s="2" t="s">
        <v>13</v>
      </c>
      <c r="G245" s="2" t="s">
        <v>14</v>
      </c>
      <c r="H245" s="3">
        <v>3</v>
      </c>
      <c r="I245" s="6">
        <v>2003</v>
      </c>
      <c r="J245" s="2" t="s">
        <v>61</v>
      </c>
      <c r="K245" s="2" t="s">
        <v>26</v>
      </c>
      <c r="L245" s="7">
        <f t="shared" si="9"/>
        <v>4900</v>
      </c>
      <c r="M245" s="2" t="str">
        <f t="shared" si="10"/>
        <v>August</v>
      </c>
      <c r="N245" s="6">
        <f t="shared" si="11"/>
        <v>2003</v>
      </c>
    </row>
    <row r="246" spans="1:14">
      <c r="A246" s="2" t="s">
        <v>28</v>
      </c>
      <c r="B246" s="3">
        <v>10159</v>
      </c>
      <c r="C246" s="3">
        <v>38</v>
      </c>
      <c r="D246" s="13">
        <v>100</v>
      </c>
      <c r="E246" s="5">
        <v>37904</v>
      </c>
      <c r="F246" s="2" t="s">
        <v>13</v>
      </c>
      <c r="G246" s="2" t="s">
        <v>14</v>
      </c>
      <c r="H246" s="3">
        <v>4</v>
      </c>
      <c r="I246" s="6">
        <v>2003</v>
      </c>
      <c r="J246" s="2" t="s">
        <v>22</v>
      </c>
      <c r="K246" s="2" t="s">
        <v>29</v>
      </c>
      <c r="L246" s="7">
        <f t="shared" si="9"/>
        <v>3800</v>
      </c>
      <c r="M246" s="2" t="str">
        <f t="shared" si="10"/>
        <v>October</v>
      </c>
      <c r="N246" s="6">
        <f t="shared" si="11"/>
        <v>2003</v>
      </c>
    </row>
    <row r="247" spans="1:14">
      <c r="A247" s="2" t="s">
        <v>109</v>
      </c>
      <c r="B247" s="3">
        <v>10169</v>
      </c>
      <c r="C247" s="3">
        <v>35</v>
      </c>
      <c r="D247" s="13">
        <v>100</v>
      </c>
      <c r="E247" s="5">
        <v>37929</v>
      </c>
      <c r="F247" s="2" t="s">
        <v>13</v>
      </c>
      <c r="G247" s="2" t="s">
        <v>14</v>
      </c>
      <c r="H247" s="3">
        <v>4</v>
      </c>
      <c r="I247" s="6">
        <v>2003</v>
      </c>
      <c r="J247" s="2" t="s">
        <v>22</v>
      </c>
      <c r="K247" s="2" t="s">
        <v>110</v>
      </c>
      <c r="L247" s="7">
        <f t="shared" si="9"/>
        <v>3500</v>
      </c>
      <c r="M247" s="2" t="str">
        <f t="shared" si="10"/>
        <v>November</v>
      </c>
      <c r="N247" s="6">
        <f t="shared" si="11"/>
        <v>2003</v>
      </c>
    </row>
    <row r="248" spans="1:14">
      <c r="A248" s="2" t="s">
        <v>34</v>
      </c>
      <c r="B248" s="3">
        <v>10180</v>
      </c>
      <c r="C248" s="3">
        <v>40</v>
      </c>
      <c r="D248" s="13">
        <v>100</v>
      </c>
      <c r="E248" s="5">
        <v>37936</v>
      </c>
      <c r="F248" s="2" t="s">
        <v>13</v>
      </c>
      <c r="G248" s="2" t="s">
        <v>14</v>
      </c>
      <c r="H248" s="3">
        <v>4</v>
      </c>
      <c r="I248" s="6">
        <v>2003</v>
      </c>
      <c r="J248" s="2" t="s">
        <v>22</v>
      </c>
      <c r="K248" s="2" t="s">
        <v>35</v>
      </c>
      <c r="L248" s="7">
        <f t="shared" si="9"/>
        <v>4000</v>
      </c>
      <c r="M248" s="2" t="str">
        <f t="shared" si="10"/>
        <v>November</v>
      </c>
      <c r="N248" s="6">
        <f t="shared" si="11"/>
        <v>2003</v>
      </c>
    </row>
    <row r="249" spans="1:14">
      <c r="A249" s="2" t="s">
        <v>25</v>
      </c>
      <c r="B249" s="3">
        <v>10189</v>
      </c>
      <c r="C249" s="3">
        <v>28</v>
      </c>
      <c r="D249" s="13">
        <v>100</v>
      </c>
      <c r="E249" s="5">
        <v>37943</v>
      </c>
      <c r="F249" s="2" t="s">
        <v>13</v>
      </c>
      <c r="G249" s="2" t="s">
        <v>14</v>
      </c>
      <c r="H249" s="3">
        <v>4</v>
      </c>
      <c r="I249" s="6">
        <v>2003</v>
      </c>
      <c r="J249" s="2" t="s">
        <v>22</v>
      </c>
      <c r="K249" s="2" t="s">
        <v>26</v>
      </c>
      <c r="L249" s="7">
        <f t="shared" si="9"/>
        <v>2800</v>
      </c>
      <c r="M249" s="2" t="str">
        <f t="shared" si="10"/>
        <v>November</v>
      </c>
      <c r="N249" s="6">
        <f t="shared" si="11"/>
        <v>2003</v>
      </c>
    </row>
    <row r="250" spans="1:14">
      <c r="A250" s="2" t="s">
        <v>38</v>
      </c>
      <c r="B250" s="3">
        <v>10201</v>
      </c>
      <c r="C250" s="3">
        <v>25</v>
      </c>
      <c r="D250" s="13">
        <v>100</v>
      </c>
      <c r="E250" s="5">
        <v>37956</v>
      </c>
      <c r="F250" s="2" t="s">
        <v>13</v>
      </c>
      <c r="G250" s="2" t="s">
        <v>14</v>
      </c>
      <c r="H250" s="3">
        <v>4</v>
      </c>
      <c r="I250" s="6">
        <v>2003</v>
      </c>
      <c r="J250" s="2" t="s">
        <v>22</v>
      </c>
      <c r="K250" s="2" t="s">
        <v>39</v>
      </c>
      <c r="L250" s="7">
        <f t="shared" si="9"/>
        <v>2500</v>
      </c>
      <c r="M250" s="2" t="str">
        <f t="shared" si="10"/>
        <v>December</v>
      </c>
      <c r="N250" s="6">
        <f t="shared" si="11"/>
        <v>2003</v>
      </c>
    </row>
    <row r="251" spans="1:14">
      <c r="A251" s="2" t="s">
        <v>40</v>
      </c>
      <c r="B251" s="3">
        <v>10211</v>
      </c>
      <c r="C251" s="3">
        <v>36</v>
      </c>
      <c r="D251" s="13">
        <v>100</v>
      </c>
      <c r="E251" s="5">
        <v>38001</v>
      </c>
      <c r="F251" s="2" t="s">
        <v>13</v>
      </c>
      <c r="G251" s="2" t="s">
        <v>14</v>
      </c>
      <c r="H251" s="3">
        <v>1</v>
      </c>
      <c r="I251" s="6">
        <v>2004</v>
      </c>
      <c r="J251" s="2" t="s">
        <v>22</v>
      </c>
      <c r="K251" s="2" t="s">
        <v>41</v>
      </c>
      <c r="L251" s="7">
        <f t="shared" si="9"/>
        <v>3600</v>
      </c>
      <c r="M251" s="2" t="str">
        <f t="shared" si="10"/>
        <v>January</v>
      </c>
      <c r="N251" s="6">
        <f t="shared" si="11"/>
        <v>2004</v>
      </c>
    </row>
    <row r="252" spans="1:14">
      <c r="A252" s="2" t="s">
        <v>34</v>
      </c>
      <c r="B252" s="3">
        <v>10224</v>
      </c>
      <c r="C252" s="3">
        <v>43</v>
      </c>
      <c r="D252" s="13">
        <v>100</v>
      </c>
      <c r="E252" s="5">
        <v>38038</v>
      </c>
      <c r="F252" s="2" t="s">
        <v>13</v>
      </c>
      <c r="G252" s="2" t="s">
        <v>14</v>
      </c>
      <c r="H252" s="3">
        <v>1</v>
      </c>
      <c r="I252" s="6">
        <v>2004</v>
      </c>
      <c r="J252" s="2" t="s">
        <v>22</v>
      </c>
      <c r="K252" s="2" t="s">
        <v>35</v>
      </c>
      <c r="L252" s="7">
        <f t="shared" si="9"/>
        <v>4300</v>
      </c>
      <c r="M252" s="2" t="str">
        <f t="shared" si="10"/>
        <v>February</v>
      </c>
      <c r="N252" s="6">
        <f t="shared" si="11"/>
        <v>2004</v>
      </c>
    </row>
    <row r="253" spans="1:14">
      <c r="A253" s="2" t="s">
        <v>44</v>
      </c>
      <c r="B253" s="3">
        <v>10237</v>
      </c>
      <c r="C253" s="3">
        <v>32</v>
      </c>
      <c r="D253" s="13">
        <v>100</v>
      </c>
      <c r="E253" s="5">
        <v>38082</v>
      </c>
      <c r="F253" s="2" t="s">
        <v>13</v>
      </c>
      <c r="G253" s="2" t="s">
        <v>14</v>
      </c>
      <c r="H253" s="3">
        <v>2</v>
      </c>
      <c r="I253" s="6">
        <v>2004</v>
      </c>
      <c r="J253" s="2" t="s">
        <v>22</v>
      </c>
      <c r="K253" s="2" t="s">
        <v>45</v>
      </c>
      <c r="L253" s="7">
        <f t="shared" si="9"/>
        <v>3200</v>
      </c>
      <c r="M253" s="2" t="str">
        <f t="shared" si="10"/>
        <v>April</v>
      </c>
      <c r="N253" s="6">
        <f t="shared" si="11"/>
        <v>2004</v>
      </c>
    </row>
    <row r="254" spans="1:14">
      <c r="A254" s="2" t="s">
        <v>46</v>
      </c>
      <c r="B254" s="3">
        <v>10251</v>
      </c>
      <c r="C254" s="3">
        <v>46</v>
      </c>
      <c r="D254" s="13">
        <v>100</v>
      </c>
      <c r="E254" s="5">
        <v>38125</v>
      </c>
      <c r="F254" s="2" t="s">
        <v>13</v>
      </c>
      <c r="G254" s="2" t="s">
        <v>14</v>
      </c>
      <c r="H254" s="3">
        <v>2</v>
      </c>
      <c r="I254" s="6">
        <v>2004</v>
      </c>
      <c r="J254" s="2" t="s">
        <v>61</v>
      </c>
      <c r="K254" s="2" t="s">
        <v>47</v>
      </c>
      <c r="L254" s="7">
        <f t="shared" si="9"/>
        <v>4600</v>
      </c>
      <c r="M254" s="2" t="str">
        <f t="shared" si="10"/>
        <v>May</v>
      </c>
      <c r="N254" s="6">
        <f t="shared" si="11"/>
        <v>2004</v>
      </c>
    </row>
    <row r="255" spans="1:14">
      <c r="A255" s="2" t="s">
        <v>48</v>
      </c>
      <c r="B255" s="3">
        <v>10263</v>
      </c>
      <c r="C255" s="3">
        <v>48</v>
      </c>
      <c r="D255" s="13">
        <v>100</v>
      </c>
      <c r="E255" s="5">
        <v>38166</v>
      </c>
      <c r="F255" s="2" t="s">
        <v>13</v>
      </c>
      <c r="G255" s="2" t="s">
        <v>14</v>
      </c>
      <c r="H255" s="3">
        <v>2</v>
      </c>
      <c r="I255" s="6">
        <v>2004</v>
      </c>
      <c r="J255" s="2" t="s">
        <v>22</v>
      </c>
      <c r="K255" s="2" t="s">
        <v>49</v>
      </c>
      <c r="L255" s="7">
        <f t="shared" si="9"/>
        <v>4800</v>
      </c>
      <c r="M255" s="2" t="str">
        <f t="shared" si="10"/>
        <v>June</v>
      </c>
      <c r="N255" s="6">
        <f t="shared" si="11"/>
        <v>2004</v>
      </c>
    </row>
    <row r="256" spans="1:14">
      <c r="A256" s="2" t="s">
        <v>171</v>
      </c>
      <c r="B256" s="3">
        <v>10276</v>
      </c>
      <c r="C256" s="3">
        <v>43</v>
      </c>
      <c r="D256" s="13">
        <v>100</v>
      </c>
      <c r="E256" s="5">
        <v>38201</v>
      </c>
      <c r="F256" s="2" t="s">
        <v>13</v>
      </c>
      <c r="G256" s="2" t="s">
        <v>14</v>
      </c>
      <c r="H256" s="3">
        <v>3</v>
      </c>
      <c r="I256" s="6">
        <v>2004</v>
      </c>
      <c r="J256" s="2" t="s">
        <v>22</v>
      </c>
      <c r="K256" s="2" t="s">
        <v>172</v>
      </c>
      <c r="L256" s="7">
        <f t="shared" si="9"/>
        <v>4300</v>
      </c>
      <c r="M256" s="2" t="str">
        <f t="shared" si="10"/>
        <v>August</v>
      </c>
      <c r="N256" s="6">
        <f t="shared" si="11"/>
        <v>2004</v>
      </c>
    </row>
    <row r="257" spans="1:14">
      <c r="A257" s="2" t="s">
        <v>52</v>
      </c>
      <c r="B257" s="3">
        <v>10285</v>
      </c>
      <c r="C257" s="3">
        <v>49</v>
      </c>
      <c r="D257" s="13">
        <v>100</v>
      </c>
      <c r="E257" s="5">
        <v>38226</v>
      </c>
      <c r="F257" s="2" t="s">
        <v>13</v>
      </c>
      <c r="G257" s="2" t="s">
        <v>14</v>
      </c>
      <c r="H257" s="3">
        <v>3</v>
      </c>
      <c r="I257" s="6">
        <v>2004</v>
      </c>
      <c r="J257" s="2" t="s">
        <v>22</v>
      </c>
      <c r="K257" s="2" t="s">
        <v>53</v>
      </c>
      <c r="L257" s="7">
        <f t="shared" si="9"/>
        <v>4900</v>
      </c>
      <c r="M257" s="2" t="str">
        <f t="shared" si="10"/>
        <v>August</v>
      </c>
      <c r="N257" s="6">
        <f t="shared" si="11"/>
        <v>2004</v>
      </c>
    </row>
    <row r="258" spans="1:14">
      <c r="A258" s="2" t="s">
        <v>54</v>
      </c>
      <c r="B258" s="3">
        <v>10299</v>
      </c>
      <c r="C258" s="3">
        <v>24</v>
      </c>
      <c r="D258" s="13">
        <v>100</v>
      </c>
      <c r="E258" s="5">
        <v>38260</v>
      </c>
      <c r="F258" s="2" t="s">
        <v>13</v>
      </c>
      <c r="G258" s="2" t="s">
        <v>14</v>
      </c>
      <c r="H258" s="3">
        <v>3</v>
      </c>
      <c r="I258" s="6">
        <v>2004</v>
      </c>
      <c r="J258" s="2" t="s">
        <v>22</v>
      </c>
      <c r="K258" s="2" t="s">
        <v>55</v>
      </c>
      <c r="L258" s="7">
        <f t="shared" ref="L258:L321" si="12">PRODUCT(C258,D258)</f>
        <v>2400</v>
      </c>
      <c r="M258" s="2" t="str">
        <f t="shared" ref="M258:M321" si="13">TEXT(E258,"MMMM")</f>
        <v>September</v>
      </c>
      <c r="N258" s="6">
        <f t="shared" ref="N258:N321" si="14">YEAR(E258)</f>
        <v>2004</v>
      </c>
    </row>
    <row r="259" spans="1:14">
      <c r="A259" s="2" t="s">
        <v>56</v>
      </c>
      <c r="B259" s="3">
        <v>10309</v>
      </c>
      <c r="C259" s="3">
        <v>26</v>
      </c>
      <c r="D259" s="13">
        <v>100</v>
      </c>
      <c r="E259" s="5">
        <v>38275</v>
      </c>
      <c r="F259" s="2" t="s">
        <v>13</v>
      </c>
      <c r="G259" s="2" t="s">
        <v>14</v>
      </c>
      <c r="H259" s="3">
        <v>4</v>
      </c>
      <c r="I259" s="6">
        <v>2004</v>
      </c>
      <c r="J259" s="2" t="s">
        <v>22</v>
      </c>
      <c r="K259" s="2" t="s">
        <v>57</v>
      </c>
      <c r="L259" s="7">
        <f t="shared" si="12"/>
        <v>2600</v>
      </c>
      <c r="M259" s="2" t="str">
        <f t="shared" si="13"/>
        <v>October</v>
      </c>
      <c r="N259" s="6">
        <f t="shared" si="14"/>
        <v>2004</v>
      </c>
    </row>
    <row r="260" spans="1:14">
      <c r="A260" s="2" t="s">
        <v>188</v>
      </c>
      <c r="B260" s="3">
        <v>10319</v>
      </c>
      <c r="C260" s="3">
        <v>30</v>
      </c>
      <c r="D260" s="13">
        <v>100</v>
      </c>
      <c r="E260" s="5">
        <v>38294</v>
      </c>
      <c r="F260" s="2" t="s">
        <v>13</v>
      </c>
      <c r="G260" s="2" t="s">
        <v>14</v>
      </c>
      <c r="H260" s="3">
        <v>4</v>
      </c>
      <c r="I260" s="6">
        <v>2004</v>
      </c>
      <c r="J260" s="2" t="s">
        <v>22</v>
      </c>
      <c r="K260" s="2" t="s">
        <v>189</v>
      </c>
      <c r="L260" s="7">
        <f t="shared" si="12"/>
        <v>3000</v>
      </c>
      <c r="M260" s="2" t="str">
        <f t="shared" si="13"/>
        <v>November</v>
      </c>
      <c r="N260" s="6">
        <f t="shared" si="14"/>
        <v>2004</v>
      </c>
    </row>
    <row r="261" spans="1:14">
      <c r="A261" s="2" t="s">
        <v>12</v>
      </c>
      <c r="B261" s="3">
        <v>10329</v>
      </c>
      <c r="C261" s="3">
        <v>24</v>
      </c>
      <c r="D261" s="13">
        <v>100</v>
      </c>
      <c r="E261" s="5">
        <v>38306</v>
      </c>
      <c r="F261" s="2" t="s">
        <v>13</v>
      </c>
      <c r="G261" s="2" t="s">
        <v>14</v>
      </c>
      <c r="H261" s="3">
        <v>4</v>
      </c>
      <c r="I261" s="6">
        <v>2004</v>
      </c>
      <c r="J261" s="2" t="s">
        <v>22</v>
      </c>
      <c r="K261" s="2" t="s">
        <v>16</v>
      </c>
      <c r="L261" s="7">
        <f t="shared" si="12"/>
        <v>2400</v>
      </c>
      <c r="M261" s="2" t="str">
        <f t="shared" si="13"/>
        <v>November</v>
      </c>
      <c r="N261" s="6">
        <f t="shared" si="14"/>
        <v>2004</v>
      </c>
    </row>
    <row r="262" spans="1:14">
      <c r="A262" s="2" t="s">
        <v>60</v>
      </c>
      <c r="B262" s="3">
        <v>10341</v>
      </c>
      <c r="C262" s="3">
        <v>55</v>
      </c>
      <c r="D262" s="13">
        <v>100</v>
      </c>
      <c r="E262" s="5">
        <v>38315</v>
      </c>
      <c r="F262" s="2" t="s">
        <v>13</v>
      </c>
      <c r="G262" s="2" t="s">
        <v>14</v>
      </c>
      <c r="H262" s="3">
        <v>4</v>
      </c>
      <c r="I262" s="6">
        <v>2004</v>
      </c>
      <c r="J262" s="2" t="s">
        <v>61</v>
      </c>
      <c r="K262" s="2" t="s">
        <v>62</v>
      </c>
      <c r="L262" s="7">
        <f t="shared" si="12"/>
        <v>5500</v>
      </c>
      <c r="M262" s="2" t="str">
        <f t="shared" si="13"/>
        <v>November</v>
      </c>
      <c r="N262" s="6">
        <f t="shared" si="14"/>
        <v>2004</v>
      </c>
    </row>
    <row r="263" spans="1:14">
      <c r="A263" s="2" t="s">
        <v>50</v>
      </c>
      <c r="B263" s="3">
        <v>10375</v>
      </c>
      <c r="C263" s="3">
        <v>49</v>
      </c>
      <c r="D263" s="13">
        <v>78.92</v>
      </c>
      <c r="E263" s="5">
        <v>38386</v>
      </c>
      <c r="F263" s="2" t="s">
        <v>13</v>
      </c>
      <c r="G263" s="2" t="s">
        <v>14</v>
      </c>
      <c r="H263" s="3">
        <v>1</v>
      </c>
      <c r="I263" s="6">
        <v>2005</v>
      </c>
      <c r="J263" s="2" t="s">
        <v>22</v>
      </c>
      <c r="K263" s="2" t="s">
        <v>51</v>
      </c>
      <c r="L263" s="7">
        <f t="shared" si="12"/>
        <v>3867.08</v>
      </c>
      <c r="M263" s="2" t="str">
        <f t="shared" si="13"/>
        <v>February</v>
      </c>
      <c r="N263" s="6">
        <f t="shared" si="14"/>
        <v>2005</v>
      </c>
    </row>
    <row r="264" spans="1:14">
      <c r="A264" s="2" t="s">
        <v>65</v>
      </c>
      <c r="B264" s="3">
        <v>10388</v>
      </c>
      <c r="C264" s="3">
        <v>44</v>
      </c>
      <c r="D264" s="13">
        <v>100</v>
      </c>
      <c r="E264" s="5">
        <v>38414</v>
      </c>
      <c r="F264" s="2" t="s">
        <v>13</v>
      </c>
      <c r="G264" s="2" t="s">
        <v>14</v>
      </c>
      <c r="H264" s="3">
        <v>1</v>
      </c>
      <c r="I264" s="6">
        <v>2005</v>
      </c>
      <c r="J264" s="2" t="s">
        <v>22</v>
      </c>
      <c r="K264" s="2" t="s">
        <v>66</v>
      </c>
      <c r="L264" s="7">
        <f t="shared" si="12"/>
        <v>4400</v>
      </c>
      <c r="M264" s="2" t="str">
        <f t="shared" si="13"/>
        <v>March</v>
      </c>
      <c r="N264" s="6">
        <f t="shared" si="14"/>
        <v>2005</v>
      </c>
    </row>
    <row r="265" spans="1:14">
      <c r="A265" s="2" t="s">
        <v>69</v>
      </c>
      <c r="B265" s="3">
        <v>10417</v>
      </c>
      <c r="C265" s="3">
        <v>21</v>
      </c>
      <c r="D265" s="13">
        <v>100</v>
      </c>
      <c r="E265" s="5">
        <v>38485</v>
      </c>
      <c r="F265" s="2" t="s">
        <v>70</v>
      </c>
      <c r="G265" s="2" t="s">
        <v>14</v>
      </c>
      <c r="H265" s="3">
        <v>2</v>
      </c>
      <c r="I265" s="6">
        <v>2005</v>
      </c>
      <c r="J265" s="2" t="s">
        <v>22</v>
      </c>
      <c r="K265" s="2" t="s">
        <v>71</v>
      </c>
      <c r="L265" s="7">
        <f t="shared" si="12"/>
        <v>2100</v>
      </c>
      <c r="M265" s="2" t="str">
        <f t="shared" si="13"/>
        <v>May</v>
      </c>
      <c r="N265" s="6">
        <f t="shared" si="14"/>
        <v>2005</v>
      </c>
    </row>
    <row r="266" spans="1:14">
      <c r="A266" s="2" t="s">
        <v>69</v>
      </c>
      <c r="B266" s="3">
        <v>10104</v>
      </c>
      <c r="C266" s="3">
        <v>34</v>
      </c>
      <c r="D266" s="13">
        <v>100</v>
      </c>
      <c r="E266" s="5">
        <v>37652</v>
      </c>
      <c r="F266" s="2" t="s">
        <v>13</v>
      </c>
      <c r="G266" s="2" t="s">
        <v>72</v>
      </c>
      <c r="H266" s="3">
        <v>1</v>
      </c>
      <c r="I266" s="6">
        <v>2003</v>
      </c>
      <c r="J266" s="2" t="s">
        <v>22</v>
      </c>
      <c r="K266" s="2" t="s">
        <v>71</v>
      </c>
      <c r="L266" s="7">
        <f t="shared" si="12"/>
        <v>3400</v>
      </c>
      <c r="M266" s="2" t="str">
        <f t="shared" si="13"/>
        <v>January</v>
      </c>
      <c r="N266" s="6">
        <f t="shared" si="14"/>
        <v>2003</v>
      </c>
    </row>
    <row r="267" spans="1:14">
      <c r="A267" s="2" t="s">
        <v>77</v>
      </c>
      <c r="B267" s="3">
        <v>10117</v>
      </c>
      <c r="C267" s="3">
        <v>43</v>
      </c>
      <c r="D267" s="13">
        <v>100</v>
      </c>
      <c r="E267" s="5">
        <v>37727</v>
      </c>
      <c r="F267" s="2" t="s">
        <v>13</v>
      </c>
      <c r="G267" s="2" t="s">
        <v>72</v>
      </c>
      <c r="H267" s="3">
        <v>2</v>
      </c>
      <c r="I267" s="6">
        <v>2003</v>
      </c>
      <c r="J267" s="2" t="s">
        <v>22</v>
      </c>
      <c r="K267" s="2" t="s">
        <v>78</v>
      </c>
      <c r="L267" s="7">
        <f t="shared" si="12"/>
        <v>4300</v>
      </c>
      <c r="M267" s="2" t="str">
        <f t="shared" si="13"/>
        <v>April</v>
      </c>
      <c r="N267" s="6">
        <f t="shared" si="14"/>
        <v>2003</v>
      </c>
    </row>
    <row r="268" spans="1:14">
      <c r="A268" s="2" t="s">
        <v>103</v>
      </c>
      <c r="B268" s="3">
        <v>10142</v>
      </c>
      <c r="C268" s="3">
        <v>33</v>
      </c>
      <c r="D268" s="13">
        <v>100</v>
      </c>
      <c r="E268" s="5">
        <v>37841</v>
      </c>
      <c r="F268" s="2" t="s">
        <v>13</v>
      </c>
      <c r="G268" s="2" t="s">
        <v>72</v>
      </c>
      <c r="H268" s="3">
        <v>3</v>
      </c>
      <c r="I268" s="6">
        <v>2003</v>
      </c>
      <c r="J268" s="2" t="s">
        <v>22</v>
      </c>
      <c r="K268" s="2" t="s">
        <v>104</v>
      </c>
      <c r="L268" s="7">
        <f t="shared" si="12"/>
        <v>3300</v>
      </c>
      <c r="M268" s="2" t="str">
        <f t="shared" si="13"/>
        <v>August</v>
      </c>
      <c r="N268" s="6">
        <f t="shared" si="14"/>
        <v>2003</v>
      </c>
    </row>
    <row r="269" spans="1:14">
      <c r="A269" s="2" t="s">
        <v>69</v>
      </c>
      <c r="B269" s="3">
        <v>10153</v>
      </c>
      <c r="C269" s="3">
        <v>42</v>
      </c>
      <c r="D269" s="13">
        <v>100</v>
      </c>
      <c r="E269" s="5">
        <v>37892</v>
      </c>
      <c r="F269" s="2" t="s">
        <v>13</v>
      </c>
      <c r="G269" s="2" t="s">
        <v>72</v>
      </c>
      <c r="H269" s="3">
        <v>3</v>
      </c>
      <c r="I269" s="6">
        <v>2003</v>
      </c>
      <c r="J269" s="2" t="s">
        <v>22</v>
      </c>
      <c r="K269" s="2" t="s">
        <v>71</v>
      </c>
      <c r="L269" s="7">
        <f t="shared" si="12"/>
        <v>4200</v>
      </c>
      <c r="M269" s="2" t="str">
        <f t="shared" si="13"/>
        <v>September</v>
      </c>
      <c r="N269" s="6">
        <f t="shared" si="14"/>
        <v>2003</v>
      </c>
    </row>
    <row r="270" spans="1:14">
      <c r="A270" s="2" t="s">
        <v>77</v>
      </c>
      <c r="B270" s="3">
        <v>10165</v>
      </c>
      <c r="C270" s="3">
        <v>34</v>
      </c>
      <c r="D270" s="13">
        <v>100</v>
      </c>
      <c r="E270" s="5">
        <v>37916</v>
      </c>
      <c r="F270" s="2" t="s">
        <v>13</v>
      </c>
      <c r="G270" s="2" t="s">
        <v>72</v>
      </c>
      <c r="H270" s="3">
        <v>4</v>
      </c>
      <c r="I270" s="6">
        <v>2003</v>
      </c>
      <c r="J270" s="2" t="s">
        <v>22</v>
      </c>
      <c r="K270" s="2" t="s">
        <v>78</v>
      </c>
      <c r="L270" s="7">
        <f t="shared" si="12"/>
        <v>3400</v>
      </c>
      <c r="M270" s="2" t="str">
        <f t="shared" si="13"/>
        <v>October</v>
      </c>
      <c r="N270" s="6">
        <f t="shared" si="14"/>
        <v>2003</v>
      </c>
    </row>
    <row r="271" spans="1:14">
      <c r="A271" s="2" t="s">
        <v>169</v>
      </c>
      <c r="B271" s="3">
        <v>10176</v>
      </c>
      <c r="C271" s="3">
        <v>47</v>
      </c>
      <c r="D271" s="13">
        <v>100</v>
      </c>
      <c r="E271" s="5">
        <v>37931</v>
      </c>
      <c r="F271" s="2" t="s">
        <v>13</v>
      </c>
      <c r="G271" s="2" t="s">
        <v>72</v>
      </c>
      <c r="H271" s="3">
        <v>4</v>
      </c>
      <c r="I271" s="6">
        <v>2003</v>
      </c>
      <c r="J271" s="2" t="s">
        <v>61</v>
      </c>
      <c r="K271" s="2" t="s">
        <v>170</v>
      </c>
      <c r="L271" s="7">
        <f t="shared" si="12"/>
        <v>4700</v>
      </c>
      <c r="M271" s="2" t="str">
        <f t="shared" si="13"/>
        <v>November</v>
      </c>
      <c r="N271" s="6">
        <f t="shared" si="14"/>
        <v>2003</v>
      </c>
    </row>
    <row r="272" spans="1:14">
      <c r="A272" s="2" t="s">
        <v>126</v>
      </c>
      <c r="B272" s="3">
        <v>10185</v>
      </c>
      <c r="C272" s="3">
        <v>33</v>
      </c>
      <c r="D272" s="13">
        <v>100</v>
      </c>
      <c r="E272" s="5">
        <v>37939</v>
      </c>
      <c r="F272" s="2" t="s">
        <v>13</v>
      </c>
      <c r="G272" s="2" t="s">
        <v>72</v>
      </c>
      <c r="H272" s="3">
        <v>4</v>
      </c>
      <c r="I272" s="6">
        <v>2003</v>
      </c>
      <c r="J272" s="2" t="s">
        <v>22</v>
      </c>
      <c r="K272" s="2" t="s">
        <v>127</v>
      </c>
      <c r="L272" s="7">
        <f t="shared" si="12"/>
        <v>3300</v>
      </c>
      <c r="M272" s="2" t="str">
        <f t="shared" si="13"/>
        <v>November</v>
      </c>
      <c r="N272" s="6">
        <f t="shared" si="14"/>
        <v>2003</v>
      </c>
    </row>
    <row r="273" spans="1:14">
      <c r="A273" s="2" t="s">
        <v>93</v>
      </c>
      <c r="B273" s="3">
        <v>10196</v>
      </c>
      <c r="C273" s="3">
        <v>24</v>
      </c>
      <c r="D273" s="13">
        <v>100</v>
      </c>
      <c r="E273" s="5">
        <v>37951</v>
      </c>
      <c r="F273" s="2" t="s">
        <v>13</v>
      </c>
      <c r="G273" s="2" t="s">
        <v>72</v>
      </c>
      <c r="H273" s="3">
        <v>4</v>
      </c>
      <c r="I273" s="6">
        <v>2003</v>
      </c>
      <c r="J273" s="2" t="s">
        <v>22</v>
      </c>
      <c r="K273" s="2" t="s">
        <v>94</v>
      </c>
      <c r="L273" s="7">
        <f t="shared" si="12"/>
        <v>2400</v>
      </c>
      <c r="M273" s="2" t="str">
        <f t="shared" si="13"/>
        <v>November</v>
      </c>
      <c r="N273" s="6">
        <f t="shared" si="14"/>
        <v>2003</v>
      </c>
    </row>
    <row r="274" spans="1:14">
      <c r="A274" s="2" t="s">
        <v>85</v>
      </c>
      <c r="B274" s="3">
        <v>10208</v>
      </c>
      <c r="C274" s="3">
        <v>26</v>
      </c>
      <c r="D274" s="13">
        <v>100</v>
      </c>
      <c r="E274" s="5">
        <v>37988</v>
      </c>
      <c r="F274" s="2" t="s">
        <v>13</v>
      </c>
      <c r="G274" s="2" t="s">
        <v>72</v>
      </c>
      <c r="H274" s="3">
        <v>1</v>
      </c>
      <c r="I274" s="6">
        <v>2004</v>
      </c>
      <c r="J274" s="2" t="s">
        <v>22</v>
      </c>
      <c r="K274" s="2" t="s">
        <v>86</v>
      </c>
      <c r="L274" s="7">
        <f t="shared" si="12"/>
        <v>2600</v>
      </c>
      <c r="M274" s="2" t="str">
        <f t="shared" si="13"/>
        <v>January</v>
      </c>
      <c r="N274" s="6">
        <f t="shared" si="14"/>
        <v>2004</v>
      </c>
    </row>
    <row r="275" spans="1:14">
      <c r="A275" s="2" t="s">
        <v>179</v>
      </c>
      <c r="B275" s="3">
        <v>10220</v>
      </c>
      <c r="C275" s="3">
        <v>30</v>
      </c>
      <c r="D275" s="13">
        <v>100</v>
      </c>
      <c r="E275" s="5">
        <v>38029</v>
      </c>
      <c r="F275" s="2" t="s">
        <v>13</v>
      </c>
      <c r="G275" s="2" t="s">
        <v>72</v>
      </c>
      <c r="H275" s="3">
        <v>1</v>
      </c>
      <c r="I275" s="6">
        <v>2004</v>
      </c>
      <c r="J275" s="2" t="s">
        <v>22</v>
      </c>
      <c r="K275" s="2" t="s">
        <v>180</v>
      </c>
      <c r="L275" s="7">
        <f t="shared" si="12"/>
        <v>3000</v>
      </c>
      <c r="M275" s="2" t="str">
        <f t="shared" si="13"/>
        <v>February</v>
      </c>
      <c r="N275" s="6">
        <f t="shared" si="14"/>
        <v>2004</v>
      </c>
    </row>
    <row r="276" spans="1:14">
      <c r="A276" s="2" t="s">
        <v>173</v>
      </c>
      <c r="B276" s="3">
        <v>10230</v>
      </c>
      <c r="C276" s="3">
        <v>43</v>
      </c>
      <c r="D276" s="13">
        <v>100</v>
      </c>
      <c r="E276" s="5">
        <v>38061</v>
      </c>
      <c r="F276" s="2" t="s">
        <v>13</v>
      </c>
      <c r="G276" s="2" t="s">
        <v>72</v>
      </c>
      <c r="H276" s="3">
        <v>1</v>
      </c>
      <c r="I276" s="6">
        <v>2004</v>
      </c>
      <c r="J276" s="2" t="s">
        <v>61</v>
      </c>
      <c r="K276" s="2" t="s">
        <v>174</v>
      </c>
      <c r="L276" s="7">
        <f t="shared" si="12"/>
        <v>4300</v>
      </c>
      <c r="M276" s="2" t="str">
        <f t="shared" si="13"/>
        <v>March</v>
      </c>
      <c r="N276" s="6">
        <f t="shared" si="14"/>
        <v>2004</v>
      </c>
    </row>
    <row r="277" spans="1:14">
      <c r="A277" s="2" t="s">
        <v>175</v>
      </c>
      <c r="B277" s="3">
        <v>10247</v>
      </c>
      <c r="C277" s="3">
        <v>25</v>
      </c>
      <c r="D277" s="13">
        <v>100</v>
      </c>
      <c r="E277" s="5">
        <v>38112</v>
      </c>
      <c r="F277" s="2" t="s">
        <v>13</v>
      </c>
      <c r="G277" s="2" t="s">
        <v>72</v>
      </c>
      <c r="H277" s="3">
        <v>2</v>
      </c>
      <c r="I277" s="6">
        <v>2004</v>
      </c>
      <c r="J277" s="2" t="s">
        <v>22</v>
      </c>
      <c r="K277" s="2" t="s">
        <v>176</v>
      </c>
      <c r="L277" s="7">
        <f t="shared" si="12"/>
        <v>2500</v>
      </c>
      <c r="M277" s="2" t="str">
        <f t="shared" si="13"/>
        <v>May</v>
      </c>
      <c r="N277" s="6">
        <f t="shared" si="14"/>
        <v>2004</v>
      </c>
    </row>
    <row r="278" spans="1:14">
      <c r="A278" s="2" t="s">
        <v>58</v>
      </c>
      <c r="B278" s="3">
        <v>10272</v>
      </c>
      <c r="C278" s="3">
        <v>27</v>
      </c>
      <c r="D278" s="13">
        <v>100</v>
      </c>
      <c r="E278" s="5">
        <v>38188</v>
      </c>
      <c r="F278" s="2" t="s">
        <v>13</v>
      </c>
      <c r="G278" s="2" t="s">
        <v>72</v>
      </c>
      <c r="H278" s="3">
        <v>3</v>
      </c>
      <c r="I278" s="6">
        <v>2004</v>
      </c>
      <c r="J278" s="2" t="s">
        <v>22</v>
      </c>
      <c r="K278" s="2" t="s">
        <v>59</v>
      </c>
      <c r="L278" s="7">
        <f t="shared" si="12"/>
        <v>2700</v>
      </c>
      <c r="M278" s="2" t="str">
        <f t="shared" si="13"/>
        <v>July</v>
      </c>
      <c r="N278" s="6">
        <f t="shared" si="14"/>
        <v>2004</v>
      </c>
    </row>
    <row r="279" spans="1:14">
      <c r="A279" s="2" t="s">
        <v>103</v>
      </c>
      <c r="B279" s="3">
        <v>10282</v>
      </c>
      <c r="C279" s="3">
        <v>27</v>
      </c>
      <c r="D279" s="13">
        <v>100</v>
      </c>
      <c r="E279" s="5">
        <v>38219</v>
      </c>
      <c r="F279" s="2" t="s">
        <v>13</v>
      </c>
      <c r="G279" s="2" t="s">
        <v>72</v>
      </c>
      <c r="H279" s="3">
        <v>3</v>
      </c>
      <c r="I279" s="6">
        <v>2004</v>
      </c>
      <c r="J279" s="2" t="s">
        <v>22</v>
      </c>
      <c r="K279" s="2" t="s">
        <v>104</v>
      </c>
      <c r="L279" s="7">
        <f t="shared" si="12"/>
        <v>2700</v>
      </c>
      <c r="M279" s="2" t="str">
        <f t="shared" si="13"/>
        <v>August</v>
      </c>
      <c r="N279" s="6">
        <f t="shared" si="14"/>
        <v>2004</v>
      </c>
    </row>
    <row r="280" spans="1:14">
      <c r="A280" s="2" t="s">
        <v>97</v>
      </c>
      <c r="B280" s="3">
        <v>10293</v>
      </c>
      <c r="C280" s="3">
        <v>24</v>
      </c>
      <c r="D280" s="13">
        <v>100</v>
      </c>
      <c r="E280" s="5">
        <v>38239</v>
      </c>
      <c r="F280" s="2" t="s">
        <v>13</v>
      </c>
      <c r="G280" s="2" t="s">
        <v>72</v>
      </c>
      <c r="H280" s="3">
        <v>3</v>
      </c>
      <c r="I280" s="6">
        <v>2004</v>
      </c>
      <c r="J280" s="2" t="s">
        <v>22</v>
      </c>
      <c r="K280" s="2" t="s">
        <v>98</v>
      </c>
      <c r="L280" s="7">
        <f t="shared" si="12"/>
        <v>2400</v>
      </c>
      <c r="M280" s="2" t="str">
        <f t="shared" si="13"/>
        <v>September</v>
      </c>
      <c r="N280" s="6">
        <f t="shared" si="14"/>
        <v>2004</v>
      </c>
    </row>
    <row r="281" spans="1:14">
      <c r="A281" s="2" t="s">
        <v>183</v>
      </c>
      <c r="B281" s="3">
        <v>10306</v>
      </c>
      <c r="C281" s="3">
        <v>34</v>
      </c>
      <c r="D281" s="13">
        <v>100</v>
      </c>
      <c r="E281" s="5">
        <v>38274</v>
      </c>
      <c r="F281" s="2" t="s">
        <v>13</v>
      </c>
      <c r="G281" s="2" t="s">
        <v>72</v>
      </c>
      <c r="H281" s="3">
        <v>4</v>
      </c>
      <c r="I281" s="6">
        <v>2004</v>
      </c>
      <c r="J281" s="2" t="s">
        <v>22</v>
      </c>
      <c r="K281" s="2" t="s">
        <v>184</v>
      </c>
      <c r="L281" s="7">
        <f t="shared" si="12"/>
        <v>3400</v>
      </c>
      <c r="M281" s="2" t="str">
        <f t="shared" si="13"/>
        <v>October</v>
      </c>
      <c r="N281" s="6">
        <f t="shared" si="14"/>
        <v>2004</v>
      </c>
    </row>
    <row r="282" spans="1:14">
      <c r="A282" s="2" t="s">
        <v>185</v>
      </c>
      <c r="B282" s="3">
        <v>10314</v>
      </c>
      <c r="C282" s="3">
        <v>46</v>
      </c>
      <c r="D282" s="13">
        <v>100</v>
      </c>
      <c r="E282" s="5">
        <v>38282</v>
      </c>
      <c r="F282" s="2" t="s">
        <v>13</v>
      </c>
      <c r="G282" s="2" t="s">
        <v>72</v>
      </c>
      <c r="H282" s="3">
        <v>4</v>
      </c>
      <c r="I282" s="6">
        <v>2004</v>
      </c>
      <c r="J282" s="2" t="s">
        <v>22</v>
      </c>
      <c r="K282" s="2" t="s">
        <v>186</v>
      </c>
      <c r="L282" s="7">
        <f t="shared" si="12"/>
        <v>4600</v>
      </c>
      <c r="M282" s="2" t="str">
        <f t="shared" si="13"/>
        <v>October</v>
      </c>
      <c r="N282" s="6">
        <f t="shared" si="14"/>
        <v>2004</v>
      </c>
    </row>
    <row r="283" spans="1:14">
      <c r="A283" s="2" t="s">
        <v>44</v>
      </c>
      <c r="B283" s="3">
        <v>10324</v>
      </c>
      <c r="C283" s="3">
        <v>27</v>
      </c>
      <c r="D283" s="13">
        <v>54.33</v>
      </c>
      <c r="E283" s="5">
        <v>38296</v>
      </c>
      <c r="F283" s="2" t="s">
        <v>13</v>
      </c>
      <c r="G283" s="2" t="s">
        <v>72</v>
      </c>
      <c r="H283" s="3">
        <v>4</v>
      </c>
      <c r="I283" s="6">
        <v>2004</v>
      </c>
      <c r="J283" s="2" t="s">
        <v>15</v>
      </c>
      <c r="K283" s="2" t="s">
        <v>45</v>
      </c>
      <c r="L283" s="7">
        <f t="shared" si="12"/>
        <v>1466.91</v>
      </c>
      <c r="M283" s="2" t="str">
        <f t="shared" si="13"/>
        <v>November</v>
      </c>
      <c r="N283" s="6">
        <f t="shared" si="14"/>
        <v>2004</v>
      </c>
    </row>
    <row r="284" spans="1:14">
      <c r="A284" s="2" t="s">
        <v>152</v>
      </c>
      <c r="B284" s="3">
        <v>10336</v>
      </c>
      <c r="C284" s="3">
        <v>33</v>
      </c>
      <c r="D284" s="13">
        <v>100</v>
      </c>
      <c r="E284" s="5">
        <v>38311</v>
      </c>
      <c r="F284" s="2" t="s">
        <v>13</v>
      </c>
      <c r="G284" s="2" t="s">
        <v>72</v>
      </c>
      <c r="H284" s="3">
        <v>4</v>
      </c>
      <c r="I284" s="6">
        <v>2004</v>
      </c>
      <c r="J284" s="2" t="s">
        <v>22</v>
      </c>
      <c r="K284" s="2" t="s">
        <v>153</v>
      </c>
      <c r="L284" s="7">
        <f t="shared" si="12"/>
        <v>3300</v>
      </c>
      <c r="M284" s="2" t="str">
        <f t="shared" si="13"/>
        <v>November</v>
      </c>
      <c r="N284" s="6">
        <f t="shared" si="14"/>
        <v>2004</v>
      </c>
    </row>
    <row r="285" spans="1:14">
      <c r="A285" s="2" t="s">
        <v>75</v>
      </c>
      <c r="B285" s="3">
        <v>10348</v>
      </c>
      <c r="C285" s="3">
        <v>47</v>
      </c>
      <c r="D285" s="13">
        <v>100</v>
      </c>
      <c r="E285" s="5">
        <v>38292</v>
      </c>
      <c r="F285" s="2" t="s">
        <v>13</v>
      </c>
      <c r="G285" s="2" t="s">
        <v>72</v>
      </c>
      <c r="H285" s="3">
        <v>4</v>
      </c>
      <c r="I285" s="6">
        <v>2004</v>
      </c>
      <c r="J285" s="2" t="s">
        <v>22</v>
      </c>
      <c r="K285" s="2" t="s">
        <v>76</v>
      </c>
      <c r="L285" s="7">
        <f t="shared" si="12"/>
        <v>4700</v>
      </c>
      <c r="M285" s="2" t="str">
        <f t="shared" si="13"/>
        <v>November</v>
      </c>
      <c r="N285" s="6">
        <f t="shared" si="14"/>
        <v>2004</v>
      </c>
    </row>
    <row r="286" spans="1:14">
      <c r="A286" s="2" t="s">
        <v>69</v>
      </c>
      <c r="B286" s="3">
        <v>10358</v>
      </c>
      <c r="C286" s="3">
        <v>49</v>
      </c>
      <c r="D286" s="13">
        <v>55.34</v>
      </c>
      <c r="E286" s="5">
        <v>38331</v>
      </c>
      <c r="F286" s="2" t="s">
        <v>13</v>
      </c>
      <c r="G286" s="2" t="s">
        <v>72</v>
      </c>
      <c r="H286" s="3">
        <v>4</v>
      </c>
      <c r="I286" s="6">
        <v>2004</v>
      </c>
      <c r="J286" s="2" t="s">
        <v>15</v>
      </c>
      <c r="K286" s="2" t="s">
        <v>71</v>
      </c>
      <c r="L286" s="7">
        <f t="shared" si="12"/>
        <v>2711.66</v>
      </c>
      <c r="M286" s="2" t="str">
        <f t="shared" si="13"/>
        <v>December</v>
      </c>
      <c r="N286" s="6">
        <f t="shared" si="14"/>
        <v>2004</v>
      </c>
    </row>
    <row r="287" spans="1:14">
      <c r="A287" s="2" t="s">
        <v>95</v>
      </c>
      <c r="B287" s="3">
        <v>10372</v>
      </c>
      <c r="C287" s="3">
        <v>40</v>
      </c>
      <c r="D287" s="13">
        <v>100</v>
      </c>
      <c r="E287" s="5">
        <v>38378</v>
      </c>
      <c r="F287" s="2" t="s">
        <v>13</v>
      </c>
      <c r="G287" s="2" t="s">
        <v>72</v>
      </c>
      <c r="H287" s="3">
        <v>1</v>
      </c>
      <c r="I287" s="6">
        <v>2005</v>
      </c>
      <c r="J287" s="2" t="s">
        <v>22</v>
      </c>
      <c r="K287" s="2" t="s">
        <v>96</v>
      </c>
      <c r="L287" s="7">
        <f t="shared" si="12"/>
        <v>4000</v>
      </c>
      <c r="M287" s="2" t="str">
        <f t="shared" si="13"/>
        <v>January</v>
      </c>
      <c r="N287" s="6">
        <f t="shared" si="14"/>
        <v>2005</v>
      </c>
    </row>
    <row r="288" spans="1:14">
      <c r="A288" s="2" t="s">
        <v>103</v>
      </c>
      <c r="B288" s="3">
        <v>10382</v>
      </c>
      <c r="C288" s="3">
        <v>37</v>
      </c>
      <c r="D288" s="13">
        <v>100</v>
      </c>
      <c r="E288" s="5">
        <v>38400</v>
      </c>
      <c r="F288" s="2" t="s">
        <v>13</v>
      </c>
      <c r="G288" s="2" t="s">
        <v>72</v>
      </c>
      <c r="H288" s="3">
        <v>1</v>
      </c>
      <c r="I288" s="6">
        <v>2005</v>
      </c>
      <c r="J288" s="2" t="s">
        <v>22</v>
      </c>
      <c r="K288" s="2" t="s">
        <v>104</v>
      </c>
      <c r="L288" s="7">
        <f t="shared" si="12"/>
        <v>3700</v>
      </c>
      <c r="M288" s="2" t="str">
        <f t="shared" si="13"/>
        <v>February</v>
      </c>
      <c r="N288" s="6">
        <f t="shared" si="14"/>
        <v>2005</v>
      </c>
    </row>
    <row r="289" spans="1:14">
      <c r="A289" s="2" t="s">
        <v>48</v>
      </c>
      <c r="B289" s="3">
        <v>10413</v>
      </c>
      <c r="C289" s="3">
        <v>47</v>
      </c>
      <c r="D289" s="13">
        <v>100</v>
      </c>
      <c r="E289" s="5">
        <v>38477</v>
      </c>
      <c r="F289" s="2" t="s">
        <v>13</v>
      </c>
      <c r="G289" s="2" t="s">
        <v>72</v>
      </c>
      <c r="H289" s="3">
        <v>2</v>
      </c>
      <c r="I289" s="6">
        <v>2005</v>
      </c>
      <c r="J289" s="2" t="s">
        <v>61</v>
      </c>
      <c r="K289" s="2" t="s">
        <v>49</v>
      </c>
      <c r="L289" s="7">
        <f t="shared" si="12"/>
        <v>4700</v>
      </c>
      <c r="M289" s="2" t="str">
        <f t="shared" si="13"/>
        <v>May</v>
      </c>
      <c r="N289" s="6">
        <f t="shared" si="14"/>
        <v>2005</v>
      </c>
    </row>
    <row r="290" spans="1:14">
      <c r="A290" s="2" t="s">
        <v>161</v>
      </c>
      <c r="B290" s="3">
        <v>10108</v>
      </c>
      <c r="C290" s="3">
        <v>45</v>
      </c>
      <c r="D290" s="13">
        <v>100</v>
      </c>
      <c r="E290" s="5">
        <v>37683</v>
      </c>
      <c r="F290" s="2" t="s">
        <v>13</v>
      </c>
      <c r="G290" s="2" t="s">
        <v>72</v>
      </c>
      <c r="H290" s="3">
        <v>1</v>
      </c>
      <c r="I290" s="6">
        <v>2003</v>
      </c>
      <c r="J290" s="2" t="s">
        <v>22</v>
      </c>
      <c r="K290" s="2" t="s">
        <v>162</v>
      </c>
      <c r="L290" s="7">
        <f t="shared" si="12"/>
        <v>4500</v>
      </c>
      <c r="M290" s="2" t="str">
        <f t="shared" si="13"/>
        <v>March</v>
      </c>
      <c r="N290" s="6">
        <f t="shared" si="14"/>
        <v>2003</v>
      </c>
    </row>
    <row r="291" spans="1:14">
      <c r="A291" s="2" t="s">
        <v>163</v>
      </c>
      <c r="B291" s="3">
        <v>10122</v>
      </c>
      <c r="C291" s="3">
        <v>37</v>
      </c>
      <c r="D291" s="13">
        <v>99.82</v>
      </c>
      <c r="E291" s="5">
        <v>37749</v>
      </c>
      <c r="F291" s="2" t="s">
        <v>13</v>
      </c>
      <c r="G291" s="2" t="s">
        <v>72</v>
      </c>
      <c r="H291" s="3">
        <v>2</v>
      </c>
      <c r="I291" s="6">
        <v>2003</v>
      </c>
      <c r="J291" s="2" t="s">
        <v>22</v>
      </c>
      <c r="K291" s="2" t="s">
        <v>164</v>
      </c>
      <c r="L291" s="7">
        <f t="shared" si="12"/>
        <v>3693.34</v>
      </c>
      <c r="M291" s="2" t="str">
        <f t="shared" si="13"/>
        <v>May</v>
      </c>
      <c r="N291" s="6">
        <f t="shared" si="14"/>
        <v>2003</v>
      </c>
    </row>
    <row r="292" spans="1:14">
      <c r="A292" s="2" t="s">
        <v>103</v>
      </c>
      <c r="B292" s="3">
        <v>10135</v>
      </c>
      <c r="C292" s="3">
        <v>48</v>
      </c>
      <c r="D292" s="13">
        <v>100</v>
      </c>
      <c r="E292" s="5">
        <v>37804</v>
      </c>
      <c r="F292" s="2" t="s">
        <v>13</v>
      </c>
      <c r="G292" s="2" t="s">
        <v>72</v>
      </c>
      <c r="H292" s="3">
        <v>3</v>
      </c>
      <c r="I292" s="6">
        <v>2003</v>
      </c>
      <c r="J292" s="2" t="s">
        <v>22</v>
      </c>
      <c r="K292" s="2" t="s">
        <v>104</v>
      </c>
      <c r="L292" s="7">
        <f t="shared" si="12"/>
        <v>4800</v>
      </c>
      <c r="M292" s="2" t="str">
        <f t="shared" si="13"/>
        <v>July</v>
      </c>
      <c r="N292" s="6">
        <f t="shared" si="14"/>
        <v>2003</v>
      </c>
    </row>
    <row r="293" spans="1:14">
      <c r="A293" s="2" t="s">
        <v>107</v>
      </c>
      <c r="B293" s="3">
        <v>10147</v>
      </c>
      <c r="C293" s="3">
        <v>31</v>
      </c>
      <c r="D293" s="13">
        <v>100</v>
      </c>
      <c r="E293" s="5">
        <v>37869</v>
      </c>
      <c r="F293" s="2" t="s">
        <v>13</v>
      </c>
      <c r="G293" s="2" t="s">
        <v>72</v>
      </c>
      <c r="H293" s="3">
        <v>3</v>
      </c>
      <c r="I293" s="6">
        <v>2003</v>
      </c>
      <c r="J293" s="2" t="s">
        <v>22</v>
      </c>
      <c r="K293" s="2" t="s">
        <v>108</v>
      </c>
      <c r="L293" s="7">
        <f t="shared" si="12"/>
        <v>3100</v>
      </c>
      <c r="M293" s="2" t="str">
        <f t="shared" si="13"/>
        <v>September</v>
      </c>
      <c r="N293" s="6">
        <f t="shared" si="14"/>
        <v>2003</v>
      </c>
    </row>
    <row r="294" spans="1:14">
      <c r="A294" s="2" t="s">
        <v>135</v>
      </c>
      <c r="B294" s="3">
        <v>10160</v>
      </c>
      <c r="C294" s="3">
        <v>46</v>
      </c>
      <c r="D294" s="13">
        <v>100</v>
      </c>
      <c r="E294" s="5">
        <v>37905</v>
      </c>
      <c r="F294" s="2" t="s">
        <v>13</v>
      </c>
      <c r="G294" s="2" t="s">
        <v>72</v>
      </c>
      <c r="H294" s="3">
        <v>4</v>
      </c>
      <c r="I294" s="6">
        <v>2003</v>
      </c>
      <c r="J294" s="2" t="s">
        <v>22</v>
      </c>
      <c r="K294" s="2" t="s">
        <v>136</v>
      </c>
      <c r="L294" s="7">
        <f t="shared" si="12"/>
        <v>4600</v>
      </c>
      <c r="M294" s="2" t="str">
        <f t="shared" si="13"/>
        <v>October</v>
      </c>
      <c r="N294" s="6">
        <f t="shared" si="14"/>
        <v>2003</v>
      </c>
    </row>
    <row r="295" spans="1:14">
      <c r="A295" s="2" t="s">
        <v>154</v>
      </c>
      <c r="B295" s="3">
        <v>10170</v>
      </c>
      <c r="C295" s="3">
        <v>47</v>
      </c>
      <c r="D295" s="13">
        <v>100</v>
      </c>
      <c r="E295" s="5">
        <v>37929</v>
      </c>
      <c r="F295" s="2" t="s">
        <v>13</v>
      </c>
      <c r="G295" s="2" t="s">
        <v>72</v>
      </c>
      <c r="H295" s="3">
        <v>4</v>
      </c>
      <c r="I295" s="6">
        <v>2003</v>
      </c>
      <c r="J295" s="2" t="s">
        <v>22</v>
      </c>
      <c r="K295" s="2" t="s">
        <v>156</v>
      </c>
      <c r="L295" s="7">
        <f t="shared" si="12"/>
        <v>4700</v>
      </c>
      <c r="M295" s="2" t="str">
        <f t="shared" si="13"/>
        <v>November</v>
      </c>
      <c r="N295" s="6">
        <f t="shared" si="14"/>
        <v>2003</v>
      </c>
    </row>
    <row r="296" spans="1:14">
      <c r="A296" s="2" t="s">
        <v>36</v>
      </c>
      <c r="B296" s="3">
        <v>10181</v>
      </c>
      <c r="C296" s="3">
        <v>28</v>
      </c>
      <c r="D296" s="13">
        <v>100</v>
      </c>
      <c r="E296" s="5">
        <v>37937</v>
      </c>
      <c r="F296" s="2" t="s">
        <v>13</v>
      </c>
      <c r="G296" s="2" t="s">
        <v>72</v>
      </c>
      <c r="H296" s="3">
        <v>4</v>
      </c>
      <c r="I296" s="6">
        <v>2003</v>
      </c>
      <c r="J296" s="2" t="s">
        <v>15</v>
      </c>
      <c r="K296" s="2" t="s">
        <v>37</v>
      </c>
      <c r="L296" s="7">
        <f t="shared" si="12"/>
        <v>2800</v>
      </c>
      <c r="M296" s="2" t="str">
        <f t="shared" si="13"/>
        <v>November</v>
      </c>
      <c r="N296" s="6">
        <f t="shared" si="14"/>
        <v>2003</v>
      </c>
    </row>
    <row r="297" spans="1:14">
      <c r="A297" s="2" t="s">
        <v>165</v>
      </c>
      <c r="B297" s="3">
        <v>10191</v>
      </c>
      <c r="C297" s="3">
        <v>40</v>
      </c>
      <c r="D297" s="13">
        <v>100</v>
      </c>
      <c r="E297" s="5">
        <v>37945</v>
      </c>
      <c r="F297" s="2" t="s">
        <v>13</v>
      </c>
      <c r="G297" s="2" t="s">
        <v>72</v>
      </c>
      <c r="H297" s="3">
        <v>4</v>
      </c>
      <c r="I297" s="6">
        <v>2003</v>
      </c>
      <c r="J297" s="2" t="s">
        <v>22</v>
      </c>
      <c r="K297" s="2" t="s">
        <v>166</v>
      </c>
      <c r="L297" s="7">
        <f t="shared" si="12"/>
        <v>4000</v>
      </c>
      <c r="M297" s="2" t="str">
        <f t="shared" si="13"/>
        <v>November</v>
      </c>
      <c r="N297" s="6">
        <f t="shared" si="14"/>
        <v>2003</v>
      </c>
    </row>
    <row r="298" spans="1:14">
      <c r="A298" s="2" t="s">
        <v>69</v>
      </c>
      <c r="B298" s="3">
        <v>10203</v>
      </c>
      <c r="C298" s="3">
        <v>20</v>
      </c>
      <c r="D298" s="13">
        <v>100</v>
      </c>
      <c r="E298" s="5">
        <v>37957</v>
      </c>
      <c r="F298" s="2" t="s">
        <v>13</v>
      </c>
      <c r="G298" s="2" t="s">
        <v>72</v>
      </c>
      <c r="H298" s="3">
        <v>4</v>
      </c>
      <c r="I298" s="6">
        <v>2003</v>
      </c>
      <c r="J298" s="2" t="s">
        <v>15</v>
      </c>
      <c r="K298" s="2" t="s">
        <v>71</v>
      </c>
      <c r="L298" s="7">
        <f t="shared" si="12"/>
        <v>2000</v>
      </c>
      <c r="M298" s="2" t="str">
        <f t="shared" si="13"/>
        <v>December</v>
      </c>
      <c r="N298" s="6">
        <f t="shared" si="14"/>
        <v>2003</v>
      </c>
    </row>
    <row r="299" spans="1:14">
      <c r="A299" s="2" t="s">
        <v>69</v>
      </c>
      <c r="B299" s="3">
        <v>10212</v>
      </c>
      <c r="C299" s="3">
        <v>39</v>
      </c>
      <c r="D299" s="13">
        <v>100</v>
      </c>
      <c r="E299" s="5">
        <v>38002</v>
      </c>
      <c r="F299" s="2" t="s">
        <v>13</v>
      </c>
      <c r="G299" s="2" t="s">
        <v>72</v>
      </c>
      <c r="H299" s="3">
        <v>1</v>
      </c>
      <c r="I299" s="6">
        <v>2004</v>
      </c>
      <c r="J299" s="2" t="s">
        <v>22</v>
      </c>
      <c r="K299" s="2" t="s">
        <v>71</v>
      </c>
      <c r="L299" s="7">
        <f t="shared" si="12"/>
        <v>3900</v>
      </c>
      <c r="M299" s="2" t="str">
        <f t="shared" si="13"/>
        <v>January</v>
      </c>
      <c r="N299" s="6">
        <f t="shared" si="14"/>
        <v>2004</v>
      </c>
    </row>
    <row r="300" spans="1:14">
      <c r="A300" s="2" t="s">
        <v>167</v>
      </c>
      <c r="B300" s="3">
        <v>10225</v>
      </c>
      <c r="C300" s="3">
        <v>25</v>
      </c>
      <c r="D300" s="13">
        <v>99.82</v>
      </c>
      <c r="E300" s="5">
        <v>38039</v>
      </c>
      <c r="F300" s="2" t="s">
        <v>13</v>
      </c>
      <c r="G300" s="2" t="s">
        <v>72</v>
      </c>
      <c r="H300" s="3">
        <v>1</v>
      </c>
      <c r="I300" s="6">
        <v>2004</v>
      </c>
      <c r="J300" s="2" t="s">
        <v>15</v>
      </c>
      <c r="K300" s="2" t="s">
        <v>168</v>
      </c>
      <c r="L300" s="7">
        <f t="shared" si="12"/>
        <v>2495.5</v>
      </c>
      <c r="M300" s="2" t="str">
        <f t="shared" si="13"/>
        <v>February</v>
      </c>
      <c r="N300" s="6">
        <f t="shared" si="14"/>
        <v>2004</v>
      </c>
    </row>
    <row r="301" spans="1:14">
      <c r="A301" s="2" t="s">
        <v>122</v>
      </c>
      <c r="B301" s="3">
        <v>10238</v>
      </c>
      <c r="C301" s="3">
        <v>29</v>
      </c>
      <c r="D301" s="13">
        <v>100</v>
      </c>
      <c r="E301" s="5">
        <v>38086</v>
      </c>
      <c r="F301" s="2" t="s">
        <v>13</v>
      </c>
      <c r="G301" s="2" t="s">
        <v>72</v>
      </c>
      <c r="H301" s="3">
        <v>2</v>
      </c>
      <c r="I301" s="6">
        <v>2004</v>
      </c>
      <c r="J301" s="2" t="s">
        <v>22</v>
      </c>
      <c r="K301" s="2" t="s">
        <v>123</v>
      </c>
      <c r="L301" s="7">
        <f t="shared" si="12"/>
        <v>2900</v>
      </c>
      <c r="M301" s="2" t="str">
        <f t="shared" si="13"/>
        <v>April</v>
      </c>
      <c r="N301" s="6">
        <f t="shared" si="14"/>
        <v>2004</v>
      </c>
    </row>
    <row r="302" spans="1:14">
      <c r="A302" s="2" t="s">
        <v>67</v>
      </c>
      <c r="B302" s="3">
        <v>10253</v>
      </c>
      <c r="C302" s="3">
        <v>22</v>
      </c>
      <c r="D302" s="13">
        <v>100</v>
      </c>
      <c r="E302" s="5">
        <v>38139</v>
      </c>
      <c r="F302" s="2" t="s">
        <v>128</v>
      </c>
      <c r="G302" s="2" t="s">
        <v>72</v>
      </c>
      <c r="H302" s="3">
        <v>2</v>
      </c>
      <c r="I302" s="6">
        <v>2004</v>
      </c>
      <c r="J302" s="2" t="s">
        <v>15</v>
      </c>
      <c r="K302" s="2" t="s">
        <v>68</v>
      </c>
      <c r="L302" s="7">
        <f t="shared" si="12"/>
        <v>2200</v>
      </c>
      <c r="M302" s="2" t="str">
        <f t="shared" si="13"/>
        <v>June</v>
      </c>
      <c r="N302" s="6">
        <f t="shared" si="14"/>
        <v>2004</v>
      </c>
    </row>
    <row r="303" spans="1:14">
      <c r="A303" s="2" t="s">
        <v>169</v>
      </c>
      <c r="B303" s="3">
        <v>10266</v>
      </c>
      <c r="C303" s="3">
        <v>22</v>
      </c>
      <c r="D303" s="13">
        <v>100</v>
      </c>
      <c r="E303" s="5">
        <v>38174</v>
      </c>
      <c r="F303" s="2" t="s">
        <v>13</v>
      </c>
      <c r="G303" s="2" t="s">
        <v>72</v>
      </c>
      <c r="H303" s="3">
        <v>3</v>
      </c>
      <c r="I303" s="6">
        <v>2004</v>
      </c>
      <c r="J303" s="2" t="s">
        <v>15</v>
      </c>
      <c r="K303" s="2" t="s">
        <v>170</v>
      </c>
      <c r="L303" s="7">
        <f t="shared" si="12"/>
        <v>2200</v>
      </c>
      <c r="M303" s="2" t="str">
        <f t="shared" si="13"/>
        <v>July</v>
      </c>
      <c r="N303" s="6">
        <f t="shared" si="14"/>
        <v>2004</v>
      </c>
    </row>
    <row r="304" spans="1:14">
      <c r="A304" s="2" t="s">
        <v>171</v>
      </c>
      <c r="B304" s="3">
        <v>10276</v>
      </c>
      <c r="C304" s="3">
        <v>47</v>
      </c>
      <c r="D304" s="13">
        <v>100</v>
      </c>
      <c r="E304" s="5">
        <v>38201</v>
      </c>
      <c r="F304" s="2" t="s">
        <v>13</v>
      </c>
      <c r="G304" s="2" t="s">
        <v>72</v>
      </c>
      <c r="H304" s="3">
        <v>3</v>
      </c>
      <c r="I304" s="6">
        <v>2004</v>
      </c>
      <c r="J304" s="2" t="s">
        <v>22</v>
      </c>
      <c r="K304" s="2" t="s">
        <v>172</v>
      </c>
      <c r="L304" s="7">
        <f t="shared" si="12"/>
        <v>4700</v>
      </c>
      <c r="M304" s="2" t="str">
        <f t="shared" si="13"/>
        <v>August</v>
      </c>
      <c r="N304" s="6">
        <f t="shared" si="14"/>
        <v>2004</v>
      </c>
    </row>
    <row r="305" spans="1:14">
      <c r="A305" s="2" t="s">
        <v>167</v>
      </c>
      <c r="B305" s="3">
        <v>10287</v>
      </c>
      <c r="C305" s="3">
        <v>45</v>
      </c>
      <c r="D305" s="13">
        <v>100</v>
      </c>
      <c r="E305" s="5">
        <v>38229</v>
      </c>
      <c r="F305" s="2" t="s">
        <v>13</v>
      </c>
      <c r="G305" s="2" t="s">
        <v>72</v>
      </c>
      <c r="H305" s="3">
        <v>3</v>
      </c>
      <c r="I305" s="6">
        <v>2004</v>
      </c>
      <c r="J305" s="2" t="s">
        <v>22</v>
      </c>
      <c r="K305" s="2" t="s">
        <v>168</v>
      </c>
      <c r="L305" s="7">
        <f t="shared" si="12"/>
        <v>4500</v>
      </c>
      <c r="M305" s="2" t="str">
        <f t="shared" si="13"/>
        <v>August</v>
      </c>
      <c r="N305" s="6">
        <f t="shared" si="14"/>
        <v>2004</v>
      </c>
    </row>
    <row r="306" spans="1:14">
      <c r="A306" s="2" t="s">
        <v>173</v>
      </c>
      <c r="B306" s="3">
        <v>10300</v>
      </c>
      <c r="C306" s="3">
        <v>29</v>
      </c>
      <c r="D306" s="13">
        <v>100</v>
      </c>
      <c r="E306" s="5">
        <v>37898</v>
      </c>
      <c r="F306" s="2" t="s">
        <v>13</v>
      </c>
      <c r="G306" s="2" t="s">
        <v>72</v>
      </c>
      <c r="H306" s="3">
        <v>4</v>
      </c>
      <c r="I306" s="6">
        <v>2003</v>
      </c>
      <c r="J306" s="2" t="s">
        <v>22</v>
      </c>
      <c r="K306" s="2" t="s">
        <v>174</v>
      </c>
      <c r="L306" s="7">
        <f t="shared" si="12"/>
        <v>2900</v>
      </c>
      <c r="M306" s="2" t="str">
        <f t="shared" si="13"/>
        <v>October</v>
      </c>
      <c r="N306" s="6">
        <f t="shared" si="14"/>
        <v>2003</v>
      </c>
    </row>
    <row r="307" spans="1:14">
      <c r="A307" s="2" t="s">
        <v>165</v>
      </c>
      <c r="B307" s="3">
        <v>10310</v>
      </c>
      <c r="C307" s="3">
        <v>24</v>
      </c>
      <c r="D307" s="13">
        <v>100</v>
      </c>
      <c r="E307" s="5">
        <v>38276</v>
      </c>
      <c r="F307" s="2" t="s">
        <v>13</v>
      </c>
      <c r="G307" s="2" t="s">
        <v>72</v>
      </c>
      <c r="H307" s="3">
        <v>4</v>
      </c>
      <c r="I307" s="6">
        <v>2004</v>
      </c>
      <c r="J307" s="2" t="s">
        <v>22</v>
      </c>
      <c r="K307" s="2" t="s">
        <v>166</v>
      </c>
      <c r="L307" s="7">
        <f t="shared" si="12"/>
        <v>2400</v>
      </c>
      <c r="M307" s="2" t="str">
        <f t="shared" si="13"/>
        <v>October</v>
      </c>
      <c r="N307" s="6">
        <f t="shared" si="14"/>
        <v>2004</v>
      </c>
    </row>
    <row r="308" spans="1:14">
      <c r="A308" s="2" t="s">
        <v>73</v>
      </c>
      <c r="B308" s="3">
        <v>10320</v>
      </c>
      <c r="C308" s="3">
        <v>35</v>
      </c>
      <c r="D308" s="13">
        <v>100</v>
      </c>
      <c r="E308" s="5">
        <v>38294</v>
      </c>
      <c r="F308" s="2" t="s">
        <v>13</v>
      </c>
      <c r="G308" s="2" t="s">
        <v>72</v>
      </c>
      <c r="H308" s="3">
        <v>4</v>
      </c>
      <c r="I308" s="6">
        <v>2004</v>
      </c>
      <c r="J308" s="2" t="s">
        <v>22</v>
      </c>
      <c r="K308" s="2" t="s">
        <v>74</v>
      </c>
      <c r="L308" s="7">
        <f t="shared" si="12"/>
        <v>3500</v>
      </c>
      <c r="M308" s="2" t="str">
        <f t="shared" si="13"/>
        <v>November</v>
      </c>
      <c r="N308" s="6">
        <f t="shared" si="14"/>
        <v>2004</v>
      </c>
    </row>
    <row r="309" spans="1:14">
      <c r="A309" s="2" t="s">
        <v>12</v>
      </c>
      <c r="B309" s="3">
        <v>10329</v>
      </c>
      <c r="C309" s="3">
        <v>46</v>
      </c>
      <c r="D309" s="13">
        <v>83.63</v>
      </c>
      <c r="E309" s="5">
        <v>38306</v>
      </c>
      <c r="F309" s="2" t="s">
        <v>13</v>
      </c>
      <c r="G309" s="2" t="s">
        <v>72</v>
      </c>
      <c r="H309" s="3">
        <v>4</v>
      </c>
      <c r="I309" s="6">
        <v>2004</v>
      </c>
      <c r="J309" s="2" t="s">
        <v>22</v>
      </c>
      <c r="K309" s="2" t="s">
        <v>16</v>
      </c>
      <c r="L309" s="7">
        <f t="shared" si="12"/>
        <v>3846.98</v>
      </c>
      <c r="M309" s="2" t="str">
        <f t="shared" si="13"/>
        <v>November</v>
      </c>
      <c r="N309" s="6">
        <f t="shared" si="14"/>
        <v>2004</v>
      </c>
    </row>
    <row r="310" spans="1:14">
      <c r="A310" s="2" t="s">
        <v>60</v>
      </c>
      <c r="B310" s="3">
        <v>10341</v>
      </c>
      <c r="C310" s="3">
        <v>44</v>
      </c>
      <c r="D310" s="13">
        <v>95.93</v>
      </c>
      <c r="E310" s="5">
        <v>38315</v>
      </c>
      <c r="F310" s="2" t="s">
        <v>13</v>
      </c>
      <c r="G310" s="2" t="s">
        <v>72</v>
      </c>
      <c r="H310" s="3">
        <v>4</v>
      </c>
      <c r="I310" s="6">
        <v>2004</v>
      </c>
      <c r="J310" s="2" t="s">
        <v>22</v>
      </c>
      <c r="K310" s="2" t="s">
        <v>62</v>
      </c>
      <c r="L310" s="7">
        <f t="shared" si="12"/>
        <v>4220.92</v>
      </c>
      <c r="M310" s="2" t="str">
        <f t="shared" si="13"/>
        <v>November</v>
      </c>
      <c r="N310" s="6">
        <f t="shared" si="14"/>
        <v>2004</v>
      </c>
    </row>
    <row r="311" spans="1:14">
      <c r="A311" s="2" t="s">
        <v>175</v>
      </c>
      <c r="B311" s="3">
        <v>10363</v>
      </c>
      <c r="C311" s="3">
        <v>34</v>
      </c>
      <c r="D311" s="13">
        <v>96.73</v>
      </c>
      <c r="E311" s="5">
        <v>38358</v>
      </c>
      <c r="F311" s="2" t="s">
        <v>13</v>
      </c>
      <c r="G311" s="2" t="s">
        <v>72</v>
      </c>
      <c r="H311" s="3">
        <v>1</v>
      </c>
      <c r="I311" s="6">
        <v>2005</v>
      </c>
      <c r="J311" s="2" t="s">
        <v>22</v>
      </c>
      <c r="K311" s="2" t="s">
        <v>176</v>
      </c>
      <c r="L311" s="7">
        <f t="shared" si="12"/>
        <v>3288.82</v>
      </c>
      <c r="M311" s="2" t="str">
        <f t="shared" si="13"/>
        <v>January</v>
      </c>
      <c r="N311" s="6">
        <f t="shared" si="14"/>
        <v>2005</v>
      </c>
    </row>
    <row r="312" spans="1:14">
      <c r="A312" s="2" t="s">
        <v>190</v>
      </c>
      <c r="B312" s="3">
        <v>10376</v>
      </c>
      <c r="C312" s="3">
        <v>35</v>
      </c>
      <c r="D312" s="13">
        <v>100</v>
      </c>
      <c r="E312" s="5">
        <v>38391</v>
      </c>
      <c r="F312" s="2" t="s">
        <v>13</v>
      </c>
      <c r="G312" s="2" t="s">
        <v>72</v>
      </c>
      <c r="H312" s="3">
        <v>1</v>
      </c>
      <c r="I312" s="6">
        <v>2005</v>
      </c>
      <c r="J312" s="2" t="s">
        <v>22</v>
      </c>
      <c r="K312" s="2" t="s">
        <v>191</v>
      </c>
      <c r="L312" s="7">
        <f t="shared" si="12"/>
        <v>3500</v>
      </c>
      <c r="M312" s="2" t="str">
        <f t="shared" si="13"/>
        <v>February</v>
      </c>
      <c r="N312" s="6">
        <f t="shared" si="14"/>
        <v>2005</v>
      </c>
    </row>
    <row r="313" spans="1:14">
      <c r="A313" s="2" t="s">
        <v>99</v>
      </c>
      <c r="B313" s="3">
        <v>10389</v>
      </c>
      <c r="C313" s="3">
        <v>25</v>
      </c>
      <c r="D313" s="13">
        <v>72.38</v>
      </c>
      <c r="E313" s="5">
        <v>38414</v>
      </c>
      <c r="F313" s="2" t="s">
        <v>13</v>
      </c>
      <c r="G313" s="2" t="s">
        <v>72</v>
      </c>
      <c r="H313" s="3">
        <v>1</v>
      </c>
      <c r="I313" s="6">
        <v>2005</v>
      </c>
      <c r="J313" s="2" t="s">
        <v>15</v>
      </c>
      <c r="K313" s="2" t="s">
        <v>100</v>
      </c>
      <c r="L313" s="7">
        <f t="shared" si="12"/>
        <v>1809.5</v>
      </c>
      <c r="M313" s="2" t="str">
        <f t="shared" si="13"/>
        <v>March</v>
      </c>
      <c r="N313" s="6">
        <f t="shared" si="14"/>
        <v>2005</v>
      </c>
    </row>
    <row r="314" spans="1:14">
      <c r="A314" s="2" t="s">
        <v>60</v>
      </c>
      <c r="B314" s="3">
        <v>10419</v>
      </c>
      <c r="C314" s="3">
        <v>10</v>
      </c>
      <c r="D314" s="13">
        <v>100</v>
      </c>
      <c r="E314" s="5">
        <v>38489</v>
      </c>
      <c r="F314" s="2" t="s">
        <v>13</v>
      </c>
      <c r="G314" s="2" t="s">
        <v>72</v>
      </c>
      <c r="H314" s="3">
        <v>2</v>
      </c>
      <c r="I314" s="6">
        <v>2005</v>
      </c>
      <c r="J314" s="2" t="s">
        <v>15</v>
      </c>
      <c r="K314" s="2" t="s">
        <v>62</v>
      </c>
      <c r="L314" s="7">
        <f t="shared" si="12"/>
        <v>1000</v>
      </c>
      <c r="M314" s="2" t="str">
        <f t="shared" si="13"/>
        <v>May</v>
      </c>
      <c r="N314" s="6">
        <f t="shared" si="14"/>
        <v>2005</v>
      </c>
    </row>
    <row r="315" spans="1:14">
      <c r="A315" s="2" t="s">
        <v>122</v>
      </c>
      <c r="B315" s="3">
        <v>10105</v>
      </c>
      <c r="C315" s="3">
        <v>29</v>
      </c>
      <c r="D315" s="13">
        <v>100</v>
      </c>
      <c r="E315" s="5">
        <v>37663</v>
      </c>
      <c r="F315" s="2" t="s">
        <v>13</v>
      </c>
      <c r="G315" s="2" t="s">
        <v>72</v>
      </c>
      <c r="H315" s="3">
        <v>1</v>
      </c>
      <c r="I315" s="6">
        <v>2003</v>
      </c>
      <c r="J315" s="2" t="s">
        <v>22</v>
      </c>
      <c r="K315" s="2" t="s">
        <v>123</v>
      </c>
      <c r="L315" s="7">
        <f t="shared" si="12"/>
        <v>2900</v>
      </c>
      <c r="M315" s="2" t="str">
        <f t="shared" si="13"/>
        <v>February</v>
      </c>
      <c r="N315" s="6">
        <f t="shared" si="14"/>
        <v>2003</v>
      </c>
    </row>
    <row r="316" spans="1:14">
      <c r="A316" s="2" t="s">
        <v>77</v>
      </c>
      <c r="B316" s="3">
        <v>10117</v>
      </c>
      <c r="C316" s="3">
        <v>39</v>
      </c>
      <c r="D316" s="13">
        <v>100</v>
      </c>
      <c r="E316" s="5">
        <v>37727</v>
      </c>
      <c r="F316" s="2" t="s">
        <v>13</v>
      </c>
      <c r="G316" s="2" t="s">
        <v>72</v>
      </c>
      <c r="H316" s="3">
        <v>2</v>
      </c>
      <c r="I316" s="6">
        <v>2003</v>
      </c>
      <c r="J316" s="2" t="s">
        <v>22</v>
      </c>
      <c r="K316" s="2" t="s">
        <v>78</v>
      </c>
      <c r="L316" s="7">
        <f t="shared" si="12"/>
        <v>3900</v>
      </c>
      <c r="M316" s="2" t="str">
        <f t="shared" si="13"/>
        <v>April</v>
      </c>
      <c r="N316" s="6">
        <f t="shared" si="14"/>
        <v>2003</v>
      </c>
    </row>
    <row r="317" spans="1:14">
      <c r="A317" s="2" t="s">
        <v>177</v>
      </c>
      <c r="B317" s="3">
        <v>10127</v>
      </c>
      <c r="C317" s="3">
        <v>42</v>
      </c>
      <c r="D317" s="13">
        <v>100</v>
      </c>
      <c r="E317" s="5">
        <v>37775</v>
      </c>
      <c r="F317" s="2" t="s">
        <v>13</v>
      </c>
      <c r="G317" s="2" t="s">
        <v>72</v>
      </c>
      <c r="H317" s="3">
        <v>2</v>
      </c>
      <c r="I317" s="6">
        <v>2003</v>
      </c>
      <c r="J317" s="2" t="s">
        <v>61</v>
      </c>
      <c r="K317" s="2" t="s">
        <v>178</v>
      </c>
      <c r="L317" s="7">
        <f t="shared" si="12"/>
        <v>4200</v>
      </c>
      <c r="M317" s="2" t="str">
        <f t="shared" si="13"/>
        <v>June</v>
      </c>
      <c r="N317" s="6">
        <f t="shared" si="14"/>
        <v>2003</v>
      </c>
    </row>
    <row r="318" spans="1:14">
      <c r="A318" s="2" t="s">
        <v>103</v>
      </c>
      <c r="B318" s="3">
        <v>10142</v>
      </c>
      <c r="C318" s="3">
        <v>46</v>
      </c>
      <c r="D318" s="13">
        <v>100</v>
      </c>
      <c r="E318" s="5">
        <v>37841</v>
      </c>
      <c r="F318" s="2" t="s">
        <v>13</v>
      </c>
      <c r="G318" s="2" t="s">
        <v>72</v>
      </c>
      <c r="H318" s="3">
        <v>3</v>
      </c>
      <c r="I318" s="6">
        <v>2003</v>
      </c>
      <c r="J318" s="2" t="s">
        <v>61</v>
      </c>
      <c r="K318" s="2" t="s">
        <v>104</v>
      </c>
      <c r="L318" s="7">
        <f t="shared" si="12"/>
        <v>4600</v>
      </c>
      <c r="M318" s="2" t="str">
        <f t="shared" si="13"/>
        <v>August</v>
      </c>
      <c r="N318" s="6">
        <f t="shared" si="14"/>
        <v>2003</v>
      </c>
    </row>
    <row r="319" spans="1:14">
      <c r="A319" s="2" t="s">
        <v>69</v>
      </c>
      <c r="B319" s="3">
        <v>10153</v>
      </c>
      <c r="C319" s="3">
        <v>49</v>
      </c>
      <c r="D319" s="13">
        <v>100</v>
      </c>
      <c r="E319" s="5">
        <v>37892</v>
      </c>
      <c r="F319" s="2" t="s">
        <v>13</v>
      </c>
      <c r="G319" s="2" t="s">
        <v>72</v>
      </c>
      <c r="H319" s="3">
        <v>3</v>
      </c>
      <c r="I319" s="6">
        <v>2003</v>
      </c>
      <c r="J319" s="2" t="s">
        <v>61</v>
      </c>
      <c r="K319" s="2" t="s">
        <v>71</v>
      </c>
      <c r="L319" s="7">
        <f t="shared" si="12"/>
        <v>4900</v>
      </c>
      <c r="M319" s="2" t="str">
        <f t="shared" si="13"/>
        <v>September</v>
      </c>
      <c r="N319" s="6">
        <f t="shared" si="14"/>
        <v>2003</v>
      </c>
    </row>
    <row r="320" spans="1:14">
      <c r="A320" s="2" t="s">
        <v>77</v>
      </c>
      <c r="B320" s="3">
        <v>10165</v>
      </c>
      <c r="C320" s="3">
        <v>27</v>
      </c>
      <c r="D320" s="13">
        <v>100</v>
      </c>
      <c r="E320" s="5">
        <v>37916</v>
      </c>
      <c r="F320" s="2" t="s">
        <v>13</v>
      </c>
      <c r="G320" s="2" t="s">
        <v>72</v>
      </c>
      <c r="H320" s="3">
        <v>4</v>
      </c>
      <c r="I320" s="6">
        <v>2003</v>
      </c>
      <c r="J320" s="2" t="s">
        <v>22</v>
      </c>
      <c r="K320" s="2" t="s">
        <v>78</v>
      </c>
      <c r="L320" s="7">
        <f t="shared" si="12"/>
        <v>2700</v>
      </c>
      <c r="M320" s="2" t="str">
        <f t="shared" si="13"/>
        <v>October</v>
      </c>
      <c r="N320" s="6">
        <f t="shared" si="14"/>
        <v>2003</v>
      </c>
    </row>
    <row r="321" spans="1:14">
      <c r="A321" s="2" t="s">
        <v>169</v>
      </c>
      <c r="B321" s="3">
        <v>10176</v>
      </c>
      <c r="C321" s="3">
        <v>50</v>
      </c>
      <c r="D321" s="13">
        <v>100</v>
      </c>
      <c r="E321" s="5">
        <v>37931</v>
      </c>
      <c r="F321" s="2" t="s">
        <v>13</v>
      </c>
      <c r="G321" s="2" t="s">
        <v>72</v>
      </c>
      <c r="H321" s="3">
        <v>4</v>
      </c>
      <c r="I321" s="6">
        <v>2003</v>
      </c>
      <c r="J321" s="2" t="s">
        <v>61</v>
      </c>
      <c r="K321" s="2" t="s">
        <v>170</v>
      </c>
      <c r="L321" s="7">
        <f t="shared" si="12"/>
        <v>5000</v>
      </c>
      <c r="M321" s="2" t="str">
        <f t="shared" si="13"/>
        <v>November</v>
      </c>
      <c r="N321" s="6">
        <f t="shared" si="14"/>
        <v>2003</v>
      </c>
    </row>
    <row r="322" spans="1:14">
      <c r="A322" s="2" t="s">
        <v>126</v>
      </c>
      <c r="B322" s="3">
        <v>10185</v>
      </c>
      <c r="C322" s="3">
        <v>43</v>
      </c>
      <c r="D322" s="13">
        <v>100</v>
      </c>
      <c r="E322" s="5">
        <v>37939</v>
      </c>
      <c r="F322" s="2" t="s">
        <v>13</v>
      </c>
      <c r="G322" s="2" t="s">
        <v>72</v>
      </c>
      <c r="H322" s="3">
        <v>4</v>
      </c>
      <c r="I322" s="6">
        <v>2003</v>
      </c>
      <c r="J322" s="2" t="s">
        <v>61</v>
      </c>
      <c r="K322" s="2" t="s">
        <v>127</v>
      </c>
      <c r="L322" s="7">
        <f t="shared" ref="L322:L385" si="15">PRODUCT(C322,D322)</f>
        <v>4300</v>
      </c>
      <c r="M322" s="2" t="str">
        <f t="shared" ref="M322:M385" si="16">TEXT(E322,"MMMM")</f>
        <v>November</v>
      </c>
      <c r="N322" s="6">
        <f t="shared" ref="N322:N385" si="17">YEAR(E322)</f>
        <v>2003</v>
      </c>
    </row>
    <row r="323" spans="1:14">
      <c r="A323" s="2" t="s">
        <v>93</v>
      </c>
      <c r="B323" s="3">
        <v>10196</v>
      </c>
      <c r="C323" s="3">
        <v>38</v>
      </c>
      <c r="D323" s="13">
        <v>100</v>
      </c>
      <c r="E323" s="5">
        <v>37951</v>
      </c>
      <c r="F323" s="2" t="s">
        <v>13</v>
      </c>
      <c r="G323" s="2" t="s">
        <v>72</v>
      </c>
      <c r="H323" s="3">
        <v>4</v>
      </c>
      <c r="I323" s="6">
        <v>2003</v>
      </c>
      <c r="J323" s="2" t="s">
        <v>61</v>
      </c>
      <c r="K323" s="2" t="s">
        <v>94</v>
      </c>
      <c r="L323" s="7">
        <f t="shared" si="15"/>
        <v>3800</v>
      </c>
      <c r="M323" s="2" t="str">
        <f t="shared" si="16"/>
        <v>November</v>
      </c>
      <c r="N323" s="6">
        <f t="shared" si="17"/>
        <v>2003</v>
      </c>
    </row>
    <row r="324" spans="1:14">
      <c r="A324" s="2" t="s">
        <v>85</v>
      </c>
      <c r="B324" s="3">
        <v>10208</v>
      </c>
      <c r="C324" s="3">
        <v>20</v>
      </c>
      <c r="D324" s="13">
        <v>100</v>
      </c>
      <c r="E324" s="5">
        <v>37988</v>
      </c>
      <c r="F324" s="2" t="s">
        <v>13</v>
      </c>
      <c r="G324" s="2" t="s">
        <v>72</v>
      </c>
      <c r="H324" s="3">
        <v>1</v>
      </c>
      <c r="I324" s="6">
        <v>2004</v>
      </c>
      <c r="J324" s="2" t="s">
        <v>22</v>
      </c>
      <c r="K324" s="2" t="s">
        <v>86</v>
      </c>
      <c r="L324" s="7">
        <f t="shared" si="15"/>
        <v>2000</v>
      </c>
      <c r="M324" s="2" t="str">
        <f t="shared" si="16"/>
        <v>January</v>
      </c>
      <c r="N324" s="6">
        <f t="shared" si="17"/>
        <v>2004</v>
      </c>
    </row>
    <row r="325" spans="1:14">
      <c r="A325" s="2" t="s">
        <v>179</v>
      </c>
      <c r="B325" s="3">
        <v>10220</v>
      </c>
      <c r="C325" s="3">
        <v>27</v>
      </c>
      <c r="D325" s="13">
        <v>100</v>
      </c>
      <c r="E325" s="5">
        <v>38029</v>
      </c>
      <c r="F325" s="2" t="s">
        <v>13</v>
      </c>
      <c r="G325" s="2" t="s">
        <v>72</v>
      </c>
      <c r="H325" s="3">
        <v>1</v>
      </c>
      <c r="I325" s="6">
        <v>2004</v>
      </c>
      <c r="J325" s="2" t="s">
        <v>22</v>
      </c>
      <c r="K325" s="2" t="s">
        <v>180</v>
      </c>
      <c r="L325" s="7">
        <f t="shared" si="15"/>
        <v>2700</v>
      </c>
      <c r="M325" s="2" t="str">
        <f t="shared" si="16"/>
        <v>February</v>
      </c>
      <c r="N325" s="6">
        <f t="shared" si="17"/>
        <v>2004</v>
      </c>
    </row>
    <row r="326" spans="1:14">
      <c r="A326" s="2" t="s">
        <v>181</v>
      </c>
      <c r="B326" s="3">
        <v>10231</v>
      </c>
      <c r="C326" s="3">
        <v>49</v>
      </c>
      <c r="D326" s="13">
        <v>100</v>
      </c>
      <c r="E326" s="5">
        <v>38065</v>
      </c>
      <c r="F326" s="2" t="s">
        <v>13</v>
      </c>
      <c r="G326" s="2" t="s">
        <v>72</v>
      </c>
      <c r="H326" s="3">
        <v>1</v>
      </c>
      <c r="I326" s="6">
        <v>2004</v>
      </c>
      <c r="J326" s="2" t="s">
        <v>22</v>
      </c>
      <c r="K326" s="2" t="s">
        <v>182</v>
      </c>
      <c r="L326" s="7">
        <f t="shared" si="15"/>
        <v>4900</v>
      </c>
      <c r="M326" s="2" t="str">
        <f t="shared" si="16"/>
        <v>March</v>
      </c>
      <c r="N326" s="6">
        <f t="shared" si="17"/>
        <v>2004</v>
      </c>
    </row>
    <row r="327" spans="1:14">
      <c r="A327" s="2" t="s">
        <v>175</v>
      </c>
      <c r="B327" s="3">
        <v>10247</v>
      </c>
      <c r="C327" s="3">
        <v>27</v>
      </c>
      <c r="D327" s="13">
        <v>100</v>
      </c>
      <c r="E327" s="5">
        <v>38112</v>
      </c>
      <c r="F327" s="2" t="s">
        <v>13</v>
      </c>
      <c r="G327" s="2" t="s">
        <v>72</v>
      </c>
      <c r="H327" s="3">
        <v>2</v>
      </c>
      <c r="I327" s="6">
        <v>2004</v>
      </c>
      <c r="J327" s="2" t="s">
        <v>22</v>
      </c>
      <c r="K327" s="2" t="s">
        <v>176</v>
      </c>
      <c r="L327" s="7">
        <f t="shared" si="15"/>
        <v>2700</v>
      </c>
      <c r="M327" s="2" t="str">
        <f t="shared" si="16"/>
        <v>May</v>
      </c>
      <c r="N327" s="6">
        <f t="shared" si="17"/>
        <v>2004</v>
      </c>
    </row>
    <row r="328" spans="1:14">
      <c r="A328" s="2" t="s">
        <v>58</v>
      </c>
      <c r="B328" s="3">
        <v>10272</v>
      </c>
      <c r="C328" s="3">
        <v>39</v>
      </c>
      <c r="D328" s="13">
        <v>100</v>
      </c>
      <c r="E328" s="5">
        <v>38188</v>
      </c>
      <c r="F328" s="2" t="s">
        <v>13</v>
      </c>
      <c r="G328" s="2" t="s">
        <v>72</v>
      </c>
      <c r="H328" s="3">
        <v>3</v>
      </c>
      <c r="I328" s="6">
        <v>2004</v>
      </c>
      <c r="J328" s="2" t="s">
        <v>61</v>
      </c>
      <c r="K328" s="2" t="s">
        <v>59</v>
      </c>
      <c r="L328" s="7">
        <f t="shared" si="15"/>
        <v>3900</v>
      </c>
      <c r="M328" s="2" t="str">
        <f t="shared" si="16"/>
        <v>July</v>
      </c>
      <c r="N328" s="6">
        <f t="shared" si="17"/>
        <v>2004</v>
      </c>
    </row>
    <row r="329" spans="1:14">
      <c r="A329" s="2" t="s">
        <v>103</v>
      </c>
      <c r="B329" s="3">
        <v>10282</v>
      </c>
      <c r="C329" s="3">
        <v>24</v>
      </c>
      <c r="D329" s="13">
        <v>100</v>
      </c>
      <c r="E329" s="5">
        <v>38219</v>
      </c>
      <c r="F329" s="2" t="s">
        <v>13</v>
      </c>
      <c r="G329" s="2" t="s">
        <v>72</v>
      </c>
      <c r="H329" s="3">
        <v>3</v>
      </c>
      <c r="I329" s="6">
        <v>2004</v>
      </c>
      <c r="J329" s="2" t="s">
        <v>22</v>
      </c>
      <c r="K329" s="2" t="s">
        <v>104</v>
      </c>
      <c r="L329" s="7">
        <f t="shared" si="15"/>
        <v>2400</v>
      </c>
      <c r="M329" s="2" t="str">
        <f t="shared" si="16"/>
        <v>August</v>
      </c>
      <c r="N329" s="6">
        <f t="shared" si="17"/>
        <v>2004</v>
      </c>
    </row>
    <row r="330" spans="1:14">
      <c r="A330" s="2" t="s">
        <v>97</v>
      </c>
      <c r="B330" s="3">
        <v>10293</v>
      </c>
      <c r="C330" s="3">
        <v>45</v>
      </c>
      <c r="D330" s="13">
        <v>100</v>
      </c>
      <c r="E330" s="5">
        <v>38239</v>
      </c>
      <c r="F330" s="2" t="s">
        <v>13</v>
      </c>
      <c r="G330" s="2" t="s">
        <v>72</v>
      </c>
      <c r="H330" s="3">
        <v>3</v>
      </c>
      <c r="I330" s="6">
        <v>2004</v>
      </c>
      <c r="J330" s="2" t="s">
        <v>61</v>
      </c>
      <c r="K330" s="2" t="s">
        <v>98</v>
      </c>
      <c r="L330" s="7">
        <f t="shared" si="15"/>
        <v>4500</v>
      </c>
      <c r="M330" s="2" t="str">
        <f t="shared" si="16"/>
        <v>September</v>
      </c>
      <c r="N330" s="6">
        <f t="shared" si="17"/>
        <v>2004</v>
      </c>
    </row>
    <row r="331" spans="1:14">
      <c r="A331" s="2" t="s">
        <v>183</v>
      </c>
      <c r="B331" s="3">
        <v>10306</v>
      </c>
      <c r="C331" s="3">
        <v>20</v>
      </c>
      <c r="D331" s="13">
        <v>100</v>
      </c>
      <c r="E331" s="5">
        <v>38274</v>
      </c>
      <c r="F331" s="2" t="s">
        <v>13</v>
      </c>
      <c r="G331" s="2" t="s">
        <v>72</v>
      </c>
      <c r="H331" s="3">
        <v>4</v>
      </c>
      <c r="I331" s="6">
        <v>2004</v>
      </c>
      <c r="J331" s="2" t="s">
        <v>22</v>
      </c>
      <c r="K331" s="2" t="s">
        <v>184</v>
      </c>
      <c r="L331" s="7">
        <f t="shared" si="15"/>
        <v>2000</v>
      </c>
      <c r="M331" s="2" t="str">
        <f t="shared" si="16"/>
        <v>October</v>
      </c>
      <c r="N331" s="6">
        <f t="shared" si="17"/>
        <v>2004</v>
      </c>
    </row>
    <row r="332" spans="1:14">
      <c r="A332" s="2" t="s">
        <v>185</v>
      </c>
      <c r="B332" s="3">
        <v>10314</v>
      </c>
      <c r="C332" s="3">
        <v>36</v>
      </c>
      <c r="D332" s="13">
        <v>100</v>
      </c>
      <c r="E332" s="5">
        <v>38282</v>
      </c>
      <c r="F332" s="2" t="s">
        <v>13</v>
      </c>
      <c r="G332" s="2" t="s">
        <v>72</v>
      </c>
      <c r="H332" s="3">
        <v>4</v>
      </c>
      <c r="I332" s="6">
        <v>2004</v>
      </c>
      <c r="J332" s="2" t="s">
        <v>22</v>
      </c>
      <c r="K332" s="2" t="s">
        <v>186</v>
      </c>
      <c r="L332" s="7">
        <f t="shared" si="15"/>
        <v>3600</v>
      </c>
      <c r="M332" s="2" t="str">
        <f t="shared" si="16"/>
        <v>October</v>
      </c>
      <c r="N332" s="6">
        <f t="shared" si="17"/>
        <v>2004</v>
      </c>
    </row>
    <row r="333" spans="1:14">
      <c r="A333" s="2" t="s">
        <v>56</v>
      </c>
      <c r="B333" s="3">
        <v>10325</v>
      </c>
      <c r="C333" s="3">
        <v>24</v>
      </c>
      <c r="D333" s="13">
        <v>100</v>
      </c>
      <c r="E333" s="5">
        <v>38296</v>
      </c>
      <c r="F333" s="2" t="s">
        <v>13</v>
      </c>
      <c r="G333" s="2" t="s">
        <v>72</v>
      </c>
      <c r="H333" s="3">
        <v>4</v>
      </c>
      <c r="I333" s="6">
        <v>2004</v>
      </c>
      <c r="J333" s="2" t="s">
        <v>15</v>
      </c>
      <c r="K333" s="2" t="s">
        <v>57</v>
      </c>
      <c r="L333" s="7">
        <f t="shared" si="15"/>
        <v>2400</v>
      </c>
      <c r="M333" s="2" t="str">
        <f t="shared" si="16"/>
        <v>November</v>
      </c>
      <c r="N333" s="6">
        <f t="shared" si="17"/>
        <v>2004</v>
      </c>
    </row>
    <row r="334" spans="1:14">
      <c r="A334" s="2" t="s">
        <v>152</v>
      </c>
      <c r="B334" s="3">
        <v>10336</v>
      </c>
      <c r="C334" s="3">
        <v>49</v>
      </c>
      <c r="D334" s="13">
        <v>63.38</v>
      </c>
      <c r="E334" s="5">
        <v>38311</v>
      </c>
      <c r="F334" s="2" t="s">
        <v>13</v>
      </c>
      <c r="G334" s="2" t="s">
        <v>72</v>
      </c>
      <c r="H334" s="3">
        <v>4</v>
      </c>
      <c r="I334" s="6">
        <v>2004</v>
      </c>
      <c r="J334" s="2" t="s">
        <v>22</v>
      </c>
      <c r="K334" s="2" t="s">
        <v>153</v>
      </c>
      <c r="L334" s="7">
        <f t="shared" si="15"/>
        <v>3105.62</v>
      </c>
      <c r="M334" s="2" t="str">
        <f t="shared" si="16"/>
        <v>November</v>
      </c>
      <c r="N334" s="6">
        <f t="shared" si="17"/>
        <v>2004</v>
      </c>
    </row>
    <row r="335" spans="1:14">
      <c r="A335" s="2" t="s">
        <v>177</v>
      </c>
      <c r="B335" s="3">
        <v>10349</v>
      </c>
      <c r="C335" s="3">
        <v>26</v>
      </c>
      <c r="D335" s="13">
        <v>100</v>
      </c>
      <c r="E335" s="5">
        <v>38322</v>
      </c>
      <c r="F335" s="2" t="s">
        <v>13</v>
      </c>
      <c r="G335" s="2" t="s">
        <v>72</v>
      </c>
      <c r="H335" s="3">
        <v>4</v>
      </c>
      <c r="I335" s="6">
        <v>2004</v>
      </c>
      <c r="J335" s="2" t="s">
        <v>22</v>
      </c>
      <c r="K335" s="2" t="s">
        <v>178</v>
      </c>
      <c r="L335" s="7">
        <f t="shared" si="15"/>
        <v>2600</v>
      </c>
      <c r="M335" s="2" t="str">
        <f t="shared" si="16"/>
        <v>December</v>
      </c>
      <c r="N335" s="6">
        <f t="shared" si="17"/>
        <v>2004</v>
      </c>
    </row>
    <row r="336" spans="1:14">
      <c r="A336" s="2" t="s">
        <v>18</v>
      </c>
      <c r="B336" s="3">
        <v>10359</v>
      </c>
      <c r="C336" s="3">
        <v>49</v>
      </c>
      <c r="D336" s="13">
        <v>62.09</v>
      </c>
      <c r="E336" s="5">
        <v>38336</v>
      </c>
      <c r="F336" s="2" t="s">
        <v>13</v>
      </c>
      <c r="G336" s="2" t="s">
        <v>72</v>
      </c>
      <c r="H336" s="3">
        <v>4</v>
      </c>
      <c r="I336" s="6">
        <v>2004</v>
      </c>
      <c r="J336" s="2" t="s">
        <v>22</v>
      </c>
      <c r="K336" s="2" t="s">
        <v>19</v>
      </c>
      <c r="L336" s="7">
        <f t="shared" si="15"/>
        <v>3042.41</v>
      </c>
      <c r="M336" s="2" t="str">
        <f t="shared" si="16"/>
        <v>December</v>
      </c>
      <c r="N336" s="6">
        <f t="shared" si="17"/>
        <v>2004</v>
      </c>
    </row>
    <row r="337" spans="1:14">
      <c r="A337" s="2" t="s">
        <v>95</v>
      </c>
      <c r="B337" s="3">
        <v>10372</v>
      </c>
      <c r="C337" s="3">
        <v>34</v>
      </c>
      <c r="D337" s="13">
        <v>100</v>
      </c>
      <c r="E337" s="5">
        <v>38378</v>
      </c>
      <c r="F337" s="2" t="s">
        <v>13</v>
      </c>
      <c r="G337" s="2" t="s">
        <v>72</v>
      </c>
      <c r="H337" s="3">
        <v>1</v>
      </c>
      <c r="I337" s="6">
        <v>2005</v>
      </c>
      <c r="J337" s="2" t="s">
        <v>22</v>
      </c>
      <c r="K337" s="2" t="s">
        <v>96</v>
      </c>
      <c r="L337" s="7">
        <f t="shared" si="15"/>
        <v>3400</v>
      </c>
      <c r="M337" s="2" t="str">
        <f t="shared" si="16"/>
        <v>January</v>
      </c>
      <c r="N337" s="6">
        <f t="shared" si="17"/>
        <v>2005</v>
      </c>
    </row>
    <row r="338" spans="1:14">
      <c r="A338" s="2" t="s">
        <v>103</v>
      </c>
      <c r="B338" s="3">
        <v>10382</v>
      </c>
      <c r="C338" s="3">
        <v>34</v>
      </c>
      <c r="D338" s="13">
        <v>95.35</v>
      </c>
      <c r="E338" s="5">
        <v>38400</v>
      </c>
      <c r="F338" s="2" t="s">
        <v>13</v>
      </c>
      <c r="G338" s="2" t="s">
        <v>72</v>
      </c>
      <c r="H338" s="3">
        <v>1</v>
      </c>
      <c r="I338" s="6">
        <v>2005</v>
      </c>
      <c r="J338" s="2" t="s">
        <v>22</v>
      </c>
      <c r="K338" s="2" t="s">
        <v>104</v>
      </c>
      <c r="L338" s="7">
        <f t="shared" si="15"/>
        <v>3241.9</v>
      </c>
      <c r="M338" s="2" t="str">
        <f t="shared" si="16"/>
        <v>February</v>
      </c>
      <c r="N338" s="6">
        <f t="shared" si="17"/>
        <v>2005</v>
      </c>
    </row>
    <row r="339" spans="1:14">
      <c r="A339" s="2" t="s">
        <v>103</v>
      </c>
      <c r="B339" s="3">
        <v>10396</v>
      </c>
      <c r="C339" s="3">
        <v>33</v>
      </c>
      <c r="D339" s="13">
        <v>100</v>
      </c>
      <c r="E339" s="5">
        <v>38434</v>
      </c>
      <c r="F339" s="2" t="s">
        <v>13</v>
      </c>
      <c r="G339" s="2" t="s">
        <v>72</v>
      </c>
      <c r="H339" s="3">
        <v>1</v>
      </c>
      <c r="I339" s="6">
        <v>2005</v>
      </c>
      <c r="J339" s="2" t="s">
        <v>22</v>
      </c>
      <c r="K339" s="2" t="s">
        <v>104</v>
      </c>
      <c r="L339" s="7">
        <f t="shared" si="15"/>
        <v>3300</v>
      </c>
      <c r="M339" s="2" t="str">
        <f t="shared" si="16"/>
        <v>March</v>
      </c>
      <c r="N339" s="6">
        <f t="shared" si="17"/>
        <v>2005</v>
      </c>
    </row>
    <row r="340" spans="1:14">
      <c r="A340" s="2" t="s">
        <v>48</v>
      </c>
      <c r="B340" s="3">
        <v>10413</v>
      </c>
      <c r="C340" s="3">
        <v>22</v>
      </c>
      <c r="D340" s="13">
        <v>100</v>
      </c>
      <c r="E340" s="5">
        <v>38477</v>
      </c>
      <c r="F340" s="2" t="s">
        <v>13</v>
      </c>
      <c r="G340" s="2" t="s">
        <v>72</v>
      </c>
      <c r="H340" s="3">
        <v>2</v>
      </c>
      <c r="I340" s="6">
        <v>2005</v>
      </c>
      <c r="J340" s="2" t="s">
        <v>22</v>
      </c>
      <c r="K340" s="2" t="s">
        <v>49</v>
      </c>
      <c r="L340" s="7">
        <f t="shared" si="15"/>
        <v>2200</v>
      </c>
      <c r="M340" s="2" t="str">
        <f t="shared" si="16"/>
        <v>May</v>
      </c>
      <c r="N340" s="6">
        <f t="shared" si="17"/>
        <v>2005</v>
      </c>
    </row>
    <row r="341" spans="1:14">
      <c r="A341" s="2" t="s">
        <v>161</v>
      </c>
      <c r="B341" s="3">
        <v>10108</v>
      </c>
      <c r="C341" s="3">
        <v>39</v>
      </c>
      <c r="D341" s="13">
        <v>89.38</v>
      </c>
      <c r="E341" s="5">
        <v>37683</v>
      </c>
      <c r="F341" s="2" t="s">
        <v>13</v>
      </c>
      <c r="G341" s="2" t="s">
        <v>72</v>
      </c>
      <c r="H341" s="3">
        <v>1</v>
      </c>
      <c r="I341" s="6">
        <v>2003</v>
      </c>
      <c r="J341" s="2" t="s">
        <v>22</v>
      </c>
      <c r="K341" s="2" t="s">
        <v>162</v>
      </c>
      <c r="L341" s="7">
        <f t="shared" si="15"/>
        <v>3485.82</v>
      </c>
      <c r="M341" s="2" t="str">
        <f t="shared" si="16"/>
        <v>March</v>
      </c>
      <c r="N341" s="6">
        <f t="shared" si="17"/>
        <v>2003</v>
      </c>
    </row>
    <row r="342" spans="1:14">
      <c r="A342" s="2" t="s">
        <v>163</v>
      </c>
      <c r="B342" s="3">
        <v>10122</v>
      </c>
      <c r="C342" s="3">
        <v>32</v>
      </c>
      <c r="D342" s="13">
        <v>63.84</v>
      </c>
      <c r="E342" s="5">
        <v>37749</v>
      </c>
      <c r="F342" s="2" t="s">
        <v>13</v>
      </c>
      <c r="G342" s="2" t="s">
        <v>72</v>
      </c>
      <c r="H342" s="3">
        <v>2</v>
      </c>
      <c r="I342" s="6">
        <v>2003</v>
      </c>
      <c r="J342" s="2" t="s">
        <v>15</v>
      </c>
      <c r="K342" s="2" t="s">
        <v>164</v>
      </c>
      <c r="L342" s="7">
        <f t="shared" si="15"/>
        <v>2042.88</v>
      </c>
      <c r="M342" s="2" t="str">
        <f t="shared" si="16"/>
        <v>May</v>
      </c>
      <c r="N342" s="6">
        <f t="shared" si="17"/>
        <v>2003</v>
      </c>
    </row>
    <row r="343" spans="1:14">
      <c r="A343" s="2" t="s">
        <v>103</v>
      </c>
      <c r="B343" s="3">
        <v>10135</v>
      </c>
      <c r="C343" s="3">
        <v>24</v>
      </c>
      <c r="D343" s="13">
        <v>75.01</v>
      </c>
      <c r="E343" s="5">
        <v>37804</v>
      </c>
      <c r="F343" s="2" t="s">
        <v>13</v>
      </c>
      <c r="G343" s="2" t="s">
        <v>72</v>
      </c>
      <c r="H343" s="3">
        <v>3</v>
      </c>
      <c r="I343" s="6">
        <v>2003</v>
      </c>
      <c r="J343" s="2" t="s">
        <v>15</v>
      </c>
      <c r="K343" s="2" t="s">
        <v>104</v>
      </c>
      <c r="L343" s="7">
        <f t="shared" si="15"/>
        <v>1800.24</v>
      </c>
      <c r="M343" s="2" t="str">
        <f t="shared" si="16"/>
        <v>July</v>
      </c>
      <c r="N343" s="6">
        <f t="shared" si="17"/>
        <v>2003</v>
      </c>
    </row>
    <row r="344" spans="1:14">
      <c r="A344" s="2" t="s">
        <v>107</v>
      </c>
      <c r="B344" s="3">
        <v>10147</v>
      </c>
      <c r="C344" s="3">
        <v>21</v>
      </c>
      <c r="D344" s="13">
        <v>63.84</v>
      </c>
      <c r="E344" s="5">
        <v>37869</v>
      </c>
      <c r="F344" s="2" t="s">
        <v>13</v>
      </c>
      <c r="G344" s="2" t="s">
        <v>72</v>
      </c>
      <c r="H344" s="3">
        <v>3</v>
      </c>
      <c r="I344" s="6">
        <v>2003</v>
      </c>
      <c r="J344" s="2" t="s">
        <v>15</v>
      </c>
      <c r="K344" s="2" t="s">
        <v>108</v>
      </c>
      <c r="L344" s="7">
        <f t="shared" si="15"/>
        <v>1340.64</v>
      </c>
      <c r="M344" s="2" t="str">
        <f t="shared" si="16"/>
        <v>September</v>
      </c>
      <c r="N344" s="6">
        <f t="shared" si="17"/>
        <v>2003</v>
      </c>
    </row>
    <row r="345" spans="1:14">
      <c r="A345" s="2" t="s">
        <v>28</v>
      </c>
      <c r="B345" s="3">
        <v>10159</v>
      </c>
      <c r="C345" s="3">
        <v>24</v>
      </c>
      <c r="D345" s="13">
        <v>73.42</v>
      </c>
      <c r="E345" s="5">
        <v>37904</v>
      </c>
      <c r="F345" s="2" t="s">
        <v>13</v>
      </c>
      <c r="G345" s="2" t="s">
        <v>72</v>
      </c>
      <c r="H345" s="3">
        <v>4</v>
      </c>
      <c r="I345" s="6">
        <v>2003</v>
      </c>
      <c r="J345" s="2" t="s">
        <v>15</v>
      </c>
      <c r="K345" s="2" t="s">
        <v>29</v>
      </c>
      <c r="L345" s="7">
        <f t="shared" si="15"/>
        <v>1762.08</v>
      </c>
      <c r="M345" s="2" t="str">
        <f t="shared" si="16"/>
        <v>October</v>
      </c>
      <c r="N345" s="6">
        <f t="shared" si="17"/>
        <v>2003</v>
      </c>
    </row>
    <row r="346" spans="1:14">
      <c r="A346" s="2" t="s">
        <v>109</v>
      </c>
      <c r="B346" s="3">
        <v>10169</v>
      </c>
      <c r="C346" s="3">
        <v>36</v>
      </c>
      <c r="D346" s="13">
        <v>63.84</v>
      </c>
      <c r="E346" s="5">
        <v>37929</v>
      </c>
      <c r="F346" s="2" t="s">
        <v>13</v>
      </c>
      <c r="G346" s="2" t="s">
        <v>72</v>
      </c>
      <c r="H346" s="3">
        <v>4</v>
      </c>
      <c r="I346" s="6">
        <v>2003</v>
      </c>
      <c r="J346" s="2" t="s">
        <v>15</v>
      </c>
      <c r="K346" s="2" t="s">
        <v>110</v>
      </c>
      <c r="L346" s="7">
        <f t="shared" si="15"/>
        <v>2298.24</v>
      </c>
      <c r="M346" s="2" t="str">
        <f t="shared" si="16"/>
        <v>November</v>
      </c>
      <c r="N346" s="6">
        <f t="shared" si="17"/>
        <v>2003</v>
      </c>
    </row>
    <row r="347" spans="1:14">
      <c r="A347" s="2" t="s">
        <v>36</v>
      </c>
      <c r="B347" s="3">
        <v>10181</v>
      </c>
      <c r="C347" s="3">
        <v>20</v>
      </c>
      <c r="D347" s="13">
        <v>81.4</v>
      </c>
      <c r="E347" s="5">
        <v>37937</v>
      </c>
      <c r="F347" s="2" t="s">
        <v>13</v>
      </c>
      <c r="G347" s="2" t="s">
        <v>72</v>
      </c>
      <c r="H347" s="3">
        <v>4</v>
      </c>
      <c r="I347" s="6">
        <v>2003</v>
      </c>
      <c r="J347" s="2" t="s">
        <v>15</v>
      </c>
      <c r="K347" s="2" t="s">
        <v>37</v>
      </c>
      <c r="L347" s="7">
        <f t="shared" si="15"/>
        <v>1628</v>
      </c>
      <c r="M347" s="2" t="str">
        <f t="shared" si="16"/>
        <v>November</v>
      </c>
      <c r="N347" s="6">
        <f t="shared" si="17"/>
        <v>2003</v>
      </c>
    </row>
    <row r="348" spans="1:14">
      <c r="A348" s="2" t="s">
        <v>165</v>
      </c>
      <c r="B348" s="3">
        <v>10191</v>
      </c>
      <c r="C348" s="3">
        <v>30</v>
      </c>
      <c r="D348" s="13">
        <v>64.64</v>
      </c>
      <c r="E348" s="5">
        <v>37945</v>
      </c>
      <c r="F348" s="2" t="s">
        <v>13</v>
      </c>
      <c r="G348" s="2" t="s">
        <v>72</v>
      </c>
      <c r="H348" s="3">
        <v>4</v>
      </c>
      <c r="I348" s="6">
        <v>2003</v>
      </c>
      <c r="J348" s="2" t="s">
        <v>15</v>
      </c>
      <c r="K348" s="2" t="s">
        <v>166</v>
      </c>
      <c r="L348" s="7">
        <f t="shared" si="15"/>
        <v>1939.2</v>
      </c>
      <c r="M348" s="2" t="str">
        <f t="shared" si="16"/>
        <v>November</v>
      </c>
      <c r="N348" s="6">
        <f t="shared" si="17"/>
        <v>2003</v>
      </c>
    </row>
    <row r="349" spans="1:14">
      <c r="A349" s="2" t="s">
        <v>69</v>
      </c>
      <c r="B349" s="3">
        <v>10203</v>
      </c>
      <c r="C349" s="3">
        <v>44</v>
      </c>
      <c r="D349" s="13">
        <v>82.99</v>
      </c>
      <c r="E349" s="5">
        <v>37957</v>
      </c>
      <c r="F349" s="2" t="s">
        <v>13</v>
      </c>
      <c r="G349" s="2" t="s">
        <v>72</v>
      </c>
      <c r="H349" s="3">
        <v>4</v>
      </c>
      <c r="I349" s="6">
        <v>2003</v>
      </c>
      <c r="J349" s="2" t="s">
        <v>22</v>
      </c>
      <c r="K349" s="2" t="s">
        <v>71</v>
      </c>
      <c r="L349" s="7">
        <f t="shared" si="15"/>
        <v>3651.56</v>
      </c>
      <c r="M349" s="2" t="str">
        <f t="shared" si="16"/>
        <v>December</v>
      </c>
      <c r="N349" s="6">
        <f t="shared" si="17"/>
        <v>2003</v>
      </c>
    </row>
    <row r="350" spans="1:14">
      <c r="A350" s="2" t="s">
        <v>40</v>
      </c>
      <c r="B350" s="3">
        <v>10211</v>
      </c>
      <c r="C350" s="3">
        <v>28</v>
      </c>
      <c r="D350" s="13">
        <v>92.57</v>
      </c>
      <c r="E350" s="5">
        <v>38001</v>
      </c>
      <c r="F350" s="2" t="s">
        <v>13</v>
      </c>
      <c r="G350" s="2" t="s">
        <v>72</v>
      </c>
      <c r="H350" s="3">
        <v>1</v>
      </c>
      <c r="I350" s="6">
        <v>2004</v>
      </c>
      <c r="J350" s="2" t="s">
        <v>15</v>
      </c>
      <c r="K350" s="2" t="s">
        <v>41</v>
      </c>
      <c r="L350" s="7">
        <f t="shared" si="15"/>
        <v>2591.96</v>
      </c>
      <c r="M350" s="2" t="str">
        <f t="shared" si="16"/>
        <v>January</v>
      </c>
      <c r="N350" s="6">
        <f t="shared" si="17"/>
        <v>2004</v>
      </c>
    </row>
    <row r="351" spans="1:14">
      <c r="A351" s="2" t="s">
        <v>167</v>
      </c>
      <c r="B351" s="3">
        <v>10225</v>
      </c>
      <c r="C351" s="3">
        <v>37</v>
      </c>
      <c r="D351" s="13">
        <v>77.41</v>
      </c>
      <c r="E351" s="5">
        <v>38039</v>
      </c>
      <c r="F351" s="2" t="s">
        <v>13</v>
      </c>
      <c r="G351" s="2" t="s">
        <v>72</v>
      </c>
      <c r="H351" s="3">
        <v>1</v>
      </c>
      <c r="I351" s="6">
        <v>2004</v>
      </c>
      <c r="J351" s="2" t="s">
        <v>15</v>
      </c>
      <c r="K351" s="2" t="s">
        <v>168</v>
      </c>
      <c r="L351" s="7">
        <f t="shared" si="15"/>
        <v>2864.17</v>
      </c>
      <c r="M351" s="2" t="str">
        <f t="shared" si="16"/>
        <v>February</v>
      </c>
      <c r="N351" s="6">
        <f t="shared" si="17"/>
        <v>2004</v>
      </c>
    </row>
    <row r="352" spans="1:14">
      <c r="A352" s="2" t="s">
        <v>122</v>
      </c>
      <c r="B352" s="3">
        <v>10238</v>
      </c>
      <c r="C352" s="3">
        <v>20</v>
      </c>
      <c r="D352" s="13">
        <v>74.21</v>
      </c>
      <c r="E352" s="5">
        <v>38086</v>
      </c>
      <c r="F352" s="2" t="s">
        <v>13</v>
      </c>
      <c r="G352" s="2" t="s">
        <v>72</v>
      </c>
      <c r="H352" s="3">
        <v>2</v>
      </c>
      <c r="I352" s="6">
        <v>2004</v>
      </c>
      <c r="J352" s="2" t="s">
        <v>15</v>
      </c>
      <c r="K352" s="2" t="s">
        <v>123</v>
      </c>
      <c r="L352" s="7">
        <f t="shared" si="15"/>
        <v>1484.2</v>
      </c>
      <c r="M352" s="2" t="str">
        <f t="shared" si="16"/>
        <v>April</v>
      </c>
      <c r="N352" s="6">
        <f t="shared" si="17"/>
        <v>2004</v>
      </c>
    </row>
    <row r="353" spans="1:14">
      <c r="A353" s="2" t="s">
        <v>67</v>
      </c>
      <c r="B353" s="3">
        <v>10253</v>
      </c>
      <c r="C353" s="3">
        <v>25</v>
      </c>
      <c r="D353" s="13">
        <v>90.17</v>
      </c>
      <c r="E353" s="5">
        <v>38139</v>
      </c>
      <c r="F353" s="2" t="s">
        <v>128</v>
      </c>
      <c r="G353" s="2" t="s">
        <v>72</v>
      </c>
      <c r="H353" s="3">
        <v>2</v>
      </c>
      <c r="I353" s="6">
        <v>2004</v>
      </c>
      <c r="J353" s="2" t="s">
        <v>15</v>
      </c>
      <c r="K353" s="2" t="s">
        <v>68</v>
      </c>
      <c r="L353" s="7">
        <f t="shared" si="15"/>
        <v>2254.25</v>
      </c>
      <c r="M353" s="2" t="str">
        <f t="shared" si="16"/>
        <v>June</v>
      </c>
      <c r="N353" s="6">
        <f t="shared" si="17"/>
        <v>2004</v>
      </c>
    </row>
    <row r="354" spans="1:14">
      <c r="A354" s="2" t="s">
        <v>169</v>
      </c>
      <c r="B354" s="3">
        <v>10266</v>
      </c>
      <c r="C354" s="3">
        <v>35</v>
      </c>
      <c r="D354" s="13">
        <v>76.61</v>
      </c>
      <c r="E354" s="5">
        <v>38174</v>
      </c>
      <c r="F354" s="2" t="s">
        <v>13</v>
      </c>
      <c r="G354" s="2" t="s">
        <v>72</v>
      </c>
      <c r="H354" s="3">
        <v>3</v>
      </c>
      <c r="I354" s="6">
        <v>2004</v>
      </c>
      <c r="J354" s="2" t="s">
        <v>15</v>
      </c>
      <c r="K354" s="2" t="s">
        <v>170</v>
      </c>
      <c r="L354" s="7">
        <f t="shared" si="15"/>
        <v>2681.35</v>
      </c>
      <c r="M354" s="2" t="str">
        <f t="shared" si="16"/>
        <v>July</v>
      </c>
      <c r="N354" s="6">
        <f t="shared" si="17"/>
        <v>2004</v>
      </c>
    </row>
    <row r="355" spans="1:14">
      <c r="A355" s="2" t="s">
        <v>171</v>
      </c>
      <c r="B355" s="3">
        <v>10276</v>
      </c>
      <c r="C355" s="3">
        <v>38</v>
      </c>
      <c r="D355" s="13">
        <v>83.79</v>
      </c>
      <c r="E355" s="5">
        <v>38201</v>
      </c>
      <c r="F355" s="2" t="s">
        <v>13</v>
      </c>
      <c r="G355" s="2" t="s">
        <v>72</v>
      </c>
      <c r="H355" s="3">
        <v>3</v>
      </c>
      <c r="I355" s="6">
        <v>2004</v>
      </c>
      <c r="J355" s="2" t="s">
        <v>22</v>
      </c>
      <c r="K355" s="2" t="s">
        <v>172</v>
      </c>
      <c r="L355" s="7">
        <f t="shared" si="15"/>
        <v>3184.02</v>
      </c>
      <c r="M355" s="2" t="str">
        <f t="shared" si="16"/>
        <v>August</v>
      </c>
      <c r="N355" s="6">
        <f t="shared" si="17"/>
        <v>2004</v>
      </c>
    </row>
    <row r="356" spans="1:14">
      <c r="A356" s="2" t="s">
        <v>167</v>
      </c>
      <c r="B356" s="3">
        <v>10287</v>
      </c>
      <c r="C356" s="3">
        <v>41</v>
      </c>
      <c r="D356" s="13">
        <v>69.43</v>
      </c>
      <c r="E356" s="5">
        <v>38229</v>
      </c>
      <c r="F356" s="2" t="s">
        <v>13</v>
      </c>
      <c r="G356" s="2" t="s">
        <v>72</v>
      </c>
      <c r="H356" s="3">
        <v>3</v>
      </c>
      <c r="I356" s="6">
        <v>2004</v>
      </c>
      <c r="J356" s="2" t="s">
        <v>15</v>
      </c>
      <c r="K356" s="2" t="s">
        <v>168</v>
      </c>
      <c r="L356" s="7">
        <f t="shared" si="15"/>
        <v>2846.63</v>
      </c>
      <c r="M356" s="2" t="str">
        <f t="shared" si="16"/>
        <v>August</v>
      </c>
      <c r="N356" s="6">
        <f t="shared" si="17"/>
        <v>2004</v>
      </c>
    </row>
    <row r="357" spans="1:14">
      <c r="A357" s="2" t="s">
        <v>173</v>
      </c>
      <c r="B357" s="3">
        <v>10300</v>
      </c>
      <c r="C357" s="3">
        <v>22</v>
      </c>
      <c r="D357" s="13">
        <v>76.61</v>
      </c>
      <c r="E357" s="5">
        <v>37898</v>
      </c>
      <c r="F357" s="2" t="s">
        <v>13</v>
      </c>
      <c r="G357" s="2" t="s">
        <v>72</v>
      </c>
      <c r="H357" s="3">
        <v>4</v>
      </c>
      <c r="I357" s="6">
        <v>2003</v>
      </c>
      <c r="J357" s="2" t="s">
        <v>15</v>
      </c>
      <c r="K357" s="2" t="s">
        <v>174</v>
      </c>
      <c r="L357" s="7">
        <f t="shared" si="15"/>
        <v>1685.42</v>
      </c>
      <c r="M357" s="2" t="str">
        <f t="shared" si="16"/>
        <v>October</v>
      </c>
      <c r="N357" s="6">
        <f t="shared" si="17"/>
        <v>2003</v>
      </c>
    </row>
    <row r="358" spans="1:14">
      <c r="A358" s="2" t="s">
        <v>165</v>
      </c>
      <c r="B358" s="3">
        <v>10310</v>
      </c>
      <c r="C358" s="3">
        <v>49</v>
      </c>
      <c r="D358" s="13">
        <v>81.4</v>
      </c>
      <c r="E358" s="5">
        <v>38276</v>
      </c>
      <c r="F358" s="2" t="s">
        <v>13</v>
      </c>
      <c r="G358" s="2" t="s">
        <v>72</v>
      </c>
      <c r="H358" s="3">
        <v>4</v>
      </c>
      <c r="I358" s="6">
        <v>2004</v>
      </c>
      <c r="J358" s="2" t="s">
        <v>22</v>
      </c>
      <c r="K358" s="2" t="s">
        <v>166</v>
      </c>
      <c r="L358" s="7">
        <f t="shared" si="15"/>
        <v>3988.6</v>
      </c>
      <c r="M358" s="2" t="str">
        <f t="shared" si="16"/>
        <v>October</v>
      </c>
      <c r="N358" s="6">
        <f t="shared" si="17"/>
        <v>2004</v>
      </c>
    </row>
    <row r="359" spans="1:14">
      <c r="A359" s="2" t="s">
        <v>73</v>
      </c>
      <c r="B359" s="3">
        <v>10320</v>
      </c>
      <c r="C359" s="3">
        <v>38</v>
      </c>
      <c r="D359" s="13">
        <v>73.42</v>
      </c>
      <c r="E359" s="5">
        <v>38294</v>
      </c>
      <c r="F359" s="2" t="s">
        <v>13</v>
      </c>
      <c r="G359" s="2" t="s">
        <v>72</v>
      </c>
      <c r="H359" s="3">
        <v>4</v>
      </c>
      <c r="I359" s="6">
        <v>2004</v>
      </c>
      <c r="J359" s="2" t="s">
        <v>15</v>
      </c>
      <c r="K359" s="2" t="s">
        <v>74</v>
      </c>
      <c r="L359" s="7">
        <f t="shared" si="15"/>
        <v>2789.96</v>
      </c>
      <c r="M359" s="2" t="str">
        <f t="shared" si="16"/>
        <v>November</v>
      </c>
      <c r="N359" s="6">
        <f t="shared" si="17"/>
        <v>2004</v>
      </c>
    </row>
    <row r="360" spans="1:14">
      <c r="A360" s="2" t="s">
        <v>12</v>
      </c>
      <c r="B360" s="3">
        <v>10329</v>
      </c>
      <c r="C360" s="3">
        <v>33</v>
      </c>
      <c r="D360" s="13">
        <v>100</v>
      </c>
      <c r="E360" s="5">
        <v>38306</v>
      </c>
      <c r="F360" s="2" t="s">
        <v>13</v>
      </c>
      <c r="G360" s="2" t="s">
        <v>72</v>
      </c>
      <c r="H360" s="3">
        <v>4</v>
      </c>
      <c r="I360" s="6">
        <v>2004</v>
      </c>
      <c r="J360" s="2" t="s">
        <v>22</v>
      </c>
      <c r="K360" s="2" t="s">
        <v>16</v>
      </c>
      <c r="L360" s="7">
        <f t="shared" si="15"/>
        <v>3300</v>
      </c>
      <c r="M360" s="2" t="str">
        <f t="shared" si="16"/>
        <v>November</v>
      </c>
      <c r="N360" s="6">
        <f t="shared" si="17"/>
        <v>2004</v>
      </c>
    </row>
    <row r="361" spans="1:14">
      <c r="A361" s="2" t="s">
        <v>60</v>
      </c>
      <c r="B361" s="3">
        <v>10341</v>
      </c>
      <c r="C361" s="3">
        <v>36</v>
      </c>
      <c r="D361" s="13">
        <v>93.56</v>
      </c>
      <c r="E361" s="5">
        <v>38315</v>
      </c>
      <c r="F361" s="2" t="s">
        <v>13</v>
      </c>
      <c r="G361" s="2" t="s">
        <v>72</v>
      </c>
      <c r="H361" s="3">
        <v>4</v>
      </c>
      <c r="I361" s="6">
        <v>2004</v>
      </c>
      <c r="J361" s="2" t="s">
        <v>22</v>
      </c>
      <c r="K361" s="2" t="s">
        <v>62</v>
      </c>
      <c r="L361" s="7">
        <f t="shared" si="15"/>
        <v>3368.16</v>
      </c>
      <c r="M361" s="2" t="str">
        <f t="shared" si="16"/>
        <v>November</v>
      </c>
      <c r="N361" s="6">
        <f t="shared" si="17"/>
        <v>2004</v>
      </c>
    </row>
    <row r="362" spans="1:14">
      <c r="A362" s="2" t="s">
        <v>175</v>
      </c>
      <c r="B362" s="3">
        <v>10363</v>
      </c>
      <c r="C362" s="3">
        <v>34</v>
      </c>
      <c r="D362" s="13">
        <v>81.62</v>
      </c>
      <c r="E362" s="5">
        <v>38358</v>
      </c>
      <c r="F362" s="2" t="s">
        <v>13</v>
      </c>
      <c r="G362" s="2" t="s">
        <v>72</v>
      </c>
      <c r="H362" s="3">
        <v>1</v>
      </c>
      <c r="I362" s="6">
        <v>2005</v>
      </c>
      <c r="J362" s="2" t="s">
        <v>15</v>
      </c>
      <c r="K362" s="2" t="s">
        <v>176</v>
      </c>
      <c r="L362" s="7">
        <f t="shared" si="15"/>
        <v>2775.08</v>
      </c>
      <c r="M362" s="2" t="str">
        <f t="shared" si="16"/>
        <v>January</v>
      </c>
      <c r="N362" s="6">
        <f t="shared" si="17"/>
        <v>2005</v>
      </c>
    </row>
    <row r="363" spans="1:14">
      <c r="A363" s="2" t="s">
        <v>54</v>
      </c>
      <c r="B363" s="3">
        <v>10377</v>
      </c>
      <c r="C363" s="3">
        <v>24</v>
      </c>
      <c r="D363" s="13">
        <v>67.83</v>
      </c>
      <c r="E363" s="5">
        <v>38392</v>
      </c>
      <c r="F363" s="2" t="s">
        <v>13</v>
      </c>
      <c r="G363" s="2" t="s">
        <v>72</v>
      </c>
      <c r="H363" s="3">
        <v>1</v>
      </c>
      <c r="I363" s="6">
        <v>2005</v>
      </c>
      <c r="J363" s="2" t="s">
        <v>15</v>
      </c>
      <c r="K363" s="2" t="s">
        <v>55</v>
      </c>
      <c r="L363" s="7">
        <f t="shared" si="15"/>
        <v>1627.92</v>
      </c>
      <c r="M363" s="2" t="str">
        <f t="shared" si="16"/>
        <v>February</v>
      </c>
      <c r="N363" s="6">
        <f t="shared" si="17"/>
        <v>2005</v>
      </c>
    </row>
    <row r="364" spans="1:14">
      <c r="A364" s="2" t="s">
        <v>99</v>
      </c>
      <c r="B364" s="3">
        <v>10389</v>
      </c>
      <c r="C364" s="3">
        <v>36</v>
      </c>
      <c r="D364" s="13">
        <v>70.26</v>
      </c>
      <c r="E364" s="5">
        <v>38414</v>
      </c>
      <c r="F364" s="2" t="s">
        <v>13</v>
      </c>
      <c r="G364" s="2" t="s">
        <v>72</v>
      </c>
      <c r="H364" s="3">
        <v>1</v>
      </c>
      <c r="I364" s="6">
        <v>2005</v>
      </c>
      <c r="J364" s="2" t="s">
        <v>15</v>
      </c>
      <c r="K364" s="2" t="s">
        <v>100</v>
      </c>
      <c r="L364" s="7">
        <f t="shared" si="15"/>
        <v>2529.36</v>
      </c>
      <c r="M364" s="2" t="str">
        <f t="shared" si="16"/>
        <v>March</v>
      </c>
      <c r="N364" s="6">
        <f t="shared" si="17"/>
        <v>2005</v>
      </c>
    </row>
    <row r="365" spans="1:14">
      <c r="A365" s="2" t="s">
        <v>60</v>
      </c>
      <c r="B365" s="3">
        <v>10419</v>
      </c>
      <c r="C365" s="3">
        <v>34</v>
      </c>
      <c r="D365" s="13">
        <v>90.17</v>
      </c>
      <c r="E365" s="5">
        <v>38489</v>
      </c>
      <c r="F365" s="2" t="s">
        <v>13</v>
      </c>
      <c r="G365" s="2" t="s">
        <v>72</v>
      </c>
      <c r="H365" s="3">
        <v>2</v>
      </c>
      <c r="I365" s="6">
        <v>2005</v>
      </c>
      <c r="J365" s="2" t="s">
        <v>22</v>
      </c>
      <c r="K365" s="2" t="s">
        <v>62</v>
      </c>
      <c r="L365" s="7">
        <f t="shared" si="15"/>
        <v>3065.78</v>
      </c>
      <c r="M365" s="2" t="str">
        <f t="shared" si="16"/>
        <v>May</v>
      </c>
      <c r="N365" s="6">
        <f t="shared" si="17"/>
        <v>2005</v>
      </c>
    </row>
    <row r="366" spans="1:14">
      <c r="A366" s="2" t="s">
        <v>69</v>
      </c>
      <c r="B366" s="3">
        <v>10104</v>
      </c>
      <c r="C366" s="3">
        <v>41</v>
      </c>
      <c r="D366" s="13">
        <v>100</v>
      </c>
      <c r="E366" s="5">
        <v>37652</v>
      </c>
      <c r="F366" s="2" t="s">
        <v>13</v>
      </c>
      <c r="G366" s="2" t="s">
        <v>187</v>
      </c>
      <c r="H366" s="3">
        <v>1</v>
      </c>
      <c r="I366" s="6">
        <v>2003</v>
      </c>
      <c r="J366" s="2" t="s">
        <v>22</v>
      </c>
      <c r="K366" s="2" t="s">
        <v>71</v>
      </c>
      <c r="L366" s="7">
        <f t="shared" si="15"/>
        <v>4100</v>
      </c>
      <c r="M366" s="2" t="str">
        <f t="shared" si="16"/>
        <v>January</v>
      </c>
      <c r="N366" s="6">
        <f t="shared" si="17"/>
        <v>2003</v>
      </c>
    </row>
    <row r="367" spans="1:14">
      <c r="A367" s="2" t="s">
        <v>79</v>
      </c>
      <c r="B367" s="3">
        <v>10115</v>
      </c>
      <c r="C367" s="3">
        <v>46</v>
      </c>
      <c r="D367" s="13">
        <v>100</v>
      </c>
      <c r="E367" s="5">
        <v>37715</v>
      </c>
      <c r="F367" s="2" t="s">
        <v>13</v>
      </c>
      <c r="G367" s="2" t="s">
        <v>187</v>
      </c>
      <c r="H367" s="3">
        <v>2</v>
      </c>
      <c r="I367" s="6">
        <v>2003</v>
      </c>
      <c r="J367" s="2" t="s">
        <v>22</v>
      </c>
      <c r="K367" s="2" t="s">
        <v>80</v>
      </c>
      <c r="L367" s="7">
        <f t="shared" si="15"/>
        <v>4600</v>
      </c>
      <c r="M367" s="2" t="str">
        <f t="shared" si="16"/>
        <v>April</v>
      </c>
      <c r="N367" s="6">
        <f t="shared" si="17"/>
        <v>2003</v>
      </c>
    </row>
    <row r="368" spans="1:14">
      <c r="A368" s="2" t="s">
        <v>177</v>
      </c>
      <c r="B368" s="3">
        <v>10127</v>
      </c>
      <c r="C368" s="3">
        <v>24</v>
      </c>
      <c r="D368" s="13">
        <v>100</v>
      </c>
      <c r="E368" s="5">
        <v>37775</v>
      </c>
      <c r="F368" s="2" t="s">
        <v>13</v>
      </c>
      <c r="G368" s="2" t="s">
        <v>187</v>
      </c>
      <c r="H368" s="3">
        <v>2</v>
      </c>
      <c r="I368" s="6">
        <v>2003</v>
      </c>
      <c r="J368" s="2" t="s">
        <v>15</v>
      </c>
      <c r="K368" s="2" t="s">
        <v>178</v>
      </c>
      <c r="L368" s="7">
        <f t="shared" si="15"/>
        <v>2400</v>
      </c>
      <c r="M368" s="2" t="str">
        <f t="shared" si="16"/>
        <v>June</v>
      </c>
      <c r="N368" s="6">
        <f t="shared" si="17"/>
        <v>2003</v>
      </c>
    </row>
    <row r="369" spans="1:14">
      <c r="A369" s="2" t="s">
        <v>175</v>
      </c>
      <c r="B369" s="3">
        <v>10141</v>
      </c>
      <c r="C369" s="3">
        <v>21</v>
      </c>
      <c r="D369" s="13">
        <v>100</v>
      </c>
      <c r="E369" s="5">
        <v>37834</v>
      </c>
      <c r="F369" s="2" t="s">
        <v>13</v>
      </c>
      <c r="G369" s="2" t="s">
        <v>187</v>
      </c>
      <c r="H369" s="3">
        <v>3</v>
      </c>
      <c r="I369" s="6">
        <v>2003</v>
      </c>
      <c r="J369" s="2" t="s">
        <v>15</v>
      </c>
      <c r="K369" s="2" t="s">
        <v>176</v>
      </c>
      <c r="L369" s="7">
        <f t="shared" si="15"/>
        <v>2100</v>
      </c>
      <c r="M369" s="2" t="str">
        <f t="shared" si="16"/>
        <v>August</v>
      </c>
      <c r="N369" s="6">
        <f t="shared" si="17"/>
        <v>2003</v>
      </c>
    </row>
    <row r="370" spans="1:14">
      <c r="A370" s="2" t="s">
        <v>147</v>
      </c>
      <c r="B370" s="3">
        <v>10151</v>
      </c>
      <c r="C370" s="3">
        <v>24</v>
      </c>
      <c r="D370" s="13">
        <v>100</v>
      </c>
      <c r="E370" s="5">
        <v>37885</v>
      </c>
      <c r="F370" s="2" t="s">
        <v>13</v>
      </c>
      <c r="G370" s="2" t="s">
        <v>187</v>
      </c>
      <c r="H370" s="3">
        <v>3</v>
      </c>
      <c r="I370" s="6">
        <v>2003</v>
      </c>
      <c r="J370" s="2" t="s">
        <v>22</v>
      </c>
      <c r="K370" s="2" t="s">
        <v>148</v>
      </c>
      <c r="L370" s="7">
        <f t="shared" si="15"/>
        <v>2400</v>
      </c>
      <c r="M370" s="2" t="str">
        <f t="shared" si="16"/>
        <v>September</v>
      </c>
      <c r="N370" s="6">
        <f t="shared" si="17"/>
        <v>2003</v>
      </c>
    </row>
    <row r="371" spans="1:14">
      <c r="A371" s="2" t="s">
        <v>77</v>
      </c>
      <c r="B371" s="3">
        <v>10165</v>
      </c>
      <c r="C371" s="3">
        <v>48</v>
      </c>
      <c r="D371" s="13">
        <v>100</v>
      </c>
      <c r="E371" s="5">
        <v>37916</v>
      </c>
      <c r="F371" s="2" t="s">
        <v>13</v>
      </c>
      <c r="G371" s="2" t="s">
        <v>187</v>
      </c>
      <c r="H371" s="3">
        <v>4</v>
      </c>
      <c r="I371" s="6">
        <v>2003</v>
      </c>
      <c r="J371" s="2" t="s">
        <v>22</v>
      </c>
      <c r="K371" s="2" t="s">
        <v>78</v>
      </c>
      <c r="L371" s="7">
        <f t="shared" si="15"/>
        <v>4800</v>
      </c>
      <c r="M371" s="2" t="str">
        <f t="shared" si="16"/>
        <v>October</v>
      </c>
      <c r="N371" s="6">
        <f t="shared" si="17"/>
        <v>2003</v>
      </c>
    </row>
    <row r="372" spans="1:14">
      <c r="A372" s="2" t="s">
        <v>124</v>
      </c>
      <c r="B372" s="3">
        <v>10175</v>
      </c>
      <c r="C372" s="3">
        <v>26</v>
      </c>
      <c r="D372" s="13">
        <v>100</v>
      </c>
      <c r="E372" s="5">
        <v>37931</v>
      </c>
      <c r="F372" s="2" t="s">
        <v>13</v>
      </c>
      <c r="G372" s="2" t="s">
        <v>187</v>
      </c>
      <c r="H372" s="3">
        <v>4</v>
      </c>
      <c r="I372" s="6">
        <v>2003</v>
      </c>
      <c r="J372" s="2" t="s">
        <v>22</v>
      </c>
      <c r="K372" s="2" t="s">
        <v>125</v>
      </c>
      <c r="L372" s="7">
        <f t="shared" si="15"/>
        <v>2600</v>
      </c>
      <c r="M372" s="2" t="str">
        <f t="shared" si="16"/>
        <v>November</v>
      </c>
      <c r="N372" s="6">
        <f t="shared" si="17"/>
        <v>2003</v>
      </c>
    </row>
    <row r="373" spans="1:14">
      <c r="A373" s="2" t="s">
        <v>192</v>
      </c>
      <c r="B373" s="3">
        <v>10184</v>
      </c>
      <c r="C373" s="3">
        <v>37</v>
      </c>
      <c r="D373" s="13">
        <v>100</v>
      </c>
      <c r="E373" s="5">
        <v>37939</v>
      </c>
      <c r="F373" s="2" t="s">
        <v>13</v>
      </c>
      <c r="G373" s="2" t="s">
        <v>187</v>
      </c>
      <c r="H373" s="3">
        <v>4</v>
      </c>
      <c r="I373" s="6">
        <v>2003</v>
      </c>
      <c r="J373" s="2" t="s">
        <v>22</v>
      </c>
      <c r="K373" s="2" t="s">
        <v>193</v>
      </c>
      <c r="L373" s="7">
        <f t="shared" si="15"/>
        <v>3700</v>
      </c>
      <c r="M373" s="2" t="str">
        <f t="shared" si="16"/>
        <v>November</v>
      </c>
      <c r="N373" s="6">
        <f t="shared" si="17"/>
        <v>2003</v>
      </c>
    </row>
    <row r="374" spans="1:14">
      <c r="A374" s="2" t="s">
        <v>120</v>
      </c>
      <c r="B374" s="3">
        <v>10195</v>
      </c>
      <c r="C374" s="3">
        <v>49</v>
      </c>
      <c r="D374" s="13">
        <v>100</v>
      </c>
      <c r="E374" s="5">
        <v>37950</v>
      </c>
      <c r="F374" s="2" t="s">
        <v>13</v>
      </c>
      <c r="G374" s="2" t="s">
        <v>187</v>
      </c>
      <c r="H374" s="3">
        <v>4</v>
      </c>
      <c r="I374" s="6">
        <v>2003</v>
      </c>
      <c r="J374" s="2" t="s">
        <v>22</v>
      </c>
      <c r="K374" s="2" t="s">
        <v>121</v>
      </c>
      <c r="L374" s="7">
        <f t="shared" si="15"/>
        <v>4900</v>
      </c>
      <c r="M374" s="2" t="str">
        <f t="shared" si="16"/>
        <v>November</v>
      </c>
      <c r="N374" s="6">
        <f t="shared" si="17"/>
        <v>2003</v>
      </c>
    </row>
    <row r="375" spans="1:14">
      <c r="A375" s="2" t="s">
        <v>157</v>
      </c>
      <c r="B375" s="3">
        <v>10207</v>
      </c>
      <c r="C375" s="3">
        <v>34</v>
      </c>
      <c r="D375" s="13">
        <v>99.54</v>
      </c>
      <c r="E375" s="5">
        <v>37964</v>
      </c>
      <c r="F375" s="2" t="s">
        <v>13</v>
      </c>
      <c r="G375" s="2" t="s">
        <v>187</v>
      </c>
      <c r="H375" s="3">
        <v>4</v>
      </c>
      <c r="I375" s="6">
        <v>2003</v>
      </c>
      <c r="J375" s="2" t="s">
        <v>22</v>
      </c>
      <c r="K375" s="2" t="s">
        <v>158</v>
      </c>
      <c r="L375" s="7">
        <f t="shared" si="15"/>
        <v>3384.36</v>
      </c>
      <c r="M375" s="2" t="str">
        <f t="shared" si="16"/>
        <v>December</v>
      </c>
      <c r="N375" s="6">
        <f t="shared" si="17"/>
        <v>2003</v>
      </c>
    </row>
    <row r="376" spans="1:14">
      <c r="A376" s="2" t="s">
        <v>194</v>
      </c>
      <c r="B376" s="3">
        <v>10219</v>
      </c>
      <c r="C376" s="3">
        <v>48</v>
      </c>
      <c r="D376" s="13">
        <v>100</v>
      </c>
      <c r="E376" s="5">
        <v>38027</v>
      </c>
      <c r="F376" s="2" t="s">
        <v>13</v>
      </c>
      <c r="G376" s="2" t="s">
        <v>187</v>
      </c>
      <c r="H376" s="3">
        <v>1</v>
      </c>
      <c r="I376" s="6">
        <v>2004</v>
      </c>
      <c r="J376" s="2" t="s">
        <v>22</v>
      </c>
      <c r="K376" s="2" t="s">
        <v>195</v>
      </c>
      <c r="L376" s="7">
        <f t="shared" si="15"/>
        <v>4800</v>
      </c>
      <c r="M376" s="2" t="str">
        <f t="shared" si="16"/>
        <v>February</v>
      </c>
      <c r="N376" s="6">
        <f t="shared" si="17"/>
        <v>2004</v>
      </c>
    </row>
    <row r="377" spans="1:14">
      <c r="A377" s="2" t="s">
        <v>103</v>
      </c>
      <c r="B377" s="3">
        <v>10229</v>
      </c>
      <c r="C377" s="3">
        <v>36</v>
      </c>
      <c r="D377" s="13">
        <v>100</v>
      </c>
      <c r="E377" s="5">
        <v>38057</v>
      </c>
      <c r="F377" s="2" t="s">
        <v>13</v>
      </c>
      <c r="G377" s="2" t="s">
        <v>187</v>
      </c>
      <c r="H377" s="3">
        <v>1</v>
      </c>
      <c r="I377" s="6">
        <v>2004</v>
      </c>
      <c r="J377" s="2" t="s">
        <v>22</v>
      </c>
      <c r="K377" s="2" t="s">
        <v>104</v>
      </c>
      <c r="L377" s="7">
        <f t="shared" si="15"/>
        <v>3600</v>
      </c>
      <c r="M377" s="2" t="str">
        <f t="shared" si="16"/>
        <v>March</v>
      </c>
      <c r="N377" s="6">
        <f t="shared" si="17"/>
        <v>2004</v>
      </c>
    </row>
    <row r="378" spans="1:14">
      <c r="A378" s="2" t="s">
        <v>69</v>
      </c>
      <c r="B378" s="3">
        <v>10246</v>
      </c>
      <c r="C378" s="3">
        <v>46</v>
      </c>
      <c r="D378" s="13">
        <v>100</v>
      </c>
      <c r="E378" s="5">
        <v>38112</v>
      </c>
      <c r="F378" s="2" t="s">
        <v>13</v>
      </c>
      <c r="G378" s="2" t="s">
        <v>187</v>
      </c>
      <c r="H378" s="3">
        <v>2</v>
      </c>
      <c r="I378" s="6">
        <v>2004</v>
      </c>
      <c r="J378" s="2" t="s">
        <v>22</v>
      </c>
      <c r="K378" s="2" t="s">
        <v>71</v>
      </c>
      <c r="L378" s="7">
        <f t="shared" si="15"/>
        <v>4600</v>
      </c>
      <c r="M378" s="2" t="str">
        <f t="shared" si="16"/>
        <v>May</v>
      </c>
      <c r="N378" s="6">
        <f t="shared" si="17"/>
        <v>2004</v>
      </c>
    </row>
    <row r="379" spans="1:14">
      <c r="A379" s="2" t="s">
        <v>159</v>
      </c>
      <c r="B379" s="3">
        <v>10259</v>
      </c>
      <c r="C379" s="3">
        <v>46</v>
      </c>
      <c r="D379" s="13">
        <v>100</v>
      </c>
      <c r="E379" s="5">
        <v>38153</v>
      </c>
      <c r="F379" s="2" t="s">
        <v>13</v>
      </c>
      <c r="G379" s="2" t="s">
        <v>187</v>
      </c>
      <c r="H379" s="3">
        <v>2</v>
      </c>
      <c r="I379" s="6">
        <v>2004</v>
      </c>
      <c r="J379" s="2" t="s">
        <v>22</v>
      </c>
      <c r="K379" s="2" t="s">
        <v>160</v>
      </c>
      <c r="L379" s="7">
        <f t="shared" si="15"/>
        <v>4600</v>
      </c>
      <c r="M379" s="2" t="str">
        <f t="shared" si="16"/>
        <v>June</v>
      </c>
      <c r="N379" s="6">
        <f t="shared" si="17"/>
        <v>2004</v>
      </c>
    </row>
    <row r="380" spans="1:14">
      <c r="A380" s="2" t="s">
        <v>103</v>
      </c>
      <c r="B380" s="3">
        <v>10271</v>
      </c>
      <c r="C380" s="3">
        <v>31</v>
      </c>
      <c r="D380" s="13">
        <v>97.17</v>
      </c>
      <c r="E380" s="5">
        <v>38188</v>
      </c>
      <c r="F380" s="2" t="s">
        <v>13</v>
      </c>
      <c r="G380" s="2" t="s">
        <v>187</v>
      </c>
      <c r="H380" s="3">
        <v>3</v>
      </c>
      <c r="I380" s="6">
        <v>2004</v>
      </c>
      <c r="J380" s="2" t="s">
        <v>22</v>
      </c>
      <c r="K380" s="2" t="s">
        <v>104</v>
      </c>
      <c r="L380" s="7">
        <f t="shared" si="15"/>
        <v>3012.27</v>
      </c>
      <c r="M380" s="2" t="str">
        <f t="shared" si="16"/>
        <v>July</v>
      </c>
      <c r="N380" s="6">
        <f t="shared" si="17"/>
        <v>2004</v>
      </c>
    </row>
    <row r="381" spans="1:14">
      <c r="A381" s="2" t="s">
        <v>58</v>
      </c>
      <c r="B381" s="3">
        <v>10281</v>
      </c>
      <c r="C381" s="3">
        <v>41</v>
      </c>
      <c r="D381" s="13">
        <v>100</v>
      </c>
      <c r="E381" s="5">
        <v>38218</v>
      </c>
      <c r="F381" s="2" t="s">
        <v>13</v>
      </c>
      <c r="G381" s="2" t="s">
        <v>187</v>
      </c>
      <c r="H381" s="3">
        <v>3</v>
      </c>
      <c r="I381" s="6">
        <v>2004</v>
      </c>
      <c r="J381" s="2" t="s">
        <v>22</v>
      </c>
      <c r="K381" s="2" t="s">
        <v>59</v>
      </c>
      <c r="L381" s="7">
        <f t="shared" si="15"/>
        <v>4100</v>
      </c>
      <c r="M381" s="2" t="str">
        <f t="shared" si="16"/>
        <v>August</v>
      </c>
      <c r="N381" s="6">
        <f t="shared" si="17"/>
        <v>2004</v>
      </c>
    </row>
    <row r="382" spans="1:14">
      <c r="A382" s="2" t="s">
        <v>12</v>
      </c>
      <c r="B382" s="3">
        <v>10292</v>
      </c>
      <c r="C382" s="3">
        <v>21</v>
      </c>
      <c r="D382" s="13">
        <v>100</v>
      </c>
      <c r="E382" s="5">
        <v>38238</v>
      </c>
      <c r="F382" s="2" t="s">
        <v>13</v>
      </c>
      <c r="G382" s="2" t="s">
        <v>187</v>
      </c>
      <c r="H382" s="3">
        <v>3</v>
      </c>
      <c r="I382" s="6">
        <v>2004</v>
      </c>
      <c r="J382" s="2" t="s">
        <v>15</v>
      </c>
      <c r="K382" s="2" t="s">
        <v>16</v>
      </c>
      <c r="L382" s="7">
        <f t="shared" si="15"/>
        <v>2100</v>
      </c>
      <c r="M382" s="2" t="str">
        <f t="shared" si="16"/>
        <v>September</v>
      </c>
      <c r="N382" s="6">
        <f t="shared" si="17"/>
        <v>2004</v>
      </c>
    </row>
    <row r="383" spans="1:14">
      <c r="A383" s="2" t="s">
        <v>52</v>
      </c>
      <c r="B383" s="3">
        <v>10305</v>
      </c>
      <c r="C383" s="3">
        <v>38</v>
      </c>
      <c r="D383" s="13">
        <v>100</v>
      </c>
      <c r="E383" s="5">
        <v>38273</v>
      </c>
      <c r="F383" s="2" t="s">
        <v>13</v>
      </c>
      <c r="G383" s="2" t="s">
        <v>187</v>
      </c>
      <c r="H383" s="3">
        <v>4</v>
      </c>
      <c r="I383" s="6">
        <v>2004</v>
      </c>
      <c r="J383" s="2" t="s">
        <v>22</v>
      </c>
      <c r="K383" s="2" t="s">
        <v>53</v>
      </c>
      <c r="L383" s="7">
        <f t="shared" si="15"/>
        <v>3800</v>
      </c>
      <c r="M383" s="2" t="str">
        <f t="shared" si="16"/>
        <v>October</v>
      </c>
      <c r="N383" s="6">
        <f t="shared" si="17"/>
        <v>2004</v>
      </c>
    </row>
    <row r="384" spans="1:14">
      <c r="A384" s="2" t="s">
        <v>185</v>
      </c>
      <c r="B384" s="3">
        <v>10314</v>
      </c>
      <c r="C384" s="3">
        <v>45</v>
      </c>
      <c r="D384" s="13">
        <v>100</v>
      </c>
      <c r="E384" s="5">
        <v>38282</v>
      </c>
      <c r="F384" s="2" t="s">
        <v>13</v>
      </c>
      <c r="G384" s="2" t="s">
        <v>187</v>
      </c>
      <c r="H384" s="3">
        <v>4</v>
      </c>
      <c r="I384" s="6">
        <v>2004</v>
      </c>
      <c r="J384" s="2" t="s">
        <v>22</v>
      </c>
      <c r="K384" s="2" t="s">
        <v>186</v>
      </c>
      <c r="L384" s="7">
        <f t="shared" si="15"/>
        <v>4500</v>
      </c>
      <c r="M384" s="2" t="str">
        <f t="shared" si="16"/>
        <v>October</v>
      </c>
      <c r="N384" s="6">
        <f t="shared" si="17"/>
        <v>2004</v>
      </c>
    </row>
    <row r="385" spans="1:14">
      <c r="A385" s="2" t="s">
        <v>44</v>
      </c>
      <c r="B385" s="3">
        <v>10324</v>
      </c>
      <c r="C385" s="3">
        <v>26</v>
      </c>
      <c r="D385" s="13">
        <v>58.38</v>
      </c>
      <c r="E385" s="5">
        <v>38296</v>
      </c>
      <c r="F385" s="2" t="s">
        <v>13</v>
      </c>
      <c r="G385" s="2" t="s">
        <v>187</v>
      </c>
      <c r="H385" s="3">
        <v>4</v>
      </c>
      <c r="I385" s="6">
        <v>2004</v>
      </c>
      <c r="J385" s="2" t="s">
        <v>15</v>
      </c>
      <c r="K385" s="2" t="s">
        <v>45</v>
      </c>
      <c r="L385" s="7">
        <f t="shared" si="15"/>
        <v>1517.88</v>
      </c>
      <c r="M385" s="2" t="str">
        <f t="shared" si="16"/>
        <v>November</v>
      </c>
      <c r="N385" s="6">
        <f t="shared" si="17"/>
        <v>2004</v>
      </c>
    </row>
    <row r="386" spans="1:14">
      <c r="A386" s="2" t="s">
        <v>152</v>
      </c>
      <c r="B386" s="3">
        <v>10336</v>
      </c>
      <c r="C386" s="3">
        <v>38</v>
      </c>
      <c r="D386" s="13">
        <v>100</v>
      </c>
      <c r="E386" s="5">
        <v>38311</v>
      </c>
      <c r="F386" s="2" t="s">
        <v>13</v>
      </c>
      <c r="G386" s="2" t="s">
        <v>187</v>
      </c>
      <c r="H386" s="3">
        <v>4</v>
      </c>
      <c r="I386" s="6">
        <v>2004</v>
      </c>
      <c r="J386" s="2" t="s">
        <v>22</v>
      </c>
      <c r="K386" s="2" t="s">
        <v>153</v>
      </c>
      <c r="L386" s="7">
        <f t="shared" ref="L386:L449" si="18">PRODUCT(C386,D386)</f>
        <v>3800</v>
      </c>
      <c r="M386" s="2" t="str">
        <f t="shared" ref="M386:M449" si="19">TEXT(E386,"MMMM")</f>
        <v>November</v>
      </c>
      <c r="N386" s="6">
        <f t="shared" ref="N386:N449" si="20">YEAR(E386)</f>
        <v>2004</v>
      </c>
    </row>
    <row r="387" spans="1:14">
      <c r="A387" s="2" t="s">
        <v>177</v>
      </c>
      <c r="B387" s="3">
        <v>10349</v>
      </c>
      <c r="C387" s="3">
        <v>48</v>
      </c>
      <c r="D387" s="13">
        <v>100</v>
      </c>
      <c r="E387" s="5">
        <v>38322</v>
      </c>
      <c r="F387" s="2" t="s">
        <v>13</v>
      </c>
      <c r="G387" s="2" t="s">
        <v>187</v>
      </c>
      <c r="H387" s="3">
        <v>4</v>
      </c>
      <c r="I387" s="6">
        <v>2004</v>
      </c>
      <c r="J387" s="2" t="s">
        <v>22</v>
      </c>
      <c r="K387" s="2" t="s">
        <v>178</v>
      </c>
      <c r="L387" s="7">
        <f t="shared" si="18"/>
        <v>4800</v>
      </c>
      <c r="M387" s="2" t="str">
        <f t="shared" si="19"/>
        <v>December</v>
      </c>
      <c r="N387" s="6">
        <f t="shared" si="20"/>
        <v>2004</v>
      </c>
    </row>
    <row r="388" spans="1:14">
      <c r="A388" s="2" t="s">
        <v>69</v>
      </c>
      <c r="B388" s="3">
        <v>10358</v>
      </c>
      <c r="C388" s="3">
        <v>42</v>
      </c>
      <c r="D388" s="13">
        <v>64.16</v>
      </c>
      <c r="E388" s="5">
        <v>38331</v>
      </c>
      <c r="F388" s="2" t="s">
        <v>13</v>
      </c>
      <c r="G388" s="2" t="s">
        <v>187</v>
      </c>
      <c r="H388" s="3">
        <v>4</v>
      </c>
      <c r="I388" s="6">
        <v>2004</v>
      </c>
      <c r="J388" s="2" t="s">
        <v>15</v>
      </c>
      <c r="K388" s="2" t="s">
        <v>71</v>
      </c>
      <c r="L388" s="7">
        <f t="shared" si="18"/>
        <v>2694.72</v>
      </c>
      <c r="M388" s="2" t="str">
        <f t="shared" si="19"/>
        <v>December</v>
      </c>
      <c r="N388" s="6">
        <f t="shared" si="20"/>
        <v>2004</v>
      </c>
    </row>
    <row r="389" spans="1:14">
      <c r="A389" s="2" t="s">
        <v>103</v>
      </c>
      <c r="B389" s="3">
        <v>10371</v>
      </c>
      <c r="C389" s="3">
        <v>49</v>
      </c>
      <c r="D389" s="13">
        <v>35.71</v>
      </c>
      <c r="E389" s="5">
        <v>38375</v>
      </c>
      <c r="F389" s="2" t="s">
        <v>13</v>
      </c>
      <c r="G389" s="2" t="s">
        <v>187</v>
      </c>
      <c r="H389" s="3">
        <v>1</v>
      </c>
      <c r="I389" s="6">
        <v>2005</v>
      </c>
      <c r="J389" s="2" t="s">
        <v>15</v>
      </c>
      <c r="K389" s="2" t="s">
        <v>104</v>
      </c>
      <c r="L389" s="7">
        <f t="shared" si="18"/>
        <v>1749.79</v>
      </c>
      <c r="M389" s="2" t="str">
        <f t="shared" si="19"/>
        <v>January</v>
      </c>
      <c r="N389" s="6">
        <f t="shared" si="20"/>
        <v>2005</v>
      </c>
    </row>
    <row r="390" spans="1:14">
      <c r="A390" s="2" t="s">
        <v>103</v>
      </c>
      <c r="B390" s="3">
        <v>10382</v>
      </c>
      <c r="C390" s="3">
        <v>32</v>
      </c>
      <c r="D390" s="13">
        <v>66.58</v>
      </c>
      <c r="E390" s="5">
        <v>38400</v>
      </c>
      <c r="F390" s="2" t="s">
        <v>13</v>
      </c>
      <c r="G390" s="2" t="s">
        <v>187</v>
      </c>
      <c r="H390" s="3">
        <v>1</v>
      </c>
      <c r="I390" s="6">
        <v>2005</v>
      </c>
      <c r="J390" s="2" t="s">
        <v>15</v>
      </c>
      <c r="K390" s="2" t="s">
        <v>104</v>
      </c>
      <c r="L390" s="7">
        <f t="shared" si="18"/>
        <v>2130.56</v>
      </c>
      <c r="M390" s="2" t="str">
        <f t="shared" si="19"/>
        <v>February</v>
      </c>
      <c r="N390" s="6">
        <f t="shared" si="20"/>
        <v>2005</v>
      </c>
    </row>
    <row r="391" spans="1:14">
      <c r="A391" s="2" t="s">
        <v>69</v>
      </c>
      <c r="B391" s="3">
        <v>10412</v>
      </c>
      <c r="C391" s="3">
        <v>54</v>
      </c>
      <c r="D391" s="13">
        <v>100</v>
      </c>
      <c r="E391" s="5">
        <v>38475</v>
      </c>
      <c r="F391" s="2" t="s">
        <v>13</v>
      </c>
      <c r="G391" s="2" t="s">
        <v>187</v>
      </c>
      <c r="H391" s="3">
        <v>2</v>
      </c>
      <c r="I391" s="6">
        <v>2005</v>
      </c>
      <c r="J391" s="2" t="s">
        <v>22</v>
      </c>
      <c r="K391" s="2" t="s">
        <v>71</v>
      </c>
      <c r="L391" s="7">
        <f t="shared" si="18"/>
        <v>5400</v>
      </c>
      <c r="M391" s="2" t="str">
        <f t="shared" si="19"/>
        <v>May</v>
      </c>
      <c r="N391" s="6">
        <f t="shared" si="20"/>
        <v>2005</v>
      </c>
    </row>
    <row r="392" spans="1:14">
      <c r="A392" s="2" t="s">
        <v>50</v>
      </c>
      <c r="B392" s="3">
        <v>10425</v>
      </c>
      <c r="C392" s="3">
        <v>33</v>
      </c>
      <c r="D392" s="13">
        <v>100</v>
      </c>
      <c r="E392" s="5">
        <v>38503</v>
      </c>
      <c r="F392" s="2" t="s">
        <v>113</v>
      </c>
      <c r="G392" s="2" t="s">
        <v>187</v>
      </c>
      <c r="H392" s="3">
        <v>2</v>
      </c>
      <c r="I392" s="6">
        <v>2005</v>
      </c>
      <c r="J392" s="2" t="s">
        <v>22</v>
      </c>
      <c r="K392" s="2" t="s">
        <v>51</v>
      </c>
      <c r="L392" s="7">
        <f t="shared" si="18"/>
        <v>3300</v>
      </c>
      <c r="M392" s="2" t="str">
        <f t="shared" si="19"/>
        <v>May</v>
      </c>
      <c r="N392" s="6">
        <f t="shared" si="20"/>
        <v>2005</v>
      </c>
    </row>
    <row r="393" spans="1:14">
      <c r="A393" s="2" t="s">
        <v>161</v>
      </c>
      <c r="B393" s="3">
        <v>10108</v>
      </c>
      <c r="C393" s="3">
        <v>36</v>
      </c>
      <c r="D393" s="13">
        <v>100</v>
      </c>
      <c r="E393" s="5">
        <v>37683</v>
      </c>
      <c r="F393" s="2" t="s">
        <v>13</v>
      </c>
      <c r="G393" s="2" t="s">
        <v>72</v>
      </c>
      <c r="H393" s="3">
        <v>1</v>
      </c>
      <c r="I393" s="6">
        <v>2003</v>
      </c>
      <c r="J393" s="2" t="s">
        <v>22</v>
      </c>
      <c r="K393" s="2" t="s">
        <v>162</v>
      </c>
      <c r="L393" s="7">
        <f t="shared" si="18"/>
        <v>3600</v>
      </c>
      <c r="M393" s="2" t="str">
        <f t="shared" si="19"/>
        <v>March</v>
      </c>
      <c r="N393" s="6">
        <f t="shared" si="20"/>
        <v>2003</v>
      </c>
    </row>
    <row r="394" spans="1:14">
      <c r="A394" s="2" t="s">
        <v>163</v>
      </c>
      <c r="B394" s="3">
        <v>10122</v>
      </c>
      <c r="C394" s="3">
        <v>20</v>
      </c>
      <c r="D394" s="13">
        <v>100</v>
      </c>
      <c r="E394" s="5">
        <v>37749</v>
      </c>
      <c r="F394" s="2" t="s">
        <v>13</v>
      </c>
      <c r="G394" s="2" t="s">
        <v>72</v>
      </c>
      <c r="H394" s="3">
        <v>2</v>
      </c>
      <c r="I394" s="6">
        <v>2003</v>
      </c>
      <c r="J394" s="2" t="s">
        <v>15</v>
      </c>
      <c r="K394" s="2" t="s">
        <v>164</v>
      </c>
      <c r="L394" s="7">
        <f t="shared" si="18"/>
        <v>2000</v>
      </c>
      <c r="M394" s="2" t="str">
        <f t="shared" si="19"/>
        <v>May</v>
      </c>
      <c r="N394" s="6">
        <f t="shared" si="20"/>
        <v>2003</v>
      </c>
    </row>
    <row r="395" spans="1:14">
      <c r="A395" s="2" t="s">
        <v>103</v>
      </c>
      <c r="B395" s="3">
        <v>10135</v>
      </c>
      <c r="C395" s="3">
        <v>29</v>
      </c>
      <c r="D395" s="13">
        <v>97.89</v>
      </c>
      <c r="E395" s="5">
        <v>37804</v>
      </c>
      <c r="F395" s="2" t="s">
        <v>13</v>
      </c>
      <c r="G395" s="2" t="s">
        <v>72</v>
      </c>
      <c r="H395" s="3">
        <v>3</v>
      </c>
      <c r="I395" s="6">
        <v>2003</v>
      </c>
      <c r="J395" s="2" t="s">
        <v>15</v>
      </c>
      <c r="K395" s="2" t="s">
        <v>104</v>
      </c>
      <c r="L395" s="7">
        <f t="shared" si="18"/>
        <v>2838.81</v>
      </c>
      <c r="M395" s="2" t="str">
        <f t="shared" si="19"/>
        <v>July</v>
      </c>
      <c r="N395" s="6">
        <f t="shared" si="20"/>
        <v>2003</v>
      </c>
    </row>
    <row r="396" spans="1:14">
      <c r="A396" s="2" t="s">
        <v>107</v>
      </c>
      <c r="B396" s="3">
        <v>10147</v>
      </c>
      <c r="C396" s="3">
        <v>33</v>
      </c>
      <c r="D396" s="13">
        <v>97.89</v>
      </c>
      <c r="E396" s="5">
        <v>37869</v>
      </c>
      <c r="F396" s="2" t="s">
        <v>13</v>
      </c>
      <c r="G396" s="2" t="s">
        <v>72</v>
      </c>
      <c r="H396" s="3">
        <v>3</v>
      </c>
      <c r="I396" s="6">
        <v>2003</v>
      </c>
      <c r="J396" s="2" t="s">
        <v>22</v>
      </c>
      <c r="K396" s="2" t="s">
        <v>108</v>
      </c>
      <c r="L396" s="7">
        <f t="shared" si="18"/>
        <v>3230.37</v>
      </c>
      <c r="M396" s="2" t="str">
        <f t="shared" si="19"/>
        <v>September</v>
      </c>
      <c r="N396" s="6">
        <f t="shared" si="20"/>
        <v>2003</v>
      </c>
    </row>
    <row r="397" spans="1:14">
      <c r="A397" s="2" t="s">
        <v>135</v>
      </c>
      <c r="B397" s="3">
        <v>10160</v>
      </c>
      <c r="C397" s="3">
        <v>50</v>
      </c>
      <c r="D397" s="13">
        <v>100</v>
      </c>
      <c r="E397" s="5">
        <v>37905</v>
      </c>
      <c r="F397" s="2" t="s">
        <v>13</v>
      </c>
      <c r="G397" s="2" t="s">
        <v>72</v>
      </c>
      <c r="H397" s="3">
        <v>4</v>
      </c>
      <c r="I397" s="6">
        <v>2003</v>
      </c>
      <c r="J397" s="2" t="s">
        <v>22</v>
      </c>
      <c r="K397" s="2" t="s">
        <v>136</v>
      </c>
      <c r="L397" s="7">
        <f t="shared" si="18"/>
        <v>5000</v>
      </c>
      <c r="M397" s="2" t="str">
        <f t="shared" si="19"/>
        <v>October</v>
      </c>
      <c r="N397" s="6">
        <f t="shared" si="20"/>
        <v>2003</v>
      </c>
    </row>
    <row r="398" spans="1:14">
      <c r="A398" s="2" t="s">
        <v>154</v>
      </c>
      <c r="B398" s="3">
        <v>10170</v>
      </c>
      <c r="C398" s="3">
        <v>41</v>
      </c>
      <c r="D398" s="13">
        <v>100</v>
      </c>
      <c r="E398" s="5">
        <v>37929</v>
      </c>
      <c r="F398" s="2" t="s">
        <v>13</v>
      </c>
      <c r="G398" s="2" t="s">
        <v>72</v>
      </c>
      <c r="H398" s="3">
        <v>4</v>
      </c>
      <c r="I398" s="6">
        <v>2003</v>
      </c>
      <c r="J398" s="2" t="s">
        <v>22</v>
      </c>
      <c r="K398" s="2" t="s">
        <v>156</v>
      </c>
      <c r="L398" s="7">
        <f t="shared" si="18"/>
        <v>4100</v>
      </c>
      <c r="M398" s="2" t="str">
        <f t="shared" si="19"/>
        <v>November</v>
      </c>
      <c r="N398" s="6">
        <f t="shared" si="20"/>
        <v>2003</v>
      </c>
    </row>
    <row r="399" spans="1:14">
      <c r="A399" s="2" t="s">
        <v>36</v>
      </c>
      <c r="B399" s="3">
        <v>10181</v>
      </c>
      <c r="C399" s="3">
        <v>36</v>
      </c>
      <c r="D399" s="13">
        <v>100</v>
      </c>
      <c r="E399" s="5">
        <v>37937</v>
      </c>
      <c r="F399" s="2" t="s">
        <v>13</v>
      </c>
      <c r="G399" s="2" t="s">
        <v>72</v>
      </c>
      <c r="H399" s="3">
        <v>4</v>
      </c>
      <c r="I399" s="6">
        <v>2003</v>
      </c>
      <c r="J399" s="2" t="s">
        <v>22</v>
      </c>
      <c r="K399" s="2" t="s">
        <v>37</v>
      </c>
      <c r="L399" s="7">
        <f t="shared" si="18"/>
        <v>3600</v>
      </c>
      <c r="M399" s="2" t="str">
        <f t="shared" si="19"/>
        <v>November</v>
      </c>
      <c r="N399" s="6">
        <f t="shared" si="20"/>
        <v>2003</v>
      </c>
    </row>
    <row r="400" spans="1:14">
      <c r="A400" s="2" t="s">
        <v>105</v>
      </c>
      <c r="B400" s="3">
        <v>10192</v>
      </c>
      <c r="C400" s="3">
        <v>27</v>
      </c>
      <c r="D400" s="13">
        <v>100</v>
      </c>
      <c r="E400" s="5">
        <v>37945</v>
      </c>
      <c r="F400" s="2" t="s">
        <v>13</v>
      </c>
      <c r="G400" s="2" t="s">
        <v>72</v>
      </c>
      <c r="H400" s="3">
        <v>4</v>
      </c>
      <c r="I400" s="6">
        <v>2003</v>
      </c>
      <c r="J400" s="2" t="s">
        <v>22</v>
      </c>
      <c r="K400" s="2" t="s">
        <v>106</v>
      </c>
      <c r="L400" s="7">
        <f t="shared" si="18"/>
        <v>2700</v>
      </c>
      <c r="M400" s="2" t="str">
        <f t="shared" si="19"/>
        <v>November</v>
      </c>
      <c r="N400" s="6">
        <f t="shared" si="20"/>
        <v>2003</v>
      </c>
    </row>
    <row r="401" spans="1:14">
      <c r="A401" s="2" t="s">
        <v>69</v>
      </c>
      <c r="B401" s="3">
        <v>10203</v>
      </c>
      <c r="C401" s="3">
        <v>47</v>
      </c>
      <c r="D401" s="13">
        <v>100</v>
      </c>
      <c r="E401" s="5">
        <v>37957</v>
      </c>
      <c r="F401" s="2" t="s">
        <v>13</v>
      </c>
      <c r="G401" s="2" t="s">
        <v>72</v>
      </c>
      <c r="H401" s="3">
        <v>4</v>
      </c>
      <c r="I401" s="6">
        <v>2003</v>
      </c>
      <c r="J401" s="2" t="s">
        <v>22</v>
      </c>
      <c r="K401" s="2" t="s">
        <v>71</v>
      </c>
      <c r="L401" s="7">
        <f t="shared" si="18"/>
        <v>4700</v>
      </c>
      <c r="M401" s="2" t="str">
        <f t="shared" si="19"/>
        <v>December</v>
      </c>
      <c r="N401" s="6">
        <f t="shared" si="20"/>
        <v>2003</v>
      </c>
    </row>
    <row r="402" spans="1:14">
      <c r="A402" s="2" t="s">
        <v>69</v>
      </c>
      <c r="B402" s="3">
        <v>10212</v>
      </c>
      <c r="C402" s="3">
        <v>33</v>
      </c>
      <c r="D402" s="13">
        <v>100</v>
      </c>
      <c r="E402" s="5">
        <v>38002</v>
      </c>
      <c r="F402" s="2" t="s">
        <v>13</v>
      </c>
      <c r="G402" s="2" t="s">
        <v>72</v>
      </c>
      <c r="H402" s="3">
        <v>1</v>
      </c>
      <c r="I402" s="6">
        <v>2004</v>
      </c>
      <c r="J402" s="2" t="s">
        <v>22</v>
      </c>
      <c r="K402" s="2" t="s">
        <v>71</v>
      </c>
      <c r="L402" s="7">
        <f t="shared" si="18"/>
        <v>3300</v>
      </c>
      <c r="M402" s="2" t="str">
        <f t="shared" si="19"/>
        <v>January</v>
      </c>
      <c r="N402" s="6">
        <f t="shared" si="20"/>
        <v>2004</v>
      </c>
    </row>
    <row r="403" spans="1:14">
      <c r="A403" s="2" t="s">
        <v>167</v>
      </c>
      <c r="B403" s="3">
        <v>10225</v>
      </c>
      <c r="C403" s="3">
        <v>21</v>
      </c>
      <c r="D403" s="13">
        <v>100</v>
      </c>
      <c r="E403" s="5">
        <v>38039</v>
      </c>
      <c r="F403" s="2" t="s">
        <v>13</v>
      </c>
      <c r="G403" s="2" t="s">
        <v>72</v>
      </c>
      <c r="H403" s="3">
        <v>1</v>
      </c>
      <c r="I403" s="6">
        <v>2004</v>
      </c>
      <c r="J403" s="2" t="s">
        <v>15</v>
      </c>
      <c r="K403" s="2" t="s">
        <v>168</v>
      </c>
      <c r="L403" s="7">
        <f t="shared" si="18"/>
        <v>2100</v>
      </c>
      <c r="M403" s="2" t="str">
        <f t="shared" si="19"/>
        <v>February</v>
      </c>
      <c r="N403" s="6">
        <f t="shared" si="20"/>
        <v>2004</v>
      </c>
    </row>
    <row r="404" spans="1:14">
      <c r="A404" s="2" t="s">
        <v>147</v>
      </c>
      <c r="B404" s="3">
        <v>10239</v>
      </c>
      <c r="C404" s="3">
        <v>21</v>
      </c>
      <c r="D404" s="13">
        <v>93.28</v>
      </c>
      <c r="E404" s="5">
        <v>38089</v>
      </c>
      <c r="F404" s="2" t="s">
        <v>13</v>
      </c>
      <c r="G404" s="2" t="s">
        <v>72</v>
      </c>
      <c r="H404" s="3">
        <v>2</v>
      </c>
      <c r="I404" s="6">
        <v>2004</v>
      </c>
      <c r="J404" s="2" t="s">
        <v>15</v>
      </c>
      <c r="K404" s="2" t="s">
        <v>148</v>
      </c>
      <c r="L404" s="7">
        <f t="shared" si="18"/>
        <v>1958.88</v>
      </c>
      <c r="M404" s="2" t="str">
        <f t="shared" si="19"/>
        <v>April</v>
      </c>
      <c r="N404" s="6">
        <f t="shared" si="20"/>
        <v>2004</v>
      </c>
    </row>
    <row r="405" spans="1:14">
      <c r="A405" s="2" t="s">
        <v>67</v>
      </c>
      <c r="B405" s="3">
        <v>10253</v>
      </c>
      <c r="C405" s="3">
        <v>41</v>
      </c>
      <c r="D405" s="13">
        <v>100</v>
      </c>
      <c r="E405" s="5">
        <v>38139</v>
      </c>
      <c r="F405" s="2" t="s">
        <v>128</v>
      </c>
      <c r="G405" s="2" t="s">
        <v>72</v>
      </c>
      <c r="H405" s="3">
        <v>2</v>
      </c>
      <c r="I405" s="6">
        <v>2004</v>
      </c>
      <c r="J405" s="2" t="s">
        <v>22</v>
      </c>
      <c r="K405" s="2" t="s">
        <v>68</v>
      </c>
      <c r="L405" s="7">
        <f t="shared" si="18"/>
        <v>4100</v>
      </c>
      <c r="M405" s="2" t="str">
        <f t="shared" si="19"/>
        <v>June</v>
      </c>
      <c r="N405" s="6">
        <f t="shared" si="20"/>
        <v>2004</v>
      </c>
    </row>
    <row r="406" spans="1:14">
      <c r="A406" s="2" t="s">
        <v>169</v>
      </c>
      <c r="B406" s="3">
        <v>10266</v>
      </c>
      <c r="C406" s="3">
        <v>40</v>
      </c>
      <c r="D406" s="13">
        <v>100</v>
      </c>
      <c r="E406" s="5">
        <v>38174</v>
      </c>
      <c r="F406" s="2" t="s">
        <v>13</v>
      </c>
      <c r="G406" s="2" t="s">
        <v>72</v>
      </c>
      <c r="H406" s="3">
        <v>3</v>
      </c>
      <c r="I406" s="6">
        <v>2004</v>
      </c>
      <c r="J406" s="2" t="s">
        <v>22</v>
      </c>
      <c r="K406" s="2" t="s">
        <v>170</v>
      </c>
      <c r="L406" s="7">
        <f t="shared" si="18"/>
        <v>4000</v>
      </c>
      <c r="M406" s="2" t="str">
        <f t="shared" si="19"/>
        <v>July</v>
      </c>
      <c r="N406" s="6">
        <f t="shared" si="20"/>
        <v>2004</v>
      </c>
    </row>
    <row r="407" spans="1:14">
      <c r="A407" s="2" t="s">
        <v>77</v>
      </c>
      <c r="B407" s="3">
        <v>10277</v>
      </c>
      <c r="C407" s="3">
        <v>28</v>
      </c>
      <c r="D407" s="13">
        <v>100</v>
      </c>
      <c r="E407" s="5">
        <v>38203</v>
      </c>
      <c r="F407" s="2" t="s">
        <v>13</v>
      </c>
      <c r="G407" s="2" t="s">
        <v>72</v>
      </c>
      <c r="H407" s="3">
        <v>3</v>
      </c>
      <c r="I407" s="6">
        <v>2004</v>
      </c>
      <c r="J407" s="2" t="s">
        <v>22</v>
      </c>
      <c r="K407" s="2" t="s">
        <v>78</v>
      </c>
      <c r="L407" s="7">
        <f t="shared" si="18"/>
        <v>2800</v>
      </c>
      <c r="M407" s="2" t="str">
        <f t="shared" si="19"/>
        <v>August</v>
      </c>
      <c r="N407" s="6">
        <f t="shared" si="20"/>
        <v>2004</v>
      </c>
    </row>
    <row r="408" spans="1:14">
      <c r="A408" s="2" t="s">
        <v>167</v>
      </c>
      <c r="B408" s="3">
        <v>10287</v>
      </c>
      <c r="C408" s="3">
        <v>23</v>
      </c>
      <c r="D408" s="13">
        <v>100</v>
      </c>
      <c r="E408" s="5">
        <v>38229</v>
      </c>
      <c r="F408" s="2" t="s">
        <v>13</v>
      </c>
      <c r="G408" s="2" t="s">
        <v>72</v>
      </c>
      <c r="H408" s="3">
        <v>3</v>
      </c>
      <c r="I408" s="6">
        <v>2004</v>
      </c>
      <c r="J408" s="2" t="s">
        <v>15</v>
      </c>
      <c r="K408" s="2" t="s">
        <v>168</v>
      </c>
      <c r="L408" s="7">
        <f t="shared" si="18"/>
        <v>2300</v>
      </c>
      <c r="M408" s="2" t="str">
        <f t="shared" si="19"/>
        <v>August</v>
      </c>
      <c r="N408" s="6">
        <f t="shared" si="20"/>
        <v>2004</v>
      </c>
    </row>
    <row r="409" spans="1:14">
      <c r="A409" s="2" t="s">
        <v>173</v>
      </c>
      <c r="B409" s="3">
        <v>10300</v>
      </c>
      <c r="C409" s="3">
        <v>23</v>
      </c>
      <c r="D409" s="13">
        <v>100</v>
      </c>
      <c r="E409" s="5">
        <v>37898</v>
      </c>
      <c r="F409" s="2" t="s">
        <v>13</v>
      </c>
      <c r="G409" s="2" t="s">
        <v>72</v>
      </c>
      <c r="H409" s="3">
        <v>4</v>
      </c>
      <c r="I409" s="6">
        <v>2003</v>
      </c>
      <c r="J409" s="2" t="s">
        <v>15</v>
      </c>
      <c r="K409" s="2" t="s">
        <v>174</v>
      </c>
      <c r="L409" s="7">
        <f t="shared" si="18"/>
        <v>2300</v>
      </c>
      <c r="M409" s="2" t="str">
        <f t="shared" si="19"/>
        <v>October</v>
      </c>
      <c r="N409" s="6">
        <f t="shared" si="20"/>
        <v>2003</v>
      </c>
    </row>
    <row r="410" spans="1:14">
      <c r="A410" s="2" t="s">
        <v>165</v>
      </c>
      <c r="B410" s="3">
        <v>10310</v>
      </c>
      <c r="C410" s="3">
        <v>25</v>
      </c>
      <c r="D410" s="13">
        <v>100</v>
      </c>
      <c r="E410" s="5">
        <v>38276</v>
      </c>
      <c r="F410" s="2" t="s">
        <v>13</v>
      </c>
      <c r="G410" s="2" t="s">
        <v>72</v>
      </c>
      <c r="H410" s="3">
        <v>4</v>
      </c>
      <c r="I410" s="6">
        <v>2004</v>
      </c>
      <c r="J410" s="2" t="s">
        <v>15</v>
      </c>
      <c r="K410" s="2" t="s">
        <v>166</v>
      </c>
      <c r="L410" s="7">
        <f t="shared" si="18"/>
        <v>2500</v>
      </c>
      <c r="M410" s="2" t="str">
        <f t="shared" si="19"/>
        <v>October</v>
      </c>
      <c r="N410" s="6">
        <f t="shared" si="20"/>
        <v>2004</v>
      </c>
    </row>
    <row r="411" spans="1:14">
      <c r="A411" s="2" t="s">
        <v>65</v>
      </c>
      <c r="B411" s="3">
        <v>10321</v>
      </c>
      <c r="C411" s="3">
        <v>24</v>
      </c>
      <c r="D411" s="13">
        <v>100</v>
      </c>
      <c r="E411" s="5">
        <v>38295</v>
      </c>
      <c r="F411" s="2" t="s">
        <v>13</v>
      </c>
      <c r="G411" s="2" t="s">
        <v>72</v>
      </c>
      <c r="H411" s="3">
        <v>4</v>
      </c>
      <c r="I411" s="6">
        <v>2004</v>
      </c>
      <c r="J411" s="2" t="s">
        <v>15</v>
      </c>
      <c r="K411" s="2" t="s">
        <v>66</v>
      </c>
      <c r="L411" s="7">
        <f t="shared" si="18"/>
        <v>2400</v>
      </c>
      <c r="M411" s="2" t="str">
        <f t="shared" si="19"/>
        <v>November</v>
      </c>
      <c r="N411" s="6">
        <f t="shared" si="20"/>
        <v>2004</v>
      </c>
    </row>
    <row r="412" spans="1:14">
      <c r="A412" s="2" t="s">
        <v>12</v>
      </c>
      <c r="B412" s="3">
        <v>10329</v>
      </c>
      <c r="C412" s="3">
        <v>39</v>
      </c>
      <c r="D412" s="13">
        <v>64.74</v>
      </c>
      <c r="E412" s="5">
        <v>38306</v>
      </c>
      <c r="F412" s="2" t="s">
        <v>13</v>
      </c>
      <c r="G412" s="2" t="s">
        <v>72</v>
      </c>
      <c r="H412" s="3">
        <v>4</v>
      </c>
      <c r="I412" s="6">
        <v>2004</v>
      </c>
      <c r="J412" s="2" t="s">
        <v>15</v>
      </c>
      <c r="K412" s="2" t="s">
        <v>16</v>
      </c>
      <c r="L412" s="7">
        <f t="shared" si="18"/>
        <v>2524.86</v>
      </c>
      <c r="M412" s="2" t="str">
        <f t="shared" si="19"/>
        <v>November</v>
      </c>
      <c r="N412" s="6">
        <f t="shared" si="20"/>
        <v>2004</v>
      </c>
    </row>
    <row r="413" spans="1:14">
      <c r="A413" s="2" t="s">
        <v>60</v>
      </c>
      <c r="B413" s="3">
        <v>10341</v>
      </c>
      <c r="C413" s="3">
        <v>55</v>
      </c>
      <c r="D413" s="13">
        <v>75.2</v>
      </c>
      <c r="E413" s="5">
        <v>38315</v>
      </c>
      <c r="F413" s="2" t="s">
        <v>13</v>
      </c>
      <c r="G413" s="2" t="s">
        <v>72</v>
      </c>
      <c r="H413" s="3">
        <v>4</v>
      </c>
      <c r="I413" s="6">
        <v>2004</v>
      </c>
      <c r="J413" s="2" t="s">
        <v>22</v>
      </c>
      <c r="K413" s="2" t="s">
        <v>62</v>
      </c>
      <c r="L413" s="7">
        <f t="shared" si="18"/>
        <v>4136</v>
      </c>
      <c r="M413" s="2" t="str">
        <f t="shared" si="19"/>
        <v>November</v>
      </c>
      <c r="N413" s="6">
        <f t="shared" si="20"/>
        <v>2004</v>
      </c>
    </row>
    <row r="414" spans="1:14">
      <c r="A414" s="2" t="s">
        <v>175</v>
      </c>
      <c r="B414" s="3">
        <v>10363</v>
      </c>
      <c r="C414" s="3">
        <v>46</v>
      </c>
      <c r="D414" s="13">
        <v>88.45</v>
      </c>
      <c r="E414" s="5">
        <v>38358</v>
      </c>
      <c r="F414" s="2" t="s">
        <v>13</v>
      </c>
      <c r="G414" s="2" t="s">
        <v>72</v>
      </c>
      <c r="H414" s="3">
        <v>1</v>
      </c>
      <c r="I414" s="6">
        <v>2005</v>
      </c>
      <c r="J414" s="2" t="s">
        <v>22</v>
      </c>
      <c r="K414" s="2" t="s">
        <v>176</v>
      </c>
      <c r="L414" s="7">
        <f t="shared" si="18"/>
        <v>4068.7</v>
      </c>
      <c r="M414" s="2" t="str">
        <f t="shared" si="19"/>
        <v>January</v>
      </c>
      <c r="N414" s="6">
        <f t="shared" si="20"/>
        <v>2005</v>
      </c>
    </row>
    <row r="415" spans="1:14">
      <c r="A415" s="2" t="s">
        <v>54</v>
      </c>
      <c r="B415" s="3">
        <v>10377</v>
      </c>
      <c r="C415" s="3">
        <v>50</v>
      </c>
      <c r="D415" s="13">
        <v>100</v>
      </c>
      <c r="E415" s="5">
        <v>38392</v>
      </c>
      <c r="F415" s="2" t="s">
        <v>13</v>
      </c>
      <c r="G415" s="2" t="s">
        <v>72</v>
      </c>
      <c r="H415" s="3">
        <v>1</v>
      </c>
      <c r="I415" s="6">
        <v>2005</v>
      </c>
      <c r="J415" s="2" t="s">
        <v>22</v>
      </c>
      <c r="K415" s="2" t="s">
        <v>55</v>
      </c>
      <c r="L415" s="7">
        <f t="shared" si="18"/>
        <v>5000</v>
      </c>
      <c r="M415" s="2" t="str">
        <f t="shared" si="19"/>
        <v>February</v>
      </c>
      <c r="N415" s="6">
        <f t="shared" si="20"/>
        <v>2005</v>
      </c>
    </row>
    <row r="416" spans="1:14">
      <c r="A416" s="2" t="s">
        <v>99</v>
      </c>
      <c r="B416" s="3">
        <v>10389</v>
      </c>
      <c r="C416" s="3">
        <v>47</v>
      </c>
      <c r="D416" s="13">
        <v>100</v>
      </c>
      <c r="E416" s="5">
        <v>38414</v>
      </c>
      <c r="F416" s="2" t="s">
        <v>13</v>
      </c>
      <c r="G416" s="2" t="s">
        <v>72</v>
      </c>
      <c r="H416" s="3">
        <v>1</v>
      </c>
      <c r="I416" s="6">
        <v>2005</v>
      </c>
      <c r="J416" s="2" t="s">
        <v>22</v>
      </c>
      <c r="K416" s="2" t="s">
        <v>100</v>
      </c>
      <c r="L416" s="7">
        <f t="shared" si="18"/>
        <v>4700</v>
      </c>
      <c r="M416" s="2" t="str">
        <f t="shared" si="19"/>
        <v>March</v>
      </c>
      <c r="N416" s="6">
        <f t="shared" si="20"/>
        <v>2005</v>
      </c>
    </row>
    <row r="417" spans="1:14">
      <c r="A417" s="2" t="s">
        <v>196</v>
      </c>
      <c r="B417" s="3">
        <v>10405</v>
      </c>
      <c r="C417" s="3">
        <v>97</v>
      </c>
      <c r="D417" s="13">
        <v>93.28</v>
      </c>
      <c r="E417" s="5">
        <v>38456</v>
      </c>
      <c r="F417" s="2" t="s">
        <v>13</v>
      </c>
      <c r="G417" s="2" t="s">
        <v>72</v>
      </c>
      <c r="H417" s="3">
        <v>2</v>
      </c>
      <c r="I417" s="6">
        <v>2005</v>
      </c>
      <c r="J417" s="2" t="s">
        <v>61</v>
      </c>
      <c r="K417" s="2" t="s">
        <v>197</v>
      </c>
      <c r="L417" s="7">
        <f t="shared" si="18"/>
        <v>9048.16</v>
      </c>
      <c r="M417" s="2" t="str">
        <f t="shared" si="19"/>
        <v>April</v>
      </c>
      <c r="N417" s="6">
        <f t="shared" si="20"/>
        <v>2005</v>
      </c>
    </row>
    <row r="418" spans="1:14">
      <c r="A418" s="2" t="s">
        <v>60</v>
      </c>
      <c r="B418" s="3">
        <v>10419</v>
      </c>
      <c r="C418" s="3">
        <v>32</v>
      </c>
      <c r="D418" s="13">
        <v>100</v>
      </c>
      <c r="E418" s="5">
        <v>38489</v>
      </c>
      <c r="F418" s="2" t="s">
        <v>13</v>
      </c>
      <c r="G418" s="2" t="s">
        <v>72</v>
      </c>
      <c r="H418" s="3">
        <v>2</v>
      </c>
      <c r="I418" s="6">
        <v>2005</v>
      </c>
      <c r="J418" s="2" t="s">
        <v>22</v>
      </c>
      <c r="K418" s="2" t="s">
        <v>62</v>
      </c>
      <c r="L418" s="7">
        <f t="shared" si="18"/>
        <v>3200</v>
      </c>
      <c r="M418" s="2" t="str">
        <f t="shared" si="19"/>
        <v>May</v>
      </c>
      <c r="N418" s="6">
        <f t="shared" si="20"/>
        <v>2005</v>
      </c>
    </row>
    <row r="419" spans="1:14">
      <c r="A419" s="2" t="s">
        <v>56</v>
      </c>
      <c r="B419" s="3">
        <v>10103</v>
      </c>
      <c r="C419" s="3">
        <v>35</v>
      </c>
      <c r="D419" s="13">
        <v>100</v>
      </c>
      <c r="E419" s="5">
        <v>37650</v>
      </c>
      <c r="F419" s="2" t="s">
        <v>13</v>
      </c>
      <c r="G419" s="2" t="s">
        <v>187</v>
      </c>
      <c r="H419" s="3">
        <v>1</v>
      </c>
      <c r="I419" s="6">
        <v>2003</v>
      </c>
      <c r="J419" s="2" t="s">
        <v>22</v>
      </c>
      <c r="K419" s="2" t="s">
        <v>57</v>
      </c>
      <c r="L419" s="7">
        <f t="shared" si="18"/>
        <v>3500</v>
      </c>
      <c r="M419" s="2" t="str">
        <f t="shared" si="19"/>
        <v>January</v>
      </c>
      <c r="N419" s="6">
        <f t="shared" si="20"/>
        <v>2003</v>
      </c>
    </row>
    <row r="420" spans="1:14">
      <c r="A420" s="2" t="s">
        <v>103</v>
      </c>
      <c r="B420" s="3">
        <v>10113</v>
      </c>
      <c r="C420" s="3">
        <v>49</v>
      </c>
      <c r="D420" s="13">
        <v>100</v>
      </c>
      <c r="E420" s="5">
        <v>37706</v>
      </c>
      <c r="F420" s="2" t="s">
        <v>13</v>
      </c>
      <c r="G420" s="2" t="s">
        <v>187</v>
      </c>
      <c r="H420" s="3">
        <v>1</v>
      </c>
      <c r="I420" s="6">
        <v>2003</v>
      </c>
      <c r="J420" s="2" t="s">
        <v>22</v>
      </c>
      <c r="K420" s="2" t="s">
        <v>104</v>
      </c>
      <c r="L420" s="7">
        <f t="shared" si="18"/>
        <v>4900</v>
      </c>
      <c r="M420" s="2" t="str">
        <f t="shared" si="19"/>
        <v>March</v>
      </c>
      <c r="N420" s="6">
        <f t="shared" si="20"/>
        <v>2003</v>
      </c>
    </row>
    <row r="421" spans="1:14">
      <c r="A421" s="2" t="s">
        <v>75</v>
      </c>
      <c r="B421" s="3">
        <v>10126</v>
      </c>
      <c r="C421" s="3">
        <v>38</v>
      </c>
      <c r="D421" s="13">
        <v>100</v>
      </c>
      <c r="E421" s="5">
        <v>37769</v>
      </c>
      <c r="F421" s="2" t="s">
        <v>13</v>
      </c>
      <c r="G421" s="2" t="s">
        <v>187</v>
      </c>
      <c r="H421" s="3">
        <v>2</v>
      </c>
      <c r="I421" s="6">
        <v>2003</v>
      </c>
      <c r="J421" s="2" t="s">
        <v>22</v>
      </c>
      <c r="K421" s="2" t="s">
        <v>76</v>
      </c>
      <c r="L421" s="7">
        <f t="shared" si="18"/>
        <v>3800</v>
      </c>
      <c r="M421" s="2" t="str">
        <f t="shared" si="19"/>
        <v>May</v>
      </c>
      <c r="N421" s="6">
        <f t="shared" si="20"/>
        <v>2003</v>
      </c>
    </row>
    <row r="422" spans="1:14">
      <c r="A422" s="2" t="s">
        <v>31</v>
      </c>
      <c r="B422" s="3">
        <v>10140</v>
      </c>
      <c r="C422" s="3">
        <v>32</v>
      </c>
      <c r="D422" s="13">
        <v>100</v>
      </c>
      <c r="E422" s="5">
        <v>37826</v>
      </c>
      <c r="F422" s="2" t="s">
        <v>13</v>
      </c>
      <c r="G422" s="2" t="s">
        <v>187</v>
      </c>
      <c r="H422" s="3">
        <v>3</v>
      </c>
      <c r="I422" s="6">
        <v>2003</v>
      </c>
      <c r="J422" s="2" t="s">
        <v>22</v>
      </c>
      <c r="K422" s="2" t="s">
        <v>32</v>
      </c>
      <c r="L422" s="7">
        <f t="shared" si="18"/>
        <v>3200</v>
      </c>
      <c r="M422" s="2" t="str">
        <f t="shared" si="19"/>
        <v>July</v>
      </c>
      <c r="N422" s="6">
        <f t="shared" si="20"/>
        <v>2003</v>
      </c>
    </row>
    <row r="423" spans="1:14">
      <c r="A423" s="2" t="s">
        <v>77</v>
      </c>
      <c r="B423" s="3">
        <v>10150</v>
      </c>
      <c r="C423" s="3">
        <v>34</v>
      </c>
      <c r="D423" s="13">
        <v>100</v>
      </c>
      <c r="E423" s="5">
        <v>37883</v>
      </c>
      <c r="F423" s="2" t="s">
        <v>13</v>
      </c>
      <c r="G423" s="2" t="s">
        <v>187</v>
      </c>
      <c r="H423" s="3">
        <v>3</v>
      </c>
      <c r="I423" s="6">
        <v>2003</v>
      </c>
      <c r="J423" s="2" t="s">
        <v>22</v>
      </c>
      <c r="K423" s="2" t="s">
        <v>78</v>
      </c>
      <c r="L423" s="7">
        <f t="shared" si="18"/>
        <v>3400</v>
      </c>
      <c r="M423" s="2" t="str">
        <f t="shared" si="19"/>
        <v>September</v>
      </c>
      <c r="N423" s="6">
        <f t="shared" si="20"/>
        <v>2003</v>
      </c>
    </row>
    <row r="424" spans="1:14">
      <c r="A424" s="2" t="s">
        <v>154</v>
      </c>
      <c r="B424" s="3">
        <v>10164</v>
      </c>
      <c r="C424" s="3">
        <v>36</v>
      </c>
      <c r="D424" s="13">
        <v>99.17</v>
      </c>
      <c r="E424" s="5">
        <v>37915</v>
      </c>
      <c r="F424" s="2" t="s">
        <v>155</v>
      </c>
      <c r="G424" s="2" t="s">
        <v>187</v>
      </c>
      <c r="H424" s="3">
        <v>4</v>
      </c>
      <c r="I424" s="6">
        <v>2003</v>
      </c>
      <c r="J424" s="2" t="s">
        <v>22</v>
      </c>
      <c r="K424" s="2" t="s">
        <v>156</v>
      </c>
      <c r="L424" s="7">
        <f t="shared" si="18"/>
        <v>3570.12</v>
      </c>
      <c r="M424" s="2" t="str">
        <f t="shared" si="19"/>
        <v>October</v>
      </c>
      <c r="N424" s="6">
        <f t="shared" si="20"/>
        <v>2003</v>
      </c>
    </row>
    <row r="425" spans="1:14">
      <c r="A425" s="2" t="s">
        <v>81</v>
      </c>
      <c r="B425" s="3">
        <v>10174</v>
      </c>
      <c r="C425" s="3">
        <v>48</v>
      </c>
      <c r="D425" s="13">
        <v>93.34</v>
      </c>
      <c r="E425" s="5">
        <v>37931</v>
      </c>
      <c r="F425" s="2" t="s">
        <v>13</v>
      </c>
      <c r="G425" s="2" t="s">
        <v>187</v>
      </c>
      <c r="H425" s="3">
        <v>4</v>
      </c>
      <c r="I425" s="6">
        <v>2003</v>
      </c>
      <c r="J425" s="2" t="s">
        <v>22</v>
      </c>
      <c r="K425" s="2" t="s">
        <v>82</v>
      </c>
      <c r="L425" s="7">
        <f t="shared" si="18"/>
        <v>4480.32</v>
      </c>
      <c r="M425" s="2" t="str">
        <f t="shared" si="19"/>
        <v>November</v>
      </c>
      <c r="N425" s="6">
        <f t="shared" si="20"/>
        <v>2003</v>
      </c>
    </row>
    <row r="426" spans="1:14">
      <c r="A426" s="2" t="s">
        <v>83</v>
      </c>
      <c r="B426" s="3">
        <v>10183</v>
      </c>
      <c r="C426" s="3">
        <v>21</v>
      </c>
      <c r="D426" s="13">
        <v>96.84</v>
      </c>
      <c r="E426" s="5">
        <v>37938</v>
      </c>
      <c r="F426" s="2" t="s">
        <v>13</v>
      </c>
      <c r="G426" s="2" t="s">
        <v>187</v>
      </c>
      <c r="H426" s="3">
        <v>4</v>
      </c>
      <c r="I426" s="6">
        <v>2003</v>
      </c>
      <c r="J426" s="2" t="s">
        <v>15</v>
      </c>
      <c r="K426" s="2" t="s">
        <v>84</v>
      </c>
      <c r="L426" s="7">
        <f t="shared" si="18"/>
        <v>2033.64</v>
      </c>
      <c r="M426" s="2" t="str">
        <f t="shared" si="19"/>
        <v>November</v>
      </c>
      <c r="N426" s="6">
        <f t="shared" si="20"/>
        <v>2003</v>
      </c>
    </row>
    <row r="427" spans="1:14">
      <c r="A427" s="2" t="s">
        <v>85</v>
      </c>
      <c r="B427" s="3">
        <v>10194</v>
      </c>
      <c r="C427" s="3">
        <v>21</v>
      </c>
      <c r="D427" s="13">
        <v>93.34</v>
      </c>
      <c r="E427" s="5">
        <v>37950</v>
      </c>
      <c r="F427" s="2" t="s">
        <v>13</v>
      </c>
      <c r="G427" s="2" t="s">
        <v>187</v>
      </c>
      <c r="H427" s="3">
        <v>4</v>
      </c>
      <c r="I427" s="6">
        <v>2003</v>
      </c>
      <c r="J427" s="2" t="s">
        <v>15</v>
      </c>
      <c r="K427" s="2" t="s">
        <v>86</v>
      </c>
      <c r="L427" s="7">
        <f t="shared" si="18"/>
        <v>1960.14</v>
      </c>
      <c r="M427" s="2" t="str">
        <f t="shared" si="19"/>
        <v>November</v>
      </c>
      <c r="N427" s="6">
        <f t="shared" si="20"/>
        <v>2003</v>
      </c>
    </row>
    <row r="428" spans="1:14">
      <c r="A428" s="2" t="s">
        <v>87</v>
      </c>
      <c r="B428" s="3">
        <v>10206</v>
      </c>
      <c r="C428" s="3">
        <v>34</v>
      </c>
      <c r="D428" s="13">
        <v>100</v>
      </c>
      <c r="E428" s="5">
        <v>37960</v>
      </c>
      <c r="F428" s="2" t="s">
        <v>13</v>
      </c>
      <c r="G428" s="2" t="s">
        <v>187</v>
      </c>
      <c r="H428" s="3">
        <v>4</v>
      </c>
      <c r="I428" s="6">
        <v>2003</v>
      </c>
      <c r="J428" s="2" t="s">
        <v>22</v>
      </c>
      <c r="K428" s="2" t="s">
        <v>88</v>
      </c>
      <c r="L428" s="7">
        <f t="shared" si="18"/>
        <v>3400</v>
      </c>
      <c r="M428" s="2" t="str">
        <f t="shared" si="19"/>
        <v>December</v>
      </c>
      <c r="N428" s="6">
        <f t="shared" si="20"/>
        <v>2003</v>
      </c>
    </row>
    <row r="429" spans="1:14">
      <c r="A429" s="2" t="s">
        <v>89</v>
      </c>
      <c r="B429" s="3">
        <v>10215</v>
      </c>
      <c r="C429" s="3">
        <v>46</v>
      </c>
      <c r="D429" s="13">
        <v>100</v>
      </c>
      <c r="E429" s="5">
        <v>38015</v>
      </c>
      <c r="F429" s="2" t="s">
        <v>13</v>
      </c>
      <c r="G429" s="2" t="s">
        <v>187</v>
      </c>
      <c r="H429" s="3">
        <v>1</v>
      </c>
      <c r="I429" s="6">
        <v>2004</v>
      </c>
      <c r="J429" s="2" t="s">
        <v>22</v>
      </c>
      <c r="K429" s="2" t="s">
        <v>90</v>
      </c>
      <c r="L429" s="7">
        <f t="shared" si="18"/>
        <v>4600</v>
      </c>
      <c r="M429" s="2" t="str">
        <f t="shared" si="19"/>
        <v>January</v>
      </c>
      <c r="N429" s="6">
        <f t="shared" si="20"/>
        <v>2004</v>
      </c>
    </row>
    <row r="430" spans="1:14">
      <c r="A430" s="2" t="s">
        <v>91</v>
      </c>
      <c r="B430" s="3">
        <v>10228</v>
      </c>
      <c r="C430" s="3">
        <v>32</v>
      </c>
      <c r="D430" s="13">
        <v>100</v>
      </c>
      <c r="E430" s="5">
        <v>38056</v>
      </c>
      <c r="F430" s="2" t="s">
        <v>13</v>
      </c>
      <c r="G430" s="2" t="s">
        <v>187</v>
      </c>
      <c r="H430" s="3">
        <v>1</v>
      </c>
      <c r="I430" s="6">
        <v>2004</v>
      </c>
      <c r="J430" s="2" t="s">
        <v>22</v>
      </c>
      <c r="K430" s="2" t="s">
        <v>92</v>
      </c>
      <c r="L430" s="7">
        <f t="shared" si="18"/>
        <v>3200</v>
      </c>
      <c r="M430" s="2" t="str">
        <f t="shared" si="19"/>
        <v>March</v>
      </c>
      <c r="N430" s="6">
        <f t="shared" si="20"/>
        <v>2004</v>
      </c>
    </row>
    <row r="431" spans="1:14">
      <c r="A431" s="2" t="s">
        <v>93</v>
      </c>
      <c r="B431" s="3">
        <v>10245</v>
      </c>
      <c r="C431" s="3">
        <v>29</v>
      </c>
      <c r="D431" s="13">
        <v>100</v>
      </c>
      <c r="E431" s="5">
        <v>38111</v>
      </c>
      <c r="F431" s="2" t="s">
        <v>13</v>
      </c>
      <c r="G431" s="2" t="s">
        <v>187</v>
      </c>
      <c r="H431" s="3">
        <v>2</v>
      </c>
      <c r="I431" s="6">
        <v>2004</v>
      </c>
      <c r="J431" s="2" t="s">
        <v>22</v>
      </c>
      <c r="K431" s="2" t="s">
        <v>94</v>
      </c>
      <c r="L431" s="7">
        <f t="shared" si="18"/>
        <v>2900</v>
      </c>
      <c r="M431" s="2" t="str">
        <f t="shared" si="19"/>
        <v>May</v>
      </c>
      <c r="N431" s="6">
        <f t="shared" si="20"/>
        <v>2004</v>
      </c>
    </row>
    <row r="432" spans="1:14">
      <c r="A432" s="2" t="s">
        <v>63</v>
      </c>
      <c r="B432" s="3">
        <v>10270</v>
      </c>
      <c r="C432" s="3">
        <v>43</v>
      </c>
      <c r="D432" s="13">
        <v>96.84</v>
      </c>
      <c r="E432" s="5">
        <v>38187</v>
      </c>
      <c r="F432" s="2" t="s">
        <v>13</v>
      </c>
      <c r="G432" s="2" t="s">
        <v>187</v>
      </c>
      <c r="H432" s="3">
        <v>3</v>
      </c>
      <c r="I432" s="6">
        <v>2004</v>
      </c>
      <c r="J432" s="2" t="s">
        <v>22</v>
      </c>
      <c r="K432" s="2" t="s">
        <v>64</v>
      </c>
      <c r="L432" s="7">
        <f t="shared" si="18"/>
        <v>4164.12</v>
      </c>
      <c r="M432" s="2" t="str">
        <f t="shared" si="19"/>
        <v>July</v>
      </c>
      <c r="N432" s="6">
        <f t="shared" si="20"/>
        <v>2004</v>
      </c>
    </row>
    <row r="433" spans="1:14">
      <c r="A433" s="2" t="s">
        <v>97</v>
      </c>
      <c r="B433" s="3">
        <v>10280</v>
      </c>
      <c r="C433" s="3">
        <v>24</v>
      </c>
      <c r="D433" s="13">
        <v>100</v>
      </c>
      <c r="E433" s="5">
        <v>38216</v>
      </c>
      <c r="F433" s="2" t="s">
        <v>13</v>
      </c>
      <c r="G433" s="2" t="s">
        <v>187</v>
      </c>
      <c r="H433" s="3">
        <v>3</v>
      </c>
      <c r="I433" s="6">
        <v>2004</v>
      </c>
      <c r="J433" s="2" t="s">
        <v>15</v>
      </c>
      <c r="K433" s="2" t="s">
        <v>98</v>
      </c>
      <c r="L433" s="7">
        <f t="shared" si="18"/>
        <v>2400</v>
      </c>
      <c r="M433" s="2" t="str">
        <f t="shared" si="19"/>
        <v>August</v>
      </c>
      <c r="N433" s="6">
        <f t="shared" si="20"/>
        <v>2004</v>
      </c>
    </row>
    <row r="434" spans="1:14">
      <c r="A434" s="2" t="s">
        <v>101</v>
      </c>
      <c r="B434" s="3">
        <v>10304</v>
      </c>
      <c r="C434" s="3">
        <v>46</v>
      </c>
      <c r="D434" s="13">
        <v>98</v>
      </c>
      <c r="E434" s="5">
        <v>38271</v>
      </c>
      <c r="F434" s="2" t="s">
        <v>13</v>
      </c>
      <c r="G434" s="2" t="s">
        <v>187</v>
      </c>
      <c r="H434" s="3">
        <v>4</v>
      </c>
      <c r="I434" s="6">
        <v>2004</v>
      </c>
      <c r="J434" s="2" t="s">
        <v>22</v>
      </c>
      <c r="K434" s="2" t="s">
        <v>102</v>
      </c>
      <c r="L434" s="7">
        <f t="shared" si="18"/>
        <v>4508</v>
      </c>
      <c r="M434" s="2" t="str">
        <f t="shared" si="19"/>
        <v>October</v>
      </c>
      <c r="N434" s="6">
        <f t="shared" si="20"/>
        <v>2004</v>
      </c>
    </row>
    <row r="435" spans="1:14">
      <c r="A435" s="2" t="s">
        <v>103</v>
      </c>
      <c r="B435" s="3">
        <v>10312</v>
      </c>
      <c r="C435" s="3">
        <v>32</v>
      </c>
      <c r="D435" s="13">
        <v>100</v>
      </c>
      <c r="E435" s="5">
        <v>38281</v>
      </c>
      <c r="F435" s="2" t="s">
        <v>13</v>
      </c>
      <c r="G435" s="2" t="s">
        <v>187</v>
      </c>
      <c r="H435" s="3">
        <v>4</v>
      </c>
      <c r="I435" s="6">
        <v>2004</v>
      </c>
      <c r="J435" s="2" t="s">
        <v>22</v>
      </c>
      <c r="K435" s="2" t="s">
        <v>104</v>
      </c>
      <c r="L435" s="7">
        <f t="shared" si="18"/>
        <v>3200</v>
      </c>
      <c r="M435" s="2" t="str">
        <f t="shared" si="19"/>
        <v>October</v>
      </c>
      <c r="N435" s="6">
        <f t="shared" si="20"/>
        <v>2004</v>
      </c>
    </row>
    <row r="436" spans="1:14">
      <c r="A436" s="2" t="s">
        <v>105</v>
      </c>
      <c r="B436" s="3">
        <v>10322</v>
      </c>
      <c r="C436" s="3">
        <v>22</v>
      </c>
      <c r="D436" s="13">
        <v>100</v>
      </c>
      <c r="E436" s="5">
        <v>38295</v>
      </c>
      <c r="F436" s="2" t="s">
        <v>13</v>
      </c>
      <c r="G436" s="2" t="s">
        <v>187</v>
      </c>
      <c r="H436" s="3">
        <v>4</v>
      </c>
      <c r="I436" s="6">
        <v>2004</v>
      </c>
      <c r="J436" s="2" t="s">
        <v>15</v>
      </c>
      <c r="K436" s="2" t="s">
        <v>106</v>
      </c>
      <c r="L436" s="7">
        <f t="shared" si="18"/>
        <v>2200</v>
      </c>
      <c r="M436" s="2" t="str">
        <f t="shared" si="19"/>
        <v>November</v>
      </c>
      <c r="N436" s="6">
        <f t="shared" si="20"/>
        <v>2004</v>
      </c>
    </row>
    <row r="437" spans="1:14">
      <c r="A437" s="2" t="s">
        <v>38</v>
      </c>
      <c r="B437" s="3">
        <v>10333</v>
      </c>
      <c r="C437" s="3">
        <v>29</v>
      </c>
      <c r="D437" s="13">
        <v>40.25</v>
      </c>
      <c r="E437" s="5">
        <v>38309</v>
      </c>
      <c r="F437" s="2" t="s">
        <v>13</v>
      </c>
      <c r="G437" s="2" t="s">
        <v>187</v>
      </c>
      <c r="H437" s="3">
        <v>4</v>
      </c>
      <c r="I437" s="6">
        <v>2004</v>
      </c>
      <c r="J437" s="2" t="s">
        <v>15</v>
      </c>
      <c r="K437" s="2" t="s">
        <v>39</v>
      </c>
      <c r="L437" s="7">
        <f t="shared" si="18"/>
        <v>1167.25</v>
      </c>
      <c r="M437" s="2" t="str">
        <f t="shared" si="19"/>
        <v>November</v>
      </c>
      <c r="N437" s="6">
        <f t="shared" si="20"/>
        <v>2004</v>
      </c>
    </row>
    <row r="438" spans="1:14">
      <c r="A438" s="2" t="s">
        <v>42</v>
      </c>
      <c r="B438" s="3">
        <v>10347</v>
      </c>
      <c r="C438" s="3">
        <v>42</v>
      </c>
      <c r="D438" s="13">
        <v>49.6</v>
      </c>
      <c r="E438" s="5">
        <v>38320</v>
      </c>
      <c r="F438" s="2" t="s">
        <v>13</v>
      </c>
      <c r="G438" s="2" t="s">
        <v>187</v>
      </c>
      <c r="H438" s="3">
        <v>4</v>
      </c>
      <c r="I438" s="6">
        <v>2004</v>
      </c>
      <c r="J438" s="2" t="s">
        <v>15</v>
      </c>
      <c r="K438" s="2" t="s">
        <v>43</v>
      </c>
      <c r="L438" s="7">
        <f t="shared" si="18"/>
        <v>2083.2</v>
      </c>
      <c r="M438" s="2" t="str">
        <f t="shared" si="19"/>
        <v>November</v>
      </c>
      <c r="N438" s="6">
        <f t="shared" si="20"/>
        <v>2004</v>
      </c>
    </row>
    <row r="439" spans="1:14">
      <c r="A439" s="2" t="s">
        <v>103</v>
      </c>
      <c r="B439" s="3">
        <v>10357</v>
      </c>
      <c r="C439" s="3">
        <v>39</v>
      </c>
      <c r="D439" s="13">
        <v>98</v>
      </c>
      <c r="E439" s="5">
        <v>38331</v>
      </c>
      <c r="F439" s="2" t="s">
        <v>13</v>
      </c>
      <c r="G439" s="2" t="s">
        <v>187</v>
      </c>
      <c r="H439" s="3">
        <v>4</v>
      </c>
      <c r="I439" s="6">
        <v>2004</v>
      </c>
      <c r="J439" s="2" t="s">
        <v>22</v>
      </c>
      <c r="K439" s="2" t="s">
        <v>104</v>
      </c>
      <c r="L439" s="7">
        <f t="shared" si="18"/>
        <v>3822</v>
      </c>
      <c r="M439" s="2" t="str">
        <f t="shared" si="19"/>
        <v>December</v>
      </c>
      <c r="N439" s="6">
        <f t="shared" si="20"/>
        <v>2004</v>
      </c>
    </row>
    <row r="440" spans="1:14">
      <c r="A440" s="2" t="s">
        <v>109</v>
      </c>
      <c r="B440" s="3">
        <v>10370</v>
      </c>
      <c r="C440" s="3">
        <v>27</v>
      </c>
      <c r="D440" s="13">
        <v>100</v>
      </c>
      <c r="E440" s="5">
        <v>38372</v>
      </c>
      <c r="F440" s="2" t="s">
        <v>13</v>
      </c>
      <c r="G440" s="2" t="s">
        <v>187</v>
      </c>
      <c r="H440" s="3">
        <v>1</v>
      </c>
      <c r="I440" s="6">
        <v>2005</v>
      </c>
      <c r="J440" s="2" t="s">
        <v>22</v>
      </c>
      <c r="K440" s="2" t="s">
        <v>110</v>
      </c>
      <c r="L440" s="7">
        <f t="shared" si="18"/>
        <v>2700</v>
      </c>
      <c r="M440" s="2" t="str">
        <f t="shared" si="19"/>
        <v>January</v>
      </c>
      <c r="N440" s="6">
        <f t="shared" si="20"/>
        <v>2005</v>
      </c>
    </row>
    <row r="441" spans="1:14">
      <c r="A441" s="2" t="s">
        <v>28</v>
      </c>
      <c r="B441" s="3">
        <v>10381</v>
      </c>
      <c r="C441" s="3">
        <v>48</v>
      </c>
      <c r="D441" s="13">
        <v>98</v>
      </c>
      <c r="E441" s="5">
        <v>38400</v>
      </c>
      <c r="F441" s="2" t="s">
        <v>13</v>
      </c>
      <c r="G441" s="2" t="s">
        <v>187</v>
      </c>
      <c r="H441" s="3">
        <v>1</v>
      </c>
      <c r="I441" s="6">
        <v>2005</v>
      </c>
      <c r="J441" s="2" t="s">
        <v>22</v>
      </c>
      <c r="K441" s="2" t="s">
        <v>29</v>
      </c>
      <c r="L441" s="7">
        <f t="shared" si="18"/>
        <v>4704</v>
      </c>
      <c r="M441" s="2" t="str">
        <f t="shared" si="19"/>
        <v>February</v>
      </c>
      <c r="N441" s="6">
        <f t="shared" si="20"/>
        <v>2005</v>
      </c>
    </row>
    <row r="442" spans="1:14">
      <c r="A442" s="2" t="s">
        <v>109</v>
      </c>
      <c r="B442" s="3">
        <v>10391</v>
      </c>
      <c r="C442" s="3">
        <v>29</v>
      </c>
      <c r="D442" s="13">
        <v>85.1</v>
      </c>
      <c r="E442" s="5">
        <v>38420</v>
      </c>
      <c r="F442" s="2" t="s">
        <v>13</v>
      </c>
      <c r="G442" s="2" t="s">
        <v>187</v>
      </c>
      <c r="H442" s="3">
        <v>1</v>
      </c>
      <c r="I442" s="6">
        <v>2005</v>
      </c>
      <c r="J442" s="2" t="s">
        <v>15</v>
      </c>
      <c r="K442" s="2" t="s">
        <v>110</v>
      </c>
      <c r="L442" s="7">
        <f t="shared" si="18"/>
        <v>2467.9</v>
      </c>
      <c r="M442" s="2" t="str">
        <f t="shared" si="19"/>
        <v>March</v>
      </c>
      <c r="N442" s="6">
        <f t="shared" si="20"/>
        <v>2005</v>
      </c>
    </row>
    <row r="443" spans="1:14">
      <c r="A443" s="2" t="s">
        <v>111</v>
      </c>
      <c r="B443" s="3">
        <v>10411</v>
      </c>
      <c r="C443" s="3">
        <v>27</v>
      </c>
      <c r="D443" s="13">
        <v>100</v>
      </c>
      <c r="E443" s="5">
        <v>38473</v>
      </c>
      <c r="F443" s="2" t="s">
        <v>13</v>
      </c>
      <c r="G443" s="2" t="s">
        <v>187</v>
      </c>
      <c r="H443" s="3">
        <v>2</v>
      </c>
      <c r="I443" s="6">
        <v>2005</v>
      </c>
      <c r="J443" s="2" t="s">
        <v>22</v>
      </c>
      <c r="K443" s="2" t="s">
        <v>112</v>
      </c>
      <c r="L443" s="7">
        <f t="shared" si="18"/>
        <v>2700</v>
      </c>
      <c r="M443" s="2" t="str">
        <f t="shared" si="19"/>
        <v>May</v>
      </c>
      <c r="N443" s="6">
        <f t="shared" si="20"/>
        <v>2005</v>
      </c>
    </row>
    <row r="444" spans="1:14">
      <c r="A444" s="2" t="s">
        <v>69</v>
      </c>
      <c r="B444" s="3">
        <v>10424</v>
      </c>
      <c r="C444" s="3">
        <v>54</v>
      </c>
      <c r="D444" s="13">
        <v>100</v>
      </c>
      <c r="E444" s="5">
        <v>38503</v>
      </c>
      <c r="F444" s="2" t="s">
        <v>113</v>
      </c>
      <c r="G444" s="2" t="s">
        <v>187</v>
      </c>
      <c r="H444" s="3">
        <v>2</v>
      </c>
      <c r="I444" s="6">
        <v>2005</v>
      </c>
      <c r="J444" s="2" t="s">
        <v>61</v>
      </c>
      <c r="K444" s="2" t="s">
        <v>71</v>
      </c>
      <c r="L444" s="7">
        <f t="shared" si="18"/>
        <v>5400</v>
      </c>
      <c r="M444" s="2" t="str">
        <f t="shared" si="19"/>
        <v>May</v>
      </c>
      <c r="N444" s="6">
        <f t="shared" si="20"/>
        <v>2005</v>
      </c>
    </row>
    <row r="445" spans="1:14">
      <c r="A445" s="2" t="s">
        <v>116</v>
      </c>
      <c r="B445" s="3">
        <v>10109</v>
      </c>
      <c r="C445" s="3">
        <v>26</v>
      </c>
      <c r="D445" s="13">
        <v>100</v>
      </c>
      <c r="E445" s="5">
        <v>37690</v>
      </c>
      <c r="F445" s="2" t="s">
        <v>13</v>
      </c>
      <c r="G445" s="2" t="s">
        <v>72</v>
      </c>
      <c r="H445" s="3">
        <v>1</v>
      </c>
      <c r="I445" s="6">
        <v>2003</v>
      </c>
      <c r="J445" s="2" t="s">
        <v>22</v>
      </c>
      <c r="K445" s="2" t="s">
        <v>117</v>
      </c>
      <c r="L445" s="7">
        <f t="shared" si="18"/>
        <v>2600</v>
      </c>
      <c r="M445" s="2" t="str">
        <f t="shared" si="19"/>
        <v>March</v>
      </c>
      <c r="N445" s="6">
        <f t="shared" si="20"/>
        <v>2003</v>
      </c>
    </row>
    <row r="446" spans="1:14">
      <c r="A446" s="2" t="s">
        <v>163</v>
      </c>
      <c r="B446" s="3">
        <v>10122</v>
      </c>
      <c r="C446" s="3">
        <v>34</v>
      </c>
      <c r="D446" s="13">
        <v>100</v>
      </c>
      <c r="E446" s="5">
        <v>37749</v>
      </c>
      <c r="F446" s="2" t="s">
        <v>13</v>
      </c>
      <c r="G446" s="2" t="s">
        <v>72</v>
      </c>
      <c r="H446" s="3">
        <v>2</v>
      </c>
      <c r="I446" s="6">
        <v>2003</v>
      </c>
      <c r="J446" s="2" t="s">
        <v>22</v>
      </c>
      <c r="K446" s="2" t="s">
        <v>164</v>
      </c>
      <c r="L446" s="7">
        <f t="shared" si="18"/>
        <v>3400</v>
      </c>
      <c r="M446" s="2" t="str">
        <f t="shared" si="19"/>
        <v>May</v>
      </c>
      <c r="N446" s="6">
        <f t="shared" si="20"/>
        <v>2003</v>
      </c>
    </row>
    <row r="447" spans="1:14">
      <c r="A447" s="2" t="s">
        <v>129</v>
      </c>
      <c r="B447" s="3">
        <v>10136</v>
      </c>
      <c r="C447" s="3">
        <v>25</v>
      </c>
      <c r="D447" s="13">
        <v>100</v>
      </c>
      <c r="E447" s="5">
        <v>37806</v>
      </c>
      <c r="F447" s="2" t="s">
        <v>13</v>
      </c>
      <c r="G447" s="2" t="s">
        <v>72</v>
      </c>
      <c r="H447" s="3">
        <v>3</v>
      </c>
      <c r="I447" s="6">
        <v>2003</v>
      </c>
      <c r="J447" s="2" t="s">
        <v>22</v>
      </c>
      <c r="K447" s="2" t="s">
        <v>130</v>
      </c>
      <c r="L447" s="7">
        <f t="shared" si="18"/>
        <v>2500</v>
      </c>
      <c r="M447" s="2" t="str">
        <f t="shared" si="19"/>
        <v>July</v>
      </c>
      <c r="N447" s="6">
        <f t="shared" si="20"/>
        <v>2003</v>
      </c>
    </row>
    <row r="448" spans="1:14">
      <c r="A448" s="2" t="s">
        <v>109</v>
      </c>
      <c r="B448" s="3">
        <v>10148</v>
      </c>
      <c r="C448" s="3">
        <v>23</v>
      </c>
      <c r="D448" s="13">
        <v>100</v>
      </c>
      <c r="E448" s="5">
        <v>37875</v>
      </c>
      <c r="F448" s="2" t="s">
        <v>13</v>
      </c>
      <c r="G448" s="2" t="s">
        <v>72</v>
      </c>
      <c r="H448" s="3">
        <v>3</v>
      </c>
      <c r="I448" s="6">
        <v>2003</v>
      </c>
      <c r="J448" s="2" t="s">
        <v>15</v>
      </c>
      <c r="K448" s="2" t="s">
        <v>110</v>
      </c>
      <c r="L448" s="7">
        <f t="shared" si="18"/>
        <v>2300</v>
      </c>
      <c r="M448" s="2" t="str">
        <f t="shared" si="19"/>
        <v>September</v>
      </c>
      <c r="N448" s="6">
        <f t="shared" si="20"/>
        <v>2003</v>
      </c>
    </row>
    <row r="449" spans="1:14">
      <c r="A449" s="2" t="s">
        <v>185</v>
      </c>
      <c r="B449" s="3">
        <v>10161</v>
      </c>
      <c r="C449" s="3">
        <v>28</v>
      </c>
      <c r="D449" s="13">
        <v>100</v>
      </c>
      <c r="E449" s="5">
        <v>37911</v>
      </c>
      <c r="F449" s="2" t="s">
        <v>13</v>
      </c>
      <c r="G449" s="2" t="s">
        <v>72</v>
      </c>
      <c r="H449" s="3">
        <v>4</v>
      </c>
      <c r="I449" s="6">
        <v>2003</v>
      </c>
      <c r="J449" s="2" t="s">
        <v>22</v>
      </c>
      <c r="K449" s="2" t="s">
        <v>186</v>
      </c>
      <c r="L449" s="7">
        <f t="shared" si="18"/>
        <v>2800</v>
      </c>
      <c r="M449" s="2" t="str">
        <f t="shared" si="19"/>
        <v>October</v>
      </c>
      <c r="N449" s="6">
        <f t="shared" si="20"/>
        <v>2003</v>
      </c>
    </row>
    <row r="450" spans="1:14">
      <c r="A450" s="2" t="s">
        <v>111</v>
      </c>
      <c r="B450" s="3">
        <v>10171</v>
      </c>
      <c r="C450" s="3">
        <v>35</v>
      </c>
      <c r="D450" s="13">
        <v>100</v>
      </c>
      <c r="E450" s="5">
        <v>37930</v>
      </c>
      <c r="F450" s="2" t="s">
        <v>13</v>
      </c>
      <c r="G450" s="2" t="s">
        <v>72</v>
      </c>
      <c r="H450" s="3">
        <v>4</v>
      </c>
      <c r="I450" s="6">
        <v>2003</v>
      </c>
      <c r="J450" s="2" t="s">
        <v>22</v>
      </c>
      <c r="K450" s="2" t="s">
        <v>112</v>
      </c>
      <c r="L450" s="7">
        <f t="shared" ref="L450:L513" si="21">PRODUCT(C450,D450)</f>
        <v>3500</v>
      </c>
      <c r="M450" s="2" t="str">
        <f t="shared" ref="M450:M513" si="22">TEXT(E450,"MMMM")</f>
        <v>November</v>
      </c>
      <c r="N450" s="6">
        <f t="shared" ref="N450:N513" si="23">YEAR(E450)</f>
        <v>2003</v>
      </c>
    </row>
    <row r="451" spans="1:14">
      <c r="A451" s="2" t="s">
        <v>36</v>
      </c>
      <c r="B451" s="3">
        <v>10181</v>
      </c>
      <c r="C451" s="3">
        <v>44</v>
      </c>
      <c r="D451" s="13">
        <v>100</v>
      </c>
      <c r="E451" s="5">
        <v>37937</v>
      </c>
      <c r="F451" s="2" t="s">
        <v>13</v>
      </c>
      <c r="G451" s="2" t="s">
        <v>72</v>
      </c>
      <c r="H451" s="3">
        <v>4</v>
      </c>
      <c r="I451" s="6">
        <v>2003</v>
      </c>
      <c r="J451" s="2" t="s">
        <v>22</v>
      </c>
      <c r="K451" s="2" t="s">
        <v>37</v>
      </c>
      <c r="L451" s="7">
        <f t="shared" si="21"/>
        <v>4400</v>
      </c>
      <c r="M451" s="2" t="str">
        <f t="shared" si="22"/>
        <v>November</v>
      </c>
      <c r="N451" s="6">
        <f t="shared" si="23"/>
        <v>2003</v>
      </c>
    </row>
    <row r="452" spans="1:14">
      <c r="A452" s="2" t="s">
        <v>105</v>
      </c>
      <c r="B452" s="3">
        <v>10192</v>
      </c>
      <c r="C452" s="3">
        <v>22</v>
      </c>
      <c r="D452" s="13">
        <v>100</v>
      </c>
      <c r="E452" s="5">
        <v>37945</v>
      </c>
      <c r="F452" s="2" t="s">
        <v>13</v>
      </c>
      <c r="G452" s="2" t="s">
        <v>72</v>
      </c>
      <c r="H452" s="3">
        <v>4</v>
      </c>
      <c r="I452" s="6">
        <v>2003</v>
      </c>
      <c r="J452" s="2" t="s">
        <v>22</v>
      </c>
      <c r="K452" s="2" t="s">
        <v>106</v>
      </c>
      <c r="L452" s="7">
        <f t="shared" si="21"/>
        <v>2200</v>
      </c>
      <c r="M452" s="2" t="str">
        <f t="shared" si="22"/>
        <v>November</v>
      </c>
      <c r="N452" s="6">
        <f t="shared" si="23"/>
        <v>2003</v>
      </c>
    </row>
    <row r="453" spans="1:14">
      <c r="A453" s="2" t="s">
        <v>177</v>
      </c>
      <c r="B453" s="3">
        <v>10204</v>
      </c>
      <c r="C453" s="3">
        <v>42</v>
      </c>
      <c r="D453" s="13">
        <v>100</v>
      </c>
      <c r="E453" s="5">
        <v>37957</v>
      </c>
      <c r="F453" s="2" t="s">
        <v>13</v>
      </c>
      <c r="G453" s="2" t="s">
        <v>72</v>
      </c>
      <c r="H453" s="3">
        <v>4</v>
      </c>
      <c r="I453" s="6">
        <v>2003</v>
      </c>
      <c r="J453" s="2" t="s">
        <v>22</v>
      </c>
      <c r="K453" s="2" t="s">
        <v>178</v>
      </c>
      <c r="L453" s="7">
        <f t="shared" si="21"/>
        <v>4200</v>
      </c>
      <c r="M453" s="2" t="str">
        <f t="shared" si="22"/>
        <v>December</v>
      </c>
      <c r="N453" s="6">
        <f t="shared" si="23"/>
        <v>2003</v>
      </c>
    </row>
    <row r="454" spans="1:14">
      <c r="A454" s="2" t="s">
        <v>69</v>
      </c>
      <c r="B454" s="3">
        <v>10212</v>
      </c>
      <c r="C454" s="3">
        <v>29</v>
      </c>
      <c r="D454" s="13">
        <v>100</v>
      </c>
      <c r="E454" s="5">
        <v>38002</v>
      </c>
      <c r="F454" s="2" t="s">
        <v>13</v>
      </c>
      <c r="G454" s="2" t="s">
        <v>72</v>
      </c>
      <c r="H454" s="3">
        <v>1</v>
      </c>
      <c r="I454" s="6">
        <v>2004</v>
      </c>
      <c r="J454" s="2" t="s">
        <v>22</v>
      </c>
      <c r="K454" s="2" t="s">
        <v>71</v>
      </c>
      <c r="L454" s="7">
        <f t="shared" si="21"/>
        <v>2900</v>
      </c>
      <c r="M454" s="2" t="str">
        <f t="shared" si="22"/>
        <v>January</v>
      </c>
      <c r="N454" s="6">
        <f t="shared" si="23"/>
        <v>2004</v>
      </c>
    </row>
    <row r="455" spans="1:14">
      <c r="A455" s="2" t="s">
        <v>167</v>
      </c>
      <c r="B455" s="3">
        <v>10225</v>
      </c>
      <c r="C455" s="3">
        <v>32</v>
      </c>
      <c r="D455" s="13">
        <v>100</v>
      </c>
      <c r="E455" s="5">
        <v>38039</v>
      </c>
      <c r="F455" s="2" t="s">
        <v>13</v>
      </c>
      <c r="G455" s="2" t="s">
        <v>72</v>
      </c>
      <c r="H455" s="3">
        <v>1</v>
      </c>
      <c r="I455" s="6">
        <v>2004</v>
      </c>
      <c r="J455" s="2" t="s">
        <v>22</v>
      </c>
      <c r="K455" s="2" t="s">
        <v>168</v>
      </c>
      <c r="L455" s="7">
        <f t="shared" si="21"/>
        <v>3200</v>
      </c>
      <c r="M455" s="2" t="str">
        <f t="shared" si="22"/>
        <v>February</v>
      </c>
      <c r="N455" s="6">
        <f t="shared" si="23"/>
        <v>2004</v>
      </c>
    </row>
    <row r="456" spans="1:14">
      <c r="A456" s="2" t="s">
        <v>114</v>
      </c>
      <c r="B456" s="3">
        <v>10240</v>
      </c>
      <c r="C456" s="3">
        <v>41</v>
      </c>
      <c r="D456" s="13">
        <v>100</v>
      </c>
      <c r="E456" s="5">
        <v>38090</v>
      </c>
      <c r="F456" s="2" t="s">
        <v>13</v>
      </c>
      <c r="G456" s="2" t="s">
        <v>72</v>
      </c>
      <c r="H456" s="3">
        <v>2</v>
      </c>
      <c r="I456" s="6">
        <v>2004</v>
      </c>
      <c r="J456" s="2" t="s">
        <v>22</v>
      </c>
      <c r="K456" s="2" t="s">
        <v>115</v>
      </c>
      <c r="L456" s="7">
        <f t="shared" si="21"/>
        <v>4100</v>
      </c>
      <c r="M456" s="2" t="str">
        <f t="shared" si="22"/>
        <v>April</v>
      </c>
      <c r="N456" s="6">
        <f t="shared" si="23"/>
        <v>2004</v>
      </c>
    </row>
    <row r="457" spans="1:14">
      <c r="A457" s="2" t="s">
        <v>67</v>
      </c>
      <c r="B457" s="3">
        <v>10253</v>
      </c>
      <c r="C457" s="3">
        <v>26</v>
      </c>
      <c r="D457" s="13">
        <v>100</v>
      </c>
      <c r="E457" s="5">
        <v>38139</v>
      </c>
      <c r="F457" s="2" t="s">
        <v>128</v>
      </c>
      <c r="G457" s="2" t="s">
        <v>72</v>
      </c>
      <c r="H457" s="3">
        <v>2</v>
      </c>
      <c r="I457" s="6">
        <v>2004</v>
      </c>
      <c r="J457" s="2" t="s">
        <v>22</v>
      </c>
      <c r="K457" s="2" t="s">
        <v>68</v>
      </c>
      <c r="L457" s="7">
        <f t="shared" si="21"/>
        <v>2600</v>
      </c>
      <c r="M457" s="2" t="str">
        <f t="shared" si="22"/>
        <v>June</v>
      </c>
      <c r="N457" s="6">
        <f t="shared" si="23"/>
        <v>2004</v>
      </c>
    </row>
    <row r="458" spans="1:14">
      <c r="A458" s="2" t="s">
        <v>169</v>
      </c>
      <c r="B458" s="3">
        <v>10266</v>
      </c>
      <c r="C458" s="3">
        <v>21</v>
      </c>
      <c r="D458" s="13">
        <v>100</v>
      </c>
      <c r="E458" s="5">
        <v>38174</v>
      </c>
      <c r="F458" s="2" t="s">
        <v>13</v>
      </c>
      <c r="G458" s="2" t="s">
        <v>72</v>
      </c>
      <c r="H458" s="3">
        <v>3</v>
      </c>
      <c r="I458" s="6">
        <v>2004</v>
      </c>
      <c r="J458" s="2" t="s">
        <v>15</v>
      </c>
      <c r="K458" s="2" t="s">
        <v>170</v>
      </c>
      <c r="L458" s="7">
        <f t="shared" si="21"/>
        <v>2100</v>
      </c>
      <c r="M458" s="2" t="str">
        <f t="shared" si="22"/>
        <v>July</v>
      </c>
      <c r="N458" s="6">
        <f t="shared" si="23"/>
        <v>2004</v>
      </c>
    </row>
    <row r="459" spans="1:14">
      <c r="A459" s="2" t="s">
        <v>198</v>
      </c>
      <c r="B459" s="3">
        <v>10278</v>
      </c>
      <c r="C459" s="3">
        <v>34</v>
      </c>
      <c r="D459" s="13">
        <v>100</v>
      </c>
      <c r="E459" s="5">
        <v>38205</v>
      </c>
      <c r="F459" s="2" t="s">
        <v>13</v>
      </c>
      <c r="G459" s="2" t="s">
        <v>72</v>
      </c>
      <c r="H459" s="3">
        <v>3</v>
      </c>
      <c r="I459" s="6">
        <v>2004</v>
      </c>
      <c r="J459" s="2" t="s">
        <v>22</v>
      </c>
      <c r="K459" s="2" t="s">
        <v>199</v>
      </c>
      <c r="L459" s="7">
        <f t="shared" si="21"/>
        <v>3400</v>
      </c>
      <c r="M459" s="2" t="str">
        <f t="shared" si="22"/>
        <v>August</v>
      </c>
      <c r="N459" s="6">
        <f t="shared" si="23"/>
        <v>2004</v>
      </c>
    </row>
    <row r="460" spans="1:14">
      <c r="A460" s="2" t="s">
        <v>167</v>
      </c>
      <c r="B460" s="3">
        <v>10287</v>
      </c>
      <c r="C460" s="3">
        <v>41</v>
      </c>
      <c r="D460" s="13">
        <v>100</v>
      </c>
      <c r="E460" s="5">
        <v>38229</v>
      </c>
      <c r="F460" s="2" t="s">
        <v>13</v>
      </c>
      <c r="G460" s="2" t="s">
        <v>72</v>
      </c>
      <c r="H460" s="3">
        <v>3</v>
      </c>
      <c r="I460" s="6">
        <v>2004</v>
      </c>
      <c r="J460" s="2" t="s">
        <v>22</v>
      </c>
      <c r="K460" s="2" t="s">
        <v>168</v>
      </c>
      <c r="L460" s="7">
        <f t="shared" si="21"/>
        <v>4100</v>
      </c>
      <c r="M460" s="2" t="str">
        <f t="shared" si="22"/>
        <v>August</v>
      </c>
      <c r="N460" s="6">
        <f t="shared" si="23"/>
        <v>2004</v>
      </c>
    </row>
    <row r="461" spans="1:14">
      <c r="A461" s="2" t="s">
        <v>200</v>
      </c>
      <c r="B461" s="3">
        <v>10301</v>
      </c>
      <c r="C461" s="3">
        <v>37</v>
      </c>
      <c r="D461" s="13">
        <v>100</v>
      </c>
      <c r="E461" s="5">
        <v>37899</v>
      </c>
      <c r="F461" s="2" t="s">
        <v>13</v>
      </c>
      <c r="G461" s="2" t="s">
        <v>72</v>
      </c>
      <c r="H461" s="3">
        <v>4</v>
      </c>
      <c r="I461" s="6">
        <v>2003</v>
      </c>
      <c r="J461" s="2" t="s">
        <v>22</v>
      </c>
      <c r="K461" s="2" t="s">
        <v>201</v>
      </c>
      <c r="L461" s="7">
        <f t="shared" si="21"/>
        <v>3700</v>
      </c>
      <c r="M461" s="2" t="str">
        <f t="shared" si="22"/>
        <v>October</v>
      </c>
      <c r="N461" s="6">
        <f t="shared" si="23"/>
        <v>2003</v>
      </c>
    </row>
    <row r="462" spans="1:14">
      <c r="A462" s="2" t="s">
        <v>165</v>
      </c>
      <c r="B462" s="3">
        <v>10310</v>
      </c>
      <c r="C462" s="3">
        <v>37</v>
      </c>
      <c r="D462" s="13">
        <v>100</v>
      </c>
      <c r="E462" s="5">
        <v>38276</v>
      </c>
      <c r="F462" s="2" t="s">
        <v>13</v>
      </c>
      <c r="G462" s="2" t="s">
        <v>72</v>
      </c>
      <c r="H462" s="3">
        <v>4</v>
      </c>
      <c r="I462" s="6">
        <v>2004</v>
      </c>
      <c r="J462" s="2" t="s">
        <v>22</v>
      </c>
      <c r="K462" s="2" t="s">
        <v>166</v>
      </c>
      <c r="L462" s="7">
        <f t="shared" si="21"/>
        <v>3700</v>
      </c>
      <c r="M462" s="2" t="str">
        <f t="shared" si="22"/>
        <v>October</v>
      </c>
      <c r="N462" s="6">
        <f t="shared" si="23"/>
        <v>2004</v>
      </c>
    </row>
    <row r="463" spans="1:14">
      <c r="A463" s="2" t="s">
        <v>65</v>
      </c>
      <c r="B463" s="3">
        <v>10321</v>
      </c>
      <c r="C463" s="3">
        <v>41</v>
      </c>
      <c r="D463" s="13">
        <v>100</v>
      </c>
      <c r="E463" s="5">
        <v>38295</v>
      </c>
      <c r="F463" s="2" t="s">
        <v>13</v>
      </c>
      <c r="G463" s="2" t="s">
        <v>72</v>
      </c>
      <c r="H463" s="3">
        <v>4</v>
      </c>
      <c r="I463" s="6">
        <v>2004</v>
      </c>
      <c r="J463" s="2" t="s">
        <v>22</v>
      </c>
      <c r="K463" s="2" t="s">
        <v>66</v>
      </c>
      <c r="L463" s="7">
        <f t="shared" si="21"/>
        <v>4100</v>
      </c>
      <c r="M463" s="2" t="str">
        <f t="shared" si="22"/>
        <v>November</v>
      </c>
      <c r="N463" s="6">
        <f t="shared" si="23"/>
        <v>2004</v>
      </c>
    </row>
    <row r="464" spans="1:14">
      <c r="A464" s="2" t="s">
        <v>116</v>
      </c>
      <c r="B464" s="3">
        <v>10331</v>
      </c>
      <c r="C464" s="3">
        <v>46</v>
      </c>
      <c r="D464" s="13">
        <v>100</v>
      </c>
      <c r="E464" s="5">
        <v>38308</v>
      </c>
      <c r="F464" s="2" t="s">
        <v>13</v>
      </c>
      <c r="G464" s="2" t="s">
        <v>72</v>
      </c>
      <c r="H464" s="3">
        <v>4</v>
      </c>
      <c r="I464" s="6">
        <v>2004</v>
      </c>
      <c r="J464" s="2" t="s">
        <v>22</v>
      </c>
      <c r="K464" s="2" t="s">
        <v>117</v>
      </c>
      <c r="L464" s="7">
        <f t="shared" si="21"/>
        <v>4600</v>
      </c>
      <c r="M464" s="2" t="str">
        <f t="shared" si="22"/>
        <v>November</v>
      </c>
      <c r="N464" s="6">
        <f t="shared" si="23"/>
        <v>2004</v>
      </c>
    </row>
    <row r="465" spans="1:14">
      <c r="A465" s="2" t="s">
        <v>42</v>
      </c>
      <c r="B465" s="3">
        <v>10342</v>
      </c>
      <c r="C465" s="3">
        <v>40</v>
      </c>
      <c r="D465" s="13">
        <v>100</v>
      </c>
      <c r="E465" s="5">
        <v>38315</v>
      </c>
      <c r="F465" s="2" t="s">
        <v>13</v>
      </c>
      <c r="G465" s="2" t="s">
        <v>72</v>
      </c>
      <c r="H465" s="3">
        <v>4</v>
      </c>
      <c r="I465" s="6">
        <v>2004</v>
      </c>
      <c r="J465" s="2" t="s">
        <v>22</v>
      </c>
      <c r="K465" s="2" t="s">
        <v>43</v>
      </c>
      <c r="L465" s="7">
        <f t="shared" si="21"/>
        <v>4000</v>
      </c>
      <c r="M465" s="2" t="str">
        <f t="shared" si="22"/>
        <v>November</v>
      </c>
      <c r="N465" s="6">
        <f t="shared" si="23"/>
        <v>2004</v>
      </c>
    </row>
    <row r="466" spans="1:14">
      <c r="A466" s="2" t="s">
        <v>21</v>
      </c>
      <c r="B466" s="3">
        <v>10356</v>
      </c>
      <c r="C466" s="3">
        <v>43</v>
      </c>
      <c r="D466" s="13">
        <v>97.6</v>
      </c>
      <c r="E466" s="5">
        <v>38330</v>
      </c>
      <c r="F466" s="2" t="s">
        <v>13</v>
      </c>
      <c r="G466" s="2" t="s">
        <v>72</v>
      </c>
      <c r="H466" s="3">
        <v>4</v>
      </c>
      <c r="I466" s="6">
        <v>2004</v>
      </c>
      <c r="J466" s="2" t="s">
        <v>22</v>
      </c>
      <c r="K466" s="2" t="s">
        <v>23</v>
      </c>
      <c r="L466" s="7">
        <f t="shared" si="21"/>
        <v>4196.8</v>
      </c>
      <c r="M466" s="2" t="str">
        <f t="shared" si="22"/>
        <v>December</v>
      </c>
      <c r="N466" s="6">
        <f t="shared" si="23"/>
        <v>2004</v>
      </c>
    </row>
    <row r="467" spans="1:14">
      <c r="A467" s="2" t="s">
        <v>126</v>
      </c>
      <c r="B467" s="3">
        <v>10365</v>
      </c>
      <c r="C467" s="3">
        <v>30</v>
      </c>
      <c r="D467" s="13">
        <v>87.06</v>
      </c>
      <c r="E467" s="5">
        <v>38359</v>
      </c>
      <c r="F467" s="2" t="s">
        <v>13</v>
      </c>
      <c r="G467" s="2" t="s">
        <v>72</v>
      </c>
      <c r="H467" s="3">
        <v>1</v>
      </c>
      <c r="I467" s="6">
        <v>2005</v>
      </c>
      <c r="J467" s="2" t="s">
        <v>15</v>
      </c>
      <c r="K467" s="2" t="s">
        <v>127</v>
      </c>
      <c r="L467" s="7">
        <f t="shared" si="21"/>
        <v>2611.8</v>
      </c>
      <c r="M467" s="2" t="str">
        <f t="shared" si="22"/>
        <v>January</v>
      </c>
      <c r="N467" s="6">
        <f t="shared" si="23"/>
        <v>2005</v>
      </c>
    </row>
    <row r="468" spans="1:14">
      <c r="A468" s="2" t="s">
        <v>54</v>
      </c>
      <c r="B468" s="3">
        <v>10377</v>
      </c>
      <c r="C468" s="3">
        <v>35</v>
      </c>
      <c r="D468" s="13">
        <v>100</v>
      </c>
      <c r="E468" s="5">
        <v>38392</v>
      </c>
      <c r="F468" s="2" t="s">
        <v>13</v>
      </c>
      <c r="G468" s="2" t="s">
        <v>72</v>
      </c>
      <c r="H468" s="3">
        <v>1</v>
      </c>
      <c r="I468" s="6">
        <v>2005</v>
      </c>
      <c r="J468" s="2" t="s">
        <v>22</v>
      </c>
      <c r="K468" s="2" t="s">
        <v>55</v>
      </c>
      <c r="L468" s="7">
        <f t="shared" si="21"/>
        <v>3500</v>
      </c>
      <c r="M468" s="2" t="str">
        <f t="shared" si="22"/>
        <v>February</v>
      </c>
      <c r="N468" s="6">
        <f t="shared" si="23"/>
        <v>2005</v>
      </c>
    </row>
    <row r="469" spans="1:14">
      <c r="A469" s="2" t="s">
        <v>103</v>
      </c>
      <c r="B469" s="3">
        <v>10390</v>
      </c>
      <c r="C469" s="3">
        <v>36</v>
      </c>
      <c r="D469" s="13">
        <v>93.77</v>
      </c>
      <c r="E469" s="5">
        <v>38415</v>
      </c>
      <c r="F469" s="2" t="s">
        <v>13</v>
      </c>
      <c r="G469" s="2" t="s">
        <v>72</v>
      </c>
      <c r="H469" s="3">
        <v>1</v>
      </c>
      <c r="I469" s="6">
        <v>2005</v>
      </c>
      <c r="J469" s="2" t="s">
        <v>22</v>
      </c>
      <c r="K469" s="2" t="s">
        <v>104</v>
      </c>
      <c r="L469" s="7">
        <f t="shared" si="21"/>
        <v>3375.72</v>
      </c>
      <c r="M469" s="2" t="str">
        <f t="shared" si="22"/>
        <v>March</v>
      </c>
      <c r="N469" s="6">
        <f t="shared" si="23"/>
        <v>2005</v>
      </c>
    </row>
    <row r="470" spans="1:14">
      <c r="A470" s="2" t="s">
        <v>122</v>
      </c>
      <c r="B470" s="3">
        <v>10406</v>
      </c>
      <c r="C470" s="3">
        <v>61</v>
      </c>
      <c r="D470" s="13">
        <v>100</v>
      </c>
      <c r="E470" s="5">
        <v>38457</v>
      </c>
      <c r="F470" s="2" t="s">
        <v>70</v>
      </c>
      <c r="G470" s="2" t="s">
        <v>72</v>
      </c>
      <c r="H470" s="3">
        <v>2</v>
      </c>
      <c r="I470" s="6">
        <v>2005</v>
      </c>
      <c r="J470" s="2" t="s">
        <v>61</v>
      </c>
      <c r="K470" s="2" t="s">
        <v>123</v>
      </c>
      <c r="L470" s="7">
        <f t="shared" si="21"/>
        <v>6100</v>
      </c>
      <c r="M470" s="2" t="str">
        <f t="shared" si="22"/>
        <v>April</v>
      </c>
      <c r="N470" s="6">
        <f t="shared" si="23"/>
        <v>2005</v>
      </c>
    </row>
    <row r="471" spans="1:14">
      <c r="A471" s="2" t="s">
        <v>60</v>
      </c>
      <c r="B471" s="3">
        <v>10419</v>
      </c>
      <c r="C471" s="3">
        <v>38</v>
      </c>
      <c r="D471" s="13">
        <v>100</v>
      </c>
      <c r="E471" s="5">
        <v>38489</v>
      </c>
      <c r="F471" s="2" t="s">
        <v>13</v>
      </c>
      <c r="G471" s="2" t="s">
        <v>72</v>
      </c>
      <c r="H471" s="3">
        <v>2</v>
      </c>
      <c r="I471" s="6">
        <v>2005</v>
      </c>
      <c r="J471" s="2" t="s">
        <v>22</v>
      </c>
      <c r="K471" s="2" t="s">
        <v>62</v>
      </c>
      <c r="L471" s="7">
        <f t="shared" si="21"/>
        <v>3800</v>
      </c>
      <c r="M471" s="2" t="str">
        <f t="shared" si="22"/>
        <v>May</v>
      </c>
      <c r="N471" s="6">
        <f t="shared" si="23"/>
        <v>2005</v>
      </c>
    </row>
    <row r="472" spans="1:14">
      <c r="A472" s="2" t="s">
        <v>44</v>
      </c>
      <c r="B472" s="3">
        <v>10102</v>
      </c>
      <c r="C472" s="3">
        <v>39</v>
      </c>
      <c r="D472" s="13">
        <v>100</v>
      </c>
      <c r="E472" s="5">
        <v>37631</v>
      </c>
      <c r="F472" s="2" t="s">
        <v>13</v>
      </c>
      <c r="G472" s="2" t="s">
        <v>202</v>
      </c>
      <c r="H472" s="3">
        <v>1</v>
      </c>
      <c r="I472" s="6">
        <v>2003</v>
      </c>
      <c r="J472" s="2" t="s">
        <v>22</v>
      </c>
      <c r="K472" s="2" t="s">
        <v>45</v>
      </c>
      <c r="L472" s="7">
        <f t="shared" si="21"/>
        <v>3900</v>
      </c>
      <c r="M472" s="2" t="str">
        <f t="shared" si="22"/>
        <v>January</v>
      </c>
      <c r="N472" s="6">
        <f t="shared" si="23"/>
        <v>2003</v>
      </c>
    </row>
    <row r="473" spans="1:14">
      <c r="A473" s="2" t="s">
        <v>38</v>
      </c>
      <c r="B473" s="3">
        <v>10111</v>
      </c>
      <c r="C473" s="3">
        <v>33</v>
      </c>
      <c r="D473" s="13">
        <v>99.66</v>
      </c>
      <c r="E473" s="5">
        <v>37705</v>
      </c>
      <c r="F473" s="2" t="s">
        <v>13</v>
      </c>
      <c r="G473" s="2" t="s">
        <v>202</v>
      </c>
      <c r="H473" s="3">
        <v>1</v>
      </c>
      <c r="I473" s="6">
        <v>2003</v>
      </c>
      <c r="J473" s="2" t="s">
        <v>22</v>
      </c>
      <c r="K473" s="2" t="s">
        <v>39</v>
      </c>
      <c r="L473" s="7">
        <f t="shared" si="21"/>
        <v>3288.78</v>
      </c>
      <c r="M473" s="2" t="str">
        <f t="shared" si="22"/>
        <v>March</v>
      </c>
      <c r="N473" s="6">
        <f t="shared" si="23"/>
        <v>2003</v>
      </c>
    </row>
    <row r="474" spans="1:14">
      <c r="A474" s="2" t="s">
        <v>42</v>
      </c>
      <c r="B474" s="3">
        <v>10125</v>
      </c>
      <c r="C474" s="3">
        <v>32</v>
      </c>
      <c r="D474" s="13">
        <v>100</v>
      </c>
      <c r="E474" s="5">
        <v>37762</v>
      </c>
      <c r="F474" s="2" t="s">
        <v>13</v>
      </c>
      <c r="G474" s="2" t="s">
        <v>202</v>
      </c>
      <c r="H474" s="3">
        <v>2</v>
      </c>
      <c r="I474" s="6">
        <v>2003</v>
      </c>
      <c r="J474" s="2" t="s">
        <v>22</v>
      </c>
      <c r="K474" s="2" t="s">
        <v>43</v>
      </c>
      <c r="L474" s="7">
        <f t="shared" si="21"/>
        <v>3200</v>
      </c>
      <c r="M474" s="2" t="str">
        <f t="shared" si="22"/>
        <v>May</v>
      </c>
      <c r="N474" s="6">
        <f t="shared" si="23"/>
        <v>2003</v>
      </c>
    </row>
    <row r="475" spans="1:14">
      <c r="A475" s="2" t="s">
        <v>63</v>
      </c>
      <c r="B475" s="3">
        <v>10139</v>
      </c>
      <c r="C475" s="3">
        <v>31</v>
      </c>
      <c r="D475" s="13">
        <v>100</v>
      </c>
      <c r="E475" s="5">
        <v>37818</v>
      </c>
      <c r="F475" s="2" t="s">
        <v>13</v>
      </c>
      <c r="G475" s="2" t="s">
        <v>202</v>
      </c>
      <c r="H475" s="3">
        <v>3</v>
      </c>
      <c r="I475" s="6">
        <v>2003</v>
      </c>
      <c r="J475" s="2" t="s">
        <v>22</v>
      </c>
      <c r="K475" s="2" t="s">
        <v>64</v>
      </c>
      <c r="L475" s="7">
        <f t="shared" si="21"/>
        <v>3100</v>
      </c>
      <c r="M475" s="2" t="str">
        <f t="shared" si="22"/>
        <v>July</v>
      </c>
      <c r="N475" s="6">
        <f t="shared" si="23"/>
        <v>2003</v>
      </c>
    </row>
    <row r="476" spans="1:14">
      <c r="A476" s="2" t="s">
        <v>194</v>
      </c>
      <c r="B476" s="3">
        <v>10149</v>
      </c>
      <c r="C476" s="3">
        <v>50</v>
      </c>
      <c r="D476" s="13">
        <v>100</v>
      </c>
      <c r="E476" s="5">
        <v>37876</v>
      </c>
      <c r="F476" s="2" t="s">
        <v>13</v>
      </c>
      <c r="G476" s="2" t="s">
        <v>202</v>
      </c>
      <c r="H476" s="3">
        <v>3</v>
      </c>
      <c r="I476" s="6">
        <v>2003</v>
      </c>
      <c r="J476" s="2" t="s">
        <v>22</v>
      </c>
      <c r="K476" s="2" t="s">
        <v>195</v>
      </c>
      <c r="L476" s="7">
        <f t="shared" si="21"/>
        <v>5000</v>
      </c>
      <c r="M476" s="2" t="str">
        <f t="shared" si="22"/>
        <v>September</v>
      </c>
      <c r="N476" s="6">
        <f t="shared" si="23"/>
        <v>2003</v>
      </c>
    </row>
    <row r="477" spans="1:14">
      <c r="A477" s="2" t="s">
        <v>28</v>
      </c>
      <c r="B477" s="3">
        <v>10162</v>
      </c>
      <c r="C477" s="3">
        <v>48</v>
      </c>
      <c r="D477" s="13">
        <v>91.44</v>
      </c>
      <c r="E477" s="5">
        <v>37912</v>
      </c>
      <c r="F477" s="2" t="s">
        <v>13</v>
      </c>
      <c r="G477" s="2" t="s">
        <v>202</v>
      </c>
      <c r="H477" s="3">
        <v>4</v>
      </c>
      <c r="I477" s="6">
        <v>2003</v>
      </c>
      <c r="J477" s="2" t="s">
        <v>22</v>
      </c>
      <c r="K477" s="2" t="s">
        <v>29</v>
      </c>
      <c r="L477" s="7">
        <f t="shared" si="21"/>
        <v>4389.12</v>
      </c>
      <c r="M477" s="2" t="str">
        <f t="shared" si="22"/>
        <v>October</v>
      </c>
      <c r="N477" s="6">
        <f t="shared" si="23"/>
        <v>2003</v>
      </c>
    </row>
    <row r="478" spans="1:14">
      <c r="A478" s="2" t="s">
        <v>203</v>
      </c>
      <c r="B478" s="3">
        <v>10173</v>
      </c>
      <c r="C478" s="3">
        <v>43</v>
      </c>
      <c r="D478" s="13">
        <v>100</v>
      </c>
      <c r="E478" s="5">
        <v>37930</v>
      </c>
      <c r="F478" s="2" t="s">
        <v>13</v>
      </c>
      <c r="G478" s="2" t="s">
        <v>202</v>
      </c>
      <c r="H478" s="3">
        <v>4</v>
      </c>
      <c r="I478" s="6">
        <v>2003</v>
      </c>
      <c r="J478" s="2" t="s">
        <v>22</v>
      </c>
      <c r="K478" s="2" t="s">
        <v>204</v>
      </c>
      <c r="L478" s="7">
        <f t="shared" si="21"/>
        <v>4300</v>
      </c>
      <c r="M478" s="2" t="str">
        <f t="shared" si="22"/>
        <v>November</v>
      </c>
      <c r="N478" s="6">
        <f t="shared" si="23"/>
        <v>2003</v>
      </c>
    </row>
    <row r="479" spans="1:14">
      <c r="A479" s="2" t="s">
        <v>103</v>
      </c>
      <c r="B479" s="3">
        <v>10182</v>
      </c>
      <c r="C479" s="3">
        <v>25</v>
      </c>
      <c r="D479" s="13">
        <v>87.33</v>
      </c>
      <c r="E479" s="5">
        <v>37937</v>
      </c>
      <c r="F479" s="2" t="s">
        <v>13</v>
      </c>
      <c r="G479" s="2" t="s">
        <v>202</v>
      </c>
      <c r="H479" s="3">
        <v>4</v>
      </c>
      <c r="I479" s="6">
        <v>2003</v>
      </c>
      <c r="J479" s="2" t="s">
        <v>15</v>
      </c>
      <c r="K479" s="2" t="s">
        <v>104</v>
      </c>
      <c r="L479" s="7">
        <f t="shared" si="21"/>
        <v>2183.25</v>
      </c>
      <c r="M479" s="2" t="str">
        <f t="shared" si="22"/>
        <v>November</v>
      </c>
      <c r="N479" s="6">
        <f t="shared" si="23"/>
        <v>2003</v>
      </c>
    </row>
    <row r="480" spans="1:14">
      <c r="A480" s="2" t="s">
        <v>205</v>
      </c>
      <c r="B480" s="3">
        <v>10193</v>
      </c>
      <c r="C480" s="3">
        <v>28</v>
      </c>
      <c r="D480" s="13">
        <v>100</v>
      </c>
      <c r="E480" s="5">
        <v>37946</v>
      </c>
      <c r="F480" s="2" t="s">
        <v>13</v>
      </c>
      <c r="G480" s="2" t="s">
        <v>202</v>
      </c>
      <c r="H480" s="3">
        <v>4</v>
      </c>
      <c r="I480" s="6">
        <v>2003</v>
      </c>
      <c r="J480" s="2" t="s">
        <v>22</v>
      </c>
      <c r="K480" s="2" t="s">
        <v>206</v>
      </c>
      <c r="L480" s="7">
        <f t="shared" si="21"/>
        <v>2800</v>
      </c>
      <c r="M480" s="2" t="str">
        <f t="shared" si="22"/>
        <v>November</v>
      </c>
      <c r="N480" s="6">
        <f t="shared" si="23"/>
        <v>2003</v>
      </c>
    </row>
    <row r="481" spans="1:14">
      <c r="A481" s="2" t="s">
        <v>69</v>
      </c>
      <c r="B481" s="3">
        <v>10205</v>
      </c>
      <c r="C481" s="3">
        <v>36</v>
      </c>
      <c r="D481" s="13">
        <v>100</v>
      </c>
      <c r="E481" s="5">
        <v>37958</v>
      </c>
      <c r="F481" s="2" t="s">
        <v>13</v>
      </c>
      <c r="G481" s="2" t="s">
        <v>202</v>
      </c>
      <c r="H481" s="3">
        <v>4</v>
      </c>
      <c r="I481" s="6">
        <v>2003</v>
      </c>
      <c r="J481" s="2" t="s">
        <v>22</v>
      </c>
      <c r="K481" s="2" t="s">
        <v>71</v>
      </c>
      <c r="L481" s="7">
        <f t="shared" si="21"/>
        <v>3600</v>
      </c>
      <c r="M481" s="2" t="str">
        <f t="shared" si="22"/>
        <v>December</v>
      </c>
      <c r="N481" s="6">
        <f t="shared" si="23"/>
        <v>2003</v>
      </c>
    </row>
    <row r="482" spans="1:14">
      <c r="A482" s="2" t="s">
        <v>89</v>
      </c>
      <c r="B482" s="3">
        <v>10215</v>
      </c>
      <c r="C482" s="3">
        <v>27</v>
      </c>
      <c r="D482" s="13">
        <v>89.38</v>
      </c>
      <c r="E482" s="5">
        <v>38015</v>
      </c>
      <c r="F482" s="2" t="s">
        <v>13</v>
      </c>
      <c r="G482" s="2" t="s">
        <v>202</v>
      </c>
      <c r="H482" s="3">
        <v>1</v>
      </c>
      <c r="I482" s="6">
        <v>2004</v>
      </c>
      <c r="J482" s="2" t="s">
        <v>15</v>
      </c>
      <c r="K482" s="2" t="s">
        <v>90</v>
      </c>
      <c r="L482" s="7">
        <f t="shared" si="21"/>
        <v>2413.26</v>
      </c>
      <c r="M482" s="2" t="str">
        <f t="shared" si="22"/>
        <v>January</v>
      </c>
      <c r="N482" s="6">
        <f t="shared" si="23"/>
        <v>2004</v>
      </c>
    </row>
    <row r="483" spans="1:14">
      <c r="A483" s="2" t="s">
        <v>85</v>
      </c>
      <c r="B483" s="3">
        <v>10227</v>
      </c>
      <c r="C483" s="3">
        <v>25</v>
      </c>
      <c r="D483" s="13">
        <v>100</v>
      </c>
      <c r="E483" s="5">
        <v>38048</v>
      </c>
      <c r="F483" s="2" t="s">
        <v>13</v>
      </c>
      <c r="G483" s="2" t="s">
        <v>202</v>
      </c>
      <c r="H483" s="3">
        <v>1</v>
      </c>
      <c r="I483" s="6">
        <v>2004</v>
      </c>
      <c r="J483" s="2" t="s">
        <v>15</v>
      </c>
      <c r="K483" s="2" t="s">
        <v>86</v>
      </c>
      <c r="L483" s="7">
        <f t="shared" si="21"/>
        <v>2500</v>
      </c>
      <c r="M483" s="2" t="str">
        <f t="shared" si="22"/>
        <v>March</v>
      </c>
      <c r="N483" s="6">
        <f t="shared" si="23"/>
        <v>2004</v>
      </c>
    </row>
    <row r="484" spans="1:14">
      <c r="A484" s="2" t="s">
        <v>69</v>
      </c>
      <c r="B484" s="3">
        <v>10244</v>
      </c>
      <c r="C484" s="3">
        <v>40</v>
      </c>
      <c r="D484" s="13">
        <v>100</v>
      </c>
      <c r="E484" s="5">
        <v>38106</v>
      </c>
      <c r="F484" s="2" t="s">
        <v>13</v>
      </c>
      <c r="G484" s="2" t="s">
        <v>202</v>
      </c>
      <c r="H484" s="3">
        <v>2</v>
      </c>
      <c r="I484" s="6">
        <v>2004</v>
      </c>
      <c r="J484" s="2" t="s">
        <v>22</v>
      </c>
      <c r="K484" s="2" t="s">
        <v>71</v>
      </c>
      <c r="L484" s="7">
        <f t="shared" si="21"/>
        <v>4000</v>
      </c>
      <c r="M484" s="2" t="str">
        <f t="shared" si="22"/>
        <v>April</v>
      </c>
      <c r="N484" s="6">
        <f t="shared" si="23"/>
        <v>2004</v>
      </c>
    </row>
    <row r="485" spans="1:14">
      <c r="A485" s="2" t="s">
        <v>122</v>
      </c>
      <c r="B485" s="3">
        <v>10256</v>
      </c>
      <c r="C485" s="3">
        <v>34</v>
      </c>
      <c r="D485" s="13">
        <v>95.55</v>
      </c>
      <c r="E485" s="5">
        <v>38146</v>
      </c>
      <c r="F485" s="2" t="s">
        <v>13</v>
      </c>
      <c r="G485" s="2" t="s">
        <v>202</v>
      </c>
      <c r="H485" s="3">
        <v>2</v>
      </c>
      <c r="I485" s="6">
        <v>2004</v>
      </c>
      <c r="J485" s="2" t="s">
        <v>22</v>
      </c>
      <c r="K485" s="2" t="s">
        <v>123</v>
      </c>
      <c r="L485" s="7">
        <f t="shared" si="21"/>
        <v>3248.7</v>
      </c>
      <c r="M485" s="2" t="str">
        <f t="shared" si="22"/>
        <v>June</v>
      </c>
      <c r="N485" s="6">
        <f t="shared" si="23"/>
        <v>2004</v>
      </c>
    </row>
    <row r="486" spans="1:14">
      <c r="A486" s="2" t="s">
        <v>97</v>
      </c>
      <c r="B486" s="3">
        <v>10280</v>
      </c>
      <c r="C486" s="3">
        <v>50</v>
      </c>
      <c r="D486" s="13">
        <v>100</v>
      </c>
      <c r="E486" s="5">
        <v>38216</v>
      </c>
      <c r="F486" s="2" t="s">
        <v>13</v>
      </c>
      <c r="G486" s="2" t="s">
        <v>202</v>
      </c>
      <c r="H486" s="3">
        <v>3</v>
      </c>
      <c r="I486" s="6">
        <v>2004</v>
      </c>
      <c r="J486" s="2" t="s">
        <v>22</v>
      </c>
      <c r="K486" s="2" t="s">
        <v>98</v>
      </c>
      <c r="L486" s="7">
        <f t="shared" si="21"/>
        <v>5000</v>
      </c>
      <c r="M486" s="2" t="str">
        <f t="shared" si="22"/>
        <v>August</v>
      </c>
      <c r="N486" s="6">
        <f t="shared" si="23"/>
        <v>2004</v>
      </c>
    </row>
    <row r="487" spans="1:14">
      <c r="A487" s="2" t="s">
        <v>36</v>
      </c>
      <c r="B487" s="3">
        <v>10289</v>
      </c>
      <c r="C487" s="3">
        <v>38</v>
      </c>
      <c r="D487" s="13">
        <v>100</v>
      </c>
      <c r="E487" s="5">
        <v>38233</v>
      </c>
      <c r="F487" s="2" t="s">
        <v>13</v>
      </c>
      <c r="G487" s="2" t="s">
        <v>202</v>
      </c>
      <c r="H487" s="3">
        <v>3</v>
      </c>
      <c r="I487" s="6">
        <v>2004</v>
      </c>
      <c r="J487" s="2" t="s">
        <v>22</v>
      </c>
      <c r="K487" s="2" t="s">
        <v>37</v>
      </c>
      <c r="L487" s="7">
        <f t="shared" si="21"/>
        <v>3800</v>
      </c>
      <c r="M487" s="2" t="str">
        <f t="shared" si="22"/>
        <v>September</v>
      </c>
      <c r="N487" s="6">
        <f t="shared" si="23"/>
        <v>2004</v>
      </c>
    </row>
    <row r="488" spans="1:14">
      <c r="A488" s="2" t="s">
        <v>101</v>
      </c>
      <c r="B488" s="3">
        <v>10304</v>
      </c>
      <c r="C488" s="3">
        <v>37</v>
      </c>
      <c r="D488" s="13">
        <v>95.55</v>
      </c>
      <c r="E488" s="5">
        <v>38271</v>
      </c>
      <c r="F488" s="2" t="s">
        <v>13</v>
      </c>
      <c r="G488" s="2" t="s">
        <v>202</v>
      </c>
      <c r="H488" s="3">
        <v>4</v>
      </c>
      <c r="I488" s="6">
        <v>2004</v>
      </c>
      <c r="J488" s="2" t="s">
        <v>22</v>
      </c>
      <c r="K488" s="2" t="s">
        <v>102</v>
      </c>
      <c r="L488" s="7">
        <f t="shared" si="21"/>
        <v>3535.35</v>
      </c>
      <c r="M488" s="2" t="str">
        <f t="shared" si="22"/>
        <v>October</v>
      </c>
      <c r="N488" s="6">
        <f t="shared" si="23"/>
        <v>2004</v>
      </c>
    </row>
    <row r="489" spans="1:14">
      <c r="A489" s="2" t="s">
        <v>103</v>
      </c>
      <c r="B489" s="3">
        <v>10312</v>
      </c>
      <c r="C489" s="3">
        <v>43</v>
      </c>
      <c r="D489" s="13">
        <v>89.38</v>
      </c>
      <c r="E489" s="5">
        <v>38281</v>
      </c>
      <c r="F489" s="2" t="s">
        <v>13</v>
      </c>
      <c r="G489" s="2" t="s">
        <v>202</v>
      </c>
      <c r="H489" s="3">
        <v>4</v>
      </c>
      <c r="I489" s="6">
        <v>2004</v>
      </c>
      <c r="J489" s="2" t="s">
        <v>22</v>
      </c>
      <c r="K489" s="2" t="s">
        <v>104</v>
      </c>
      <c r="L489" s="7">
        <f t="shared" si="21"/>
        <v>3843.34</v>
      </c>
      <c r="M489" s="2" t="str">
        <f t="shared" si="22"/>
        <v>October</v>
      </c>
      <c r="N489" s="6">
        <f t="shared" si="23"/>
        <v>2004</v>
      </c>
    </row>
    <row r="490" spans="1:14">
      <c r="A490" s="2" t="s">
        <v>105</v>
      </c>
      <c r="B490" s="3">
        <v>10322</v>
      </c>
      <c r="C490" s="3">
        <v>43</v>
      </c>
      <c r="D490" s="13">
        <v>86.3</v>
      </c>
      <c r="E490" s="5">
        <v>38295</v>
      </c>
      <c r="F490" s="2" t="s">
        <v>13</v>
      </c>
      <c r="G490" s="2" t="s">
        <v>202</v>
      </c>
      <c r="H490" s="3">
        <v>4</v>
      </c>
      <c r="I490" s="6">
        <v>2004</v>
      </c>
      <c r="J490" s="2" t="s">
        <v>22</v>
      </c>
      <c r="K490" s="2" t="s">
        <v>106</v>
      </c>
      <c r="L490" s="7">
        <f t="shared" si="21"/>
        <v>3710.9</v>
      </c>
      <c r="M490" s="2" t="str">
        <f t="shared" si="22"/>
        <v>November</v>
      </c>
      <c r="N490" s="6">
        <f t="shared" si="23"/>
        <v>2004</v>
      </c>
    </row>
    <row r="491" spans="1:14">
      <c r="A491" s="2" t="s">
        <v>183</v>
      </c>
      <c r="B491" s="3">
        <v>10332</v>
      </c>
      <c r="C491" s="3">
        <v>46</v>
      </c>
      <c r="D491" s="13">
        <v>95.13</v>
      </c>
      <c r="E491" s="5">
        <v>38308</v>
      </c>
      <c r="F491" s="2" t="s">
        <v>13</v>
      </c>
      <c r="G491" s="2" t="s">
        <v>202</v>
      </c>
      <c r="H491" s="3">
        <v>4</v>
      </c>
      <c r="I491" s="6">
        <v>2004</v>
      </c>
      <c r="J491" s="2" t="s">
        <v>22</v>
      </c>
      <c r="K491" s="2" t="s">
        <v>184</v>
      </c>
      <c r="L491" s="7">
        <f t="shared" si="21"/>
        <v>4375.98</v>
      </c>
      <c r="M491" s="2" t="str">
        <f t="shared" si="22"/>
        <v>November</v>
      </c>
      <c r="N491" s="6">
        <f t="shared" si="23"/>
        <v>2004</v>
      </c>
    </row>
    <row r="492" spans="1:14">
      <c r="A492" s="2" t="s">
        <v>198</v>
      </c>
      <c r="B492" s="3">
        <v>10346</v>
      </c>
      <c r="C492" s="3">
        <v>42</v>
      </c>
      <c r="D492" s="13">
        <v>36.11</v>
      </c>
      <c r="E492" s="5">
        <v>38320</v>
      </c>
      <c r="F492" s="2" t="s">
        <v>13</v>
      </c>
      <c r="G492" s="2" t="s">
        <v>202</v>
      </c>
      <c r="H492" s="3">
        <v>4</v>
      </c>
      <c r="I492" s="6">
        <v>2004</v>
      </c>
      <c r="J492" s="2" t="s">
        <v>15</v>
      </c>
      <c r="K492" s="2" t="s">
        <v>199</v>
      </c>
      <c r="L492" s="7">
        <f t="shared" si="21"/>
        <v>1516.62</v>
      </c>
      <c r="M492" s="2" t="str">
        <f t="shared" si="22"/>
        <v>November</v>
      </c>
      <c r="N492" s="6">
        <f t="shared" si="23"/>
        <v>2004</v>
      </c>
    </row>
    <row r="493" spans="1:14">
      <c r="A493" s="2" t="s">
        <v>21</v>
      </c>
      <c r="B493" s="3">
        <v>10356</v>
      </c>
      <c r="C493" s="3">
        <v>50</v>
      </c>
      <c r="D493" s="13">
        <v>50.18</v>
      </c>
      <c r="E493" s="5">
        <v>38330</v>
      </c>
      <c r="F493" s="2" t="s">
        <v>13</v>
      </c>
      <c r="G493" s="2" t="s">
        <v>202</v>
      </c>
      <c r="H493" s="3">
        <v>4</v>
      </c>
      <c r="I493" s="6">
        <v>2004</v>
      </c>
      <c r="J493" s="2" t="s">
        <v>15</v>
      </c>
      <c r="K493" s="2" t="s">
        <v>23</v>
      </c>
      <c r="L493" s="7">
        <f t="shared" si="21"/>
        <v>2509</v>
      </c>
      <c r="M493" s="2" t="str">
        <f t="shared" si="22"/>
        <v>December</v>
      </c>
      <c r="N493" s="6">
        <f t="shared" si="23"/>
        <v>2004</v>
      </c>
    </row>
    <row r="494" spans="1:14">
      <c r="A494" s="2" t="s">
        <v>107</v>
      </c>
      <c r="B494" s="3">
        <v>10369</v>
      </c>
      <c r="C494" s="3">
        <v>44</v>
      </c>
      <c r="D494" s="13">
        <v>100</v>
      </c>
      <c r="E494" s="5">
        <v>38372</v>
      </c>
      <c r="F494" s="2" t="s">
        <v>13</v>
      </c>
      <c r="G494" s="2" t="s">
        <v>202</v>
      </c>
      <c r="H494" s="3">
        <v>1</v>
      </c>
      <c r="I494" s="6">
        <v>2005</v>
      </c>
      <c r="J494" s="2" t="s">
        <v>61</v>
      </c>
      <c r="K494" s="2" t="s">
        <v>108</v>
      </c>
      <c r="L494" s="7">
        <f t="shared" si="21"/>
        <v>4400</v>
      </c>
      <c r="M494" s="2" t="str">
        <f t="shared" si="22"/>
        <v>January</v>
      </c>
      <c r="N494" s="6">
        <f t="shared" si="23"/>
        <v>2005</v>
      </c>
    </row>
    <row r="495" spans="1:14">
      <c r="A495" s="2" t="s">
        <v>69</v>
      </c>
      <c r="B495" s="3">
        <v>10380</v>
      </c>
      <c r="C495" s="3">
        <v>27</v>
      </c>
      <c r="D495" s="13">
        <v>93.16</v>
      </c>
      <c r="E495" s="5">
        <v>38399</v>
      </c>
      <c r="F495" s="2" t="s">
        <v>13</v>
      </c>
      <c r="G495" s="2" t="s">
        <v>202</v>
      </c>
      <c r="H495" s="3">
        <v>1</v>
      </c>
      <c r="I495" s="6">
        <v>2005</v>
      </c>
      <c r="J495" s="2" t="s">
        <v>15</v>
      </c>
      <c r="K495" s="2" t="s">
        <v>71</v>
      </c>
      <c r="L495" s="7">
        <f t="shared" si="21"/>
        <v>2515.32</v>
      </c>
      <c r="M495" s="2" t="str">
        <f t="shared" si="22"/>
        <v>February</v>
      </c>
      <c r="N495" s="6">
        <f t="shared" si="23"/>
        <v>2005</v>
      </c>
    </row>
    <row r="496" spans="1:14">
      <c r="A496" s="2" t="s">
        <v>109</v>
      </c>
      <c r="B496" s="3">
        <v>10391</v>
      </c>
      <c r="C496" s="3">
        <v>35</v>
      </c>
      <c r="D496" s="13">
        <v>100</v>
      </c>
      <c r="E496" s="5">
        <v>38420</v>
      </c>
      <c r="F496" s="2" t="s">
        <v>13</v>
      </c>
      <c r="G496" s="2" t="s">
        <v>202</v>
      </c>
      <c r="H496" s="3">
        <v>1</v>
      </c>
      <c r="I496" s="6">
        <v>2005</v>
      </c>
      <c r="J496" s="2" t="s">
        <v>22</v>
      </c>
      <c r="K496" s="2" t="s">
        <v>110</v>
      </c>
      <c r="L496" s="7">
        <f t="shared" si="21"/>
        <v>3500</v>
      </c>
      <c r="M496" s="2" t="str">
        <f t="shared" si="22"/>
        <v>March</v>
      </c>
      <c r="N496" s="6">
        <f t="shared" si="23"/>
        <v>2005</v>
      </c>
    </row>
    <row r="497" spans="1:14">
      <c r="A497" s="2" t="s">
        <v>58</v>
      </c>
      <c r="B497" s="3">
        <v>10422</v>
      </c>
      <c r="C497" s="3">
        <v>51</v>
      </c>
      <c r="D497" s="13">
        <v>95.55</v>
      </c>
      <c r="E497" s="5">
        <v>38502</v>
      </c>
      <c r="F497" s="2" t="s">
        <v>113</v>
      </c>
      <c r="G497" s="2" t="s">
        <v>202</v>
      </c>
      <c r="H497" s="3">
        <v>2</v>
      </c>
      <c r="I497" s="6">
        <v>2005</v>
      </c>
      <c r="J497" s="2" t="s">
        <v>22</v>
      </c>
      <c r="K497" s="2" t="s">
        <v>59</v>
      </c>
      <c r="L497" s="7">
        <f t="shared" si="21"/>
        <v>4873.05</v>
      </c>
      <c r="M497" s="2" t="str">
        <f t="shared" si="22"/>
        <v>May</v>
      </c>
      <c r="N497" s="6">
        <f t="shared" si="23"/>
        <v>2005</v>
      </c>
    </row>
    <row r="498" spans="1:14">
      <c r="A498" s="2" t="s">
        <v>44</v>
      </c>
      <c r="B498" s="3">
        <v>10102</v>
      </c>
      <c r="C498" s="3">
        <v>41</v>
      </c>
      <c r="D498" s="13">
        <v>50.14</v>
      </c>
      <c r="E498" s="5">
        <v>37631</v>
      </c>
      <c r="F498" s="2" t="s">
        <v>13</v>
      </c>
      <c r="G498" s="2" t="s">
        <v>202</v>
      </c>
      <c r="H498" s="3">
        <v>1</v>
      </c>
      <c r="I498" s="6">
        <v>2003</v>
      </c>
      <c r="J498" s="2" t="s">
        <v>15</v>
      </c>
      <c r="K498" s="2" t="s">
        <v>45</v>
      </c>
      <c r="L498" s="7">
        <f t="shared" si="21"/>
        <v>2055.74</v>
      </c>
      <c r="M498" s="2" t="str">
        <f t="shared" si="22"/>
        <v>January</v>
      </c>
      <c r="N498" s="6">
        <f t="shared" si="23"/>
        <v>2003</v>
      </c>
    </row>
    <row r="499" spans="1:14">
      <c r="A499" s="2" t="s">
        <v>38</v>
      </c>
      <c r="B499" s="3">
        <v>10111</v>
      </c>
      <c r="C499" s="3">
        <v>48</v>
      </c>
      <c r="D499" s="13">
        <v>49.06</v>
      </c>
      <c r="E499" s="5">
        <v>37705</v>
      </c>
      <c r="F499" s="2" t="s">
        <v>13</v>
      </c>
      <c r="G499" s="2" t="s">
        <v>202</v>
      </c>
      <c r="H499" s="3">
        <v>1</v>
      </c>
      <c r="I499" s="6">
        <v>2003</v>
      </c>
      <c r="J499" s="2" t="s">
        <v>15</v>
      </c>
      <c r="K499" s="2" t="s">
        <v>39</v>
      </c>
      <c r="L499" s="7">
        <f t="shared" si="21"/>
        <v>2354.88</v>
      </c>
      <c r="M499" s="2" t="str">
        <f t="shared" si="22"/>
        <v>March</v>
      </c>
      <c r="N499" s="6">
        <f t="shared" si="23"/>
        <v>2003</v>
      </c>
    </row>
    <row r="500" spans="1:14">
      <c r="A500" s="2" t="s">
        <v>75</v>
      </c>
      <c r="B500" s="3">
        <v>10126</v>
      </c>
      <c r="C500" s="3">
        <v>42</v>
      </c>
      <c r="D500" s="13">
        <v>54.99</v>
      </c>
      <c r="E500" s="5">
        <v>37769</v>
      </c>
      <c r="F500" s="2" t="s">
        <v>13</v>
      </c>
      <c r="G500" s="2" t="s">
        <v>202</v>
      </c>
      <c r="H500" s="3">
        <v>2</v>
      </c>
      <c r="I500" s="6">
        <v>2003</v>
      </c>
      <c r="J500" s="2" t="s">
        <v>15</v>
      </c>
      <c r="K500" s="2" t="s">
        <v>76</v>
      </c>
      <c r="L500" s="7">
        <f t="shared" si="21"/>
        <v>2309.58</v>
      </c>
      <c r="M500" s="2" t="str">
        <f t="shared" si="22"/>
        <v>May</v>
      </c>
      <c r="N500" s="6">
        <f t="shared" si="23"/>
        <v>2003</v>
      </c>
    </row>
    <row r="501" spans="1:14">
      <c r="A501" s="2" t="s">
        <v>63</v>
      </c>
      <c r="B501" s="3">
        <v>10139</v>
      </c>
      <c r="C501" s="3">
        <v>49</v>
      </c>
      <c r="D501" s="13">
        <v>43.13</v>
      </c>
      <c r="E501" s="5">
        <v>37818</v>
      </c>
      <c r="F501" s="2" t="s">
        <v>13</v>
      </c>
      <c r="G501" s="2" t="s">
        <v>202</v>
      </c>
      <c r="H501" s="3">
        <v>3</v>
      </c>
      <c r="I501" s="6">
        <v>2003</v>
      </c>
      <c r="J501" s="2" t="s">
        <v>15</v>
      </c>
      <c r="K501" s="2" t="s">
        <v>64</v>
      </c>
      <c r="L501" s="7">
        <f t="shared" si="21"/>
        <v>2113.37</v>
      </c>
      <c r="M501" s="2" t="str">
        <f t="shared" si="22"/>
        <v>July</v>
      </c>
      <c r="N501" s="6">
        <f t="shared" si="23"/>
        <v>2003</v>
      </c>
    </row>
    <row r="502" spans="1:14">
      <c r="A502" s="2" t="s">
        <v>194</v>
      </c>
      <c r="B502" s="3">
        <v>10149</v>
      </c>
      <c r="C502" s="3">
        <v>30</v>
      </c>
      <c r="D502" s="13">
        <v>58.22</v>
      </c>
      <c r="E502" s="5">
        <v>37876</v>
      </c>
      <c r="F502" s="2" t="s">
        <v>13</v>
      </c>
      <c r="G502" s="2" t="s">
        <v>202</v>
      </c>
      <c r="H502" s="3">
        <v>3</v>
      </c>
      <c r="I502" s="6">
        <v>2003</v>
      </c>
      <c r="J502" s="2" t="s">
        <v>15</v>
      </c>
      <c r="K502" s="2" t="s">
        <v>195</v>
      </c>
      <c r="L502" s="7">
        <f t="shared" si="21"/>
        <v>1746.6</v>
      </c>
      <c r="M502" s="2" t="str">
        <f t="shared" si="22"/>
        <v>September</v>
      </c>
      <c r="N502" s="6">
        <f t="shared" si="23"/>
        <v>2003</v>
      </c>
    </row>
    <row r="503" spans="1:14">
      <c r="A503" s="2" t="s">
        <v>28</v>
      </c>
      <c r="B503" s="3">
        <v>10162</v>
      </c>
      <c r="C503" s="3">
        <v>45</v>
      </c>
      <c r="D503" s="13">
        <v>51.21</v>
      </c>
      <c r="E503" s="5">
        <v>37912</v>
      </c>
      <c r="F503" s="2" t="s">
        <v>13</v>
      </c>
      <c r="G503" s="2" t="s">
        <v>202</v>
      </c>
      <c r="H503" s="3">
        <v>4</v>
      </c>
      <c r="I503" s="6">
        <v>2003</v>
      </c>
      <c r="J503" s="2" t="s">
        <v>15</v>
      </c>
      <c r="K503" s="2" t="s">
        <v>29</v>
      </c>
      <c r="L503" s="7">
        <f t="shared" si="21"/>
        <v>2304.45</v>
      </c>
      <c r="M503" s="2" t="str">
        <f t="shared" si="22"/>
        <v>October</v>
      </c>
      <c r="N503" s="6">
        <f t="shared" si="23"/>
        <v>2003</v>
      </c>
    </row>
    <row r="504" spans="1:14">
      <c r="A504" s="2" t="s">
        <v>203</v>
      </c>
      <c r="B504" s="3">
        <v>10173</v>
      </c>
      <c r="C504" s="3">
        <v>48</v>
      </c>
      <c r="D504" s="13">
        <v>44.21</v>
      </c>
      <c r="E504" s="5">
        <v>37930</v>
      </c>
      <c r="F504" s="2" t="s">
        <v>13</v>
      </c>
      <c r="G504" s="2" t="s">
        <v>202</v>
      </c>
      <c r="H504" s="3">
        <v>4</v>
      </c>
      <c r="I504" s="6">
        <v>2003</v>
      </c>
      <c r="J504" s="2" t="s">
        <v>15</v>
      </c>
      <c r="K504" s="2" t="s">
        <v>204</v>
      </c>
      <c r="L504" s="7">
        <f t="shared" si="21"/>
        <v>2122.08</v>
      </c>
      <c r="M504" s="2" t="str">
        <f t="shared" si="22"/>
        <v>November</v>
      </c>
      <c r="N504" s="6">
        <f t="shared" si="23"/>
        <v>2003</v>
      </c>
    </row>
    <row r="505" spans="1:14">
      <c r="A505" s="2" t="s">
        <v>103</v>
      </c>
      <c r="B505" s="3">
        <v>10182</v>
      </c>
      <c r="C505" s="3">
        <v>32</v>
      </c>
      <c r="D505" s="13">
        <v>54.45</v>
      </c>
      <c r="E505" s="5">
        <v>37937</v>
      </c>
      <c r="F505" s="2" t="s">
        <v>13</v>
      </c>
      <c r="G505" s="2" t="s">
        <v>202</v>
      </c>
      <c r="H505" s="3">
        <v>4</v>
      </c>
      <c r="I505" s="6">
        <v>2003</v>
      </c>
      <c r="J505" s="2" t="s">
        <v>15</v>
      </c>
      <c r="K505" s="2" t="s">
        <v>104</v>
      </c>
      <c r="L505" s="7">
        <f t="shared" si="21"/>
        <v>1742.4</v>
      </c>
      <c r="M505" s="2" t="str">
        <f t="shared" si="22"/>
        <v>November</v>
      </c>
      <c r="N505" s="6">
        <f t="shared" si="23"/>
        <v>2003</v>
      </c>
    </row>
    <row r="506" spans="1:14">
      <c r="A506" s="2" t="s">
        <v>205</v>
      </c>
      <c r="B506" s="3">
        <v>10193</v>
      </c>
      <c r="C506" s="3">
        <v>46</v>
      </c>
      <c r="D506" s="13">
        <v>53.37</v>
      </c>
      <c r="E506" s="5">
        <v>37946</v>
      </c>
      <c r="F506" s="2" t="s">
        <v>13</v>
      </c>
      <c r="G506" s="2" t="s">
        <v>202</v>
      </c>
      <c r="H506" s="3">
        <v>4</v>
      </c>
      <c r="I506" s="6">
        <v>2003</v>
      </c>
      <c r="J506" s="2" t="s">
        <v>15</v>
      </c>
      <c r="K506" s="2" t="s">
        <v>206</v>
      </c>
      <c r="L506" s="7">
        <f t="shared" si="21"/>
        <v>2455.02</v>
      </c>
      <c r="M506" s="2" t="str">
        <f t="shared" si="22"/>
        <v>November</v>
      </c>
      <c r="N506" s="6">
        <f t="shared" si="23"/>
        <v>2003</v>
      </c>
    </row>
    <row r="507" spans="1:14">
      <c r="A507" s="2" t="s">
        <v>69</v>
      </c>
      <c r="B507" s="3">
        <v>10205</v>
      </c>
      <c r="C507" s="3">
        <v>48</v>
      </c>
      <c r="D507" s="13">
        <v>63.61</v>
      </c>
      <c r="E507" s="5">
        <v>37958</v>
      </c>
      <c r="F507" s="2" t="s">
        <v>13</v>
      </c>
      <c r="G507" s="2" t="s">
        <v>202</v>
      </c>
      <c r="H507" s="3">
        <v>4</v>
      </c>
      <c r="I507" s="6">
        <v>2003</v>
      </c>
      <c r="J507" s="2" t="s">
        <v>22</v>
      </c>
      <c r="K507" s="2" t="s">
        <v>71</v>
      </c>
      <c r="L507" s="7">
        <f t="shared" si="21"/>
        <v>3053.28</v>
      </c>
      <c r="M507" s="2" t="str">
        <f t="shared" si="22"/>
        <v>December</v>
      </c>
      <c r="N507" s="6">
        <f t="shared" si="23"/>
        <v>2003</v>
      </c>
    </row>
    <row r="508" spans="1:14">
      <c r="A508" s="2" t="s">
        <v>89</v>
      </c>
      <c r="B508" s="3">
        <v>10215</v>
      </c>
      <c r="C508" s="3">
        <v>33</v>
      </c>
      <c r="D508" s="13">
        <v>43.13</v>
      </c>
      <c r="E508" s="5">
        <v>38015</v>
      </c>
      <c r="F508" s="2" t="s">
        <v>13</v>
      </c>
      <c r="G508" s="2" t="s">
        <v>202</v>
      </c>
      <c r="H508" s="3">
        <v>1</v>
      </c>
      <c r="I508" s="6">
        <v>2004</v>
      </c>
      <c r="J508" s="2" t="s">
        <v>15</v>
      </c>
      <c r="K508" s="2" t="s">
        <v>90</v>
      </c>
      <c r="L508" s="7">
        <f t="shared" si="21"/>
        <v>1423.29</v>
      </c>
      <c r="M508" s="2" t="str">
        <f t="shared" si="22"/>
        <v>January</v>
      </c>
      <c r="N508" s="6">
        <f t="shared" si="23"/>
        <v>2004</v>
      </c>
    </row>
    <row r="509" spans="1:14">
      <c r="A509" s="2" t="s">
        <v>85</v>
      </c>
      <c r="B509" s="3">
        <v>10227</v>
      </c>
      <c r="C509" s="3">
        <v>31</v>
      </c>
      <c r="D509" s="13">
        <v>48.52</v>
      </c>
      <c r="E509" s="5">
        <v>38048</v>
      </c>
      <c r="F509" s="2" t="s">
        <v>13</v>
      </c>
      <c r="G509" s="2" t="s">
        <v>202</v>
      </c>
      <c r="H509" s="3">
        <v>1</v>
      </c>
      <c r="I509" s="6">
        <v>2004</v>
      </c>
      <c r="J509" s="2" t="s">
        <v>15</v>
      </c>
      <c r="K509" s="2" t="s">
        <v>86</v>
      </c>
      <c r="L509" s="7">
        <f t="shared" si="21"/>
        <v>1504.12</v>
      </c>
      <c r="M509" s="2" t="str">
        <f t="shared" si="22"/>
        <v>March</v>
      </c>
      <c r="N509" s="6">
        <f t="shared" si="23"/>
        <v>2004</v>
      </c>
    </row>
    <row r="510" spans="1:14">
      <c r="A510" s="2" t="s">
        <v>69</v>
      </c>
      <c r="B510" s="3">
        <v>10244</v>
      </c>
      <c r="C510" s="3">
        <v>20</v>
      </c>
      <c r="D510" s="13">
        <v>58.22</v>
      </c>
      <c r="E510" s="5">
        <v>38106</v>
      </c>
      <c r="F510" s="2" t="s">
        <v>13</v>
      </c>
      <c r="G510" s="2" t="s">
        <v>202</v>
      </c>
      <c r="H510" s="3">
        <v>2</v>
      </c>
      <c r="I510" s="6">
        <v>2004</v>
      </c>
      <c r="J510" s="2" t="s">
        <v>15</v>
      </c>
      <c r="K510" s="2" t="s">
        <v>71</v>
      </c>
      <c r="L510" s="7">
        <f t="shared" si="21"/>
        <v>1164.4</v>
      </c>
      <c r="M510" s="2" t="str">
        <f t="shared" si="22"/>
        <v>April</v>
      </c>
      <c r="N510" s="6">
        <f t="shared" si="23"/>
        <v>2004</v>
      </c>
    </row>
    <row r="511" spans="1:14">
      <c r="A511" s="2" t="s">
        <v>122</v>
      </c>
      <c r="B511" s="3">
        <v>10256</v>
      </c>
      <c r="C511" s="3">
        <v>29</v>
      </c>
      <c r="D511" s="13">
        <v>51.75</v>
      </c>
      <c r="E511" s="5">
        <v>38146</v>
      </c>
      <c r="F511" s="2" t="s">
        <v>13</v>
      </c>
      <c r="G511" s="2" t="s">
        <v>202</v>
      </c>
      <c r="H511" s="3">
        <v>2</v>
      </c>
      <c r="I511" s="6">
        <v>2004</v>
      </c>
      <c r="J511" s="2" t="s">
        <v>15</v>
      </c>
      <c r="K511" s="2" t="s">
        <v>123</v>
      </c>
      <c r="L511" s="7">
        <f t="shared" si="21"/>
        <v>1500.75</v>
      </c>
      <c r="M511" s="2" t="str">
        <f t="shared" si="22"/>
        <v>June</v>
      </c>
      <c r="N511" s="6">
        <f t="shared" si="23"/>
        <v>2004</v>
      </c>
    </row>
    <row r="512" spans="1:14">
      <c r="A512" s="2" t="s">
        <v>97</v>
      </c>
      <c r="B512" s="3">
        <v>10280</v>
      </c>
      <c r="C512" s="3">
        <v>27</v>
      </c>
      <c r="D512" s="13">
        <v>57.68</v>
      </c>
      <c r="E512" s="5">
        <v>38216</v>
      </c>
      <c r="F512" s="2" t="s">
        <v>13</v>
      </c>
      <c r="G512" s="2" t="s">
        <v>202</v>
      </c>
      <c r="H512" s="3">
        <v>3</v>
      </c>
      <c r="I512" s="6">
        <v>2004</v>
      </c>
      <c r="J512" s="2" t="s">
        <v>15</v>
      </c>
      <c r="K512" s="2" t="s">
        <v>98</v>
      </c>
      <c r="L512" s="7">
        <f t="shared" si="21"/>
        <v>1557.36</v>
      </c>
      <c r="M512" s="2" t="str">
        <f t="shared" si="22"/>
        <v>August</v>
      </c>
      <c r="N512" s="6">
        <f t="shared" si="23"/>
        <v>2004</v>
      </c>
    </row>
    <row r="513" spans="1:14">
      <c r="A513" s="2" t="s">
        <v>36</v>
      </c>
      <c r="B513" s="3">
        <v>10289</v>
      </c>
      <c r="C513" s="3">
        <v>24</v>
      </c>
      <c r="D513" s="13">
        <v>56.07</v>
      </c>
      <c r="E513" s="5">
        <v>38233</v>
      </c>
      <c r="F513" s="2" t="s">
        <v>13</v>
      </c>
      <c r="G513" s="2" t="s">
        <v>202</v>
      </c>
      <c r="H513" s="3">
        <v>3</v>
      </c>
      <c r="I513" s="6">
        <v>2004</v>
      </c>
      <c r="J513" s="2" t="s">
        <v>15</v>
      </c>
      <c r="K513" s="2" t="s">
        <v>37</v>
      </c>
      <c r="L513" s="7">
        <f t="shared" si="21"/>
        <v>1345.68</v>
      </c>
      <c r="M513" s="2" t="str">
        <f t="shared" si="22"/>
        <v>September</v>
      </c>
      <c r="N513" s="6">
        <f t="shared" si="23"/>
        <v>2004</v>
      </c>
    </row>
    <row r="514" spans="1:14">
      <c r="A514" s="2" t="s">
        <v>101</v>
      </c>
      <c r="B514" s="3">
        <v>10304</v>
      </c>
      <c r="C514" s="3">
        <v>37</v>
      </c>
      <c r="D514" s="13">
        <v>48.52</v>
      </c>
      <c r="E514" s="5">
        <v>38271</v>
      </c>
      <c r="F514" s="2" t="s">
        <v>13</v>
      </c>
      <c r="G514" s="2" t="s">
        <v>202</v>
      </c>
      <c r="H514" s="3">
        <v>4</v>
      </c>
      <c r="I514" s="6">
        <v>2004</v>
      </c>
      <c r="J514" s="2" t="s">
        <v>15</v>
      </c>
      <c r="K514" s="2" t="s">
        <v>102</v>
      </c>
      <c r="L514" s="7">
        <f t="shared" ref="L514:L577" si="24">PRODUCT(C514,D514)</f>
        <v>1795.24</v>
      </c>
      <c r="M514" s="2" t="str">
        <f t="shared" ref="M514:M577" si="25">TEXT(E514,"MMMM")</f>
        <v>October</v>
      </c>
      <c r="N514" s="6">
        <f t="shared" ref="N514:N577" si="26">YEAR(E514)</f>
        <v>2004</v>
      </c>
    </row>
    <row r="515" spans="1:14">
      <c r="A515" s="2" t="s">
        <v>103</v>
      </c>
      <c r="B515" s="3">
        <v>10312</v>
      </c>
      <c r="C515" s="3">
        <v>25</v>
      </c>
      <c r="D515" s="13">
        <v>44.21</v>
      </c>
      <c r="E515" s="5">
        <v>38281</v>
      </c>
      <c r="F515" s="2" t="s">
        <v>13</v>
      </c>
      <c r="G515" s="2" t="s">
        <v>202</v>
      </c>
      <c r="H515" s="3">
        <v>4</v>
      </c>
      <c r="I515" s="6">
        <v>2004</v>
      </c>
      <c r="J515" s="2" t="s">
        <v>15</v>
      </c>
      <c r="K515" s="2" t="s">
        <v>104</v>
      </c>
      <c r="L515" s="7">
        <f t="shared" si="24"/>
        <v>1105.25</v>
      </c>
      <c r="M515" s="2" t="str">
        <f t="shared" si="25"/>
        <v>October</v>
      </c>
      <c r="N515" s="6">
        <f t="shared" si="26"/>
        <v>2004</v>
      </c>
    </row>
    <row r="516" spans="1:14">
      <c r="A516" s="2" t="s">
        <v>105</v>
      </c>
      <c r="B516" s="3">
        <v>10322</v>
      </c>
      <c r="C516" s="3">
        <v>41</v>
      </c>
      <c r="D516" s="13">
        <v>57.68</v>
      </c>
      <c r="E516" s="5">
        <v>38295</v>
      </c>
      <c r="F516" s="2" t="s">
        <v>13</v>
      </c>
      <c r="G516" s="2" t="s">
        <v>202</v>
      </c>
      <c r="H516" s="3">
        <v>4</v>
      </c>
      <c r="I516" s="6">
        <v>2004</v>
      </c>
      <c r="J516" s="2" t="s">
        <v>15</v>
      </c>
      <c r="K516" s="2" t="s">
        <v>106</v>
      </c>
      <c r="L516" s="7">
        <f t="shared" si="24"/>
        <v>2364.88</v>
      </c>
      <c r="M516" s="2" t="str">
        <f t="shared" si="25"/>
        <v>November</v>
      </c>
      <c r="N516" s="6">
        <f t="shared" si="26"/>
        <v>2004</v>
      </c>
    </row>
    <row r="517" spans="1:14">
      <c r="A517" s="2" t="s">
        <v>183</v>
      </c>
      <c r="B517" s="3">
        <v>10332</v>
      </c>
      <c r="C517" s="3">
        <v>27</v>
      </c>
      <c r="D517" s="13">
        <v>89.89</v>
      </c>
      <c r="E517" s="5">
        <v>38308</v>
      </c>
      <c r="F517" s="2" t="s">
        <v>13</v>
      </c>
      <c r="G517" s="2" t="s">
        <v>202</v>
      </c>
      <c r="H517" s="3">
        <v>4</v>
      </c>
      <c r="I517" s="6">
        <v>2004</v>
      </c>
      <c r="J517" s="2" t="s">
        <v>15</v>
      </c>
      <c r="K517" s="2" t="s">
        <v>184</v>
      </c>
      <c r="L517" s="7">
        <f t="shared" si="24"/>
        <v>2427.03</v>
      </c>
      <c r="M517" s="2" t="str">
        <f t="shared" si="25"/>
        <v>November</v>
      </c>
      <c r="N517" s="6">
        <f t="shared" si="26"/>
        <v>2004</v>
      </c>
    </row>
    <row r="518" spans="1:14">
      <c r="A518" s="2" t="s">
        <v>42</v>
      </c>
      <c r="B518" s="3">
        <v>10347</v>
      </c>
      <c r="C518" s="3">
        <v>21</v>
      </c>
      <c r="D518" s="13">
        <v>58.95</v>
      </c>
      <c r="E518" s="5">
        <v>38320</v>
      </c>
      <c r="F518" s="2" t="s">
        <v>13</v>
      </c>
      <c r="G518" s="2" t="s">
        <v>202</v>
      </c>
      <c r="H518" s="3">
        <v>4</v>
      </c>
      <c r="I518" s="6">
        <v>2004</v>
      </c>
      <c r="J518" s="2" t="s">
        <v>15</v>
      </c>
      <c r="K518" s="2" t="s">
        <v>43</v>
      </c>
      <c r="L518" s="7">
        <f t="shared" si="24"/>
        <v>1237.95</v>
      </c>
      <c r="M518" s="2" t="str">
        <f t="shared" si="25"/>
        <v>November</v>
      </c>
      <c r="N518" s="6">
        <f t="shared" si="26"/>
        <v>2004</v>
      </c>
    </row>
    <row r="519" spans="1:14">
      <c r="A519" s="2" t="s">
        <v>21</v>
      </c>
      <c r="B519" s="3">
        <v>10356</v>
      </c>
      <c r="C519" s="3">
        <v>22</v>
      </c>
      <c r="D519" s="13">
        <v>72.41</v>
      </c>
      <c r="E519" s="5">
        <v>38330</v>
      </c>
      <c r="F519" s="2" t="s">
        <v>13</v>
      </c>
      <c r="G519" s="2" t="s">
        <v>202</v>
      </c>
      <c r="H519" s="3">
        <v>4</v>
      </c>
      <c r="I519" s="6">
        <v>2004</v>
      </c>
      <c r="J519" s="2" t="s">
        <v>15</v>
      </c>
      <c r="K519" s="2" t="s">
        <v>23</v>
      </c>
      <c r="L519" s="7">
        <f t="shared" si="24"/>
        <v>1593.02</v>
      </c>
      <c r="M519" s="2" t="str">
        <f t="shared" si="25"/>
        <v>December</v>
      </c>
      <c r="N519" s="6">
        <f t="shared" si="26"/>
        <v>2004</v>
      </c>
    </row>
    <row r="520" spans="1:14">
      <c r="A520" s="2" t="s">
        <v>107</v>
      </c>
      <c r="B520" s="3">
        <v>10369</v>
      </c>
      <c r="C520" s="3">
        <v>32</v>
      </c>
      <c r="D520" s="13">
        <v>98.63</v>
      </c>
      <c r="E520" s="5">
        <v>38372</v>
      </c>
      <c r="F520" s="2" t="s">
        <v>13</v>
      </c>
      <c r="G520" s="2" t="s">
        <v>202</v>
      </c>
      <c r="H520" s="3">
        <v>1</v>
      </c>
      <c r="I520" s="6">
        <v>2005</v>
      </c>
      <c r="J520" s="2" t="s">
        <v>22</v>
      </c>
      <c r="K520" s="2" t="s">
        <v>108</v>
      </c>
      <c r="L520" s="7">
        <f t="shared" si="24"/>
        <v>3156.16</v>
      </c>
      <c r="M520" s="2" t="str">
        <f t="shared" si="25"/>
        <v>January</v>
      </c>
      <c r="N520" s="6">
        <f t="shared" si="26"/>
        <v>2005</v>
      </c>
    </row>
    <row r="521" spans="1:14">
      <c r="A521" s="2" t="s">
        <v>28</v>
      </c>
      <c r="B521" s="3">
        <v>10381</v>
      </c>
      <c r="C521" s="3">
        <v>25</v>
      </c>
      <c r="D521" s="13">
        <v>52.83</v>
      </c>
      <c r="E521" s="5">
        <v>38400</v>
      </c>
      <c r="F521" s="2" t="s">
        <v>13</v>
      </c>
      <c r="G521" s="2" t="s">
        <v>202</v>
      </c>
      <c r="H521" s="3">
        <v>1</v>
      </c>
      <c r="I521" s="6">
        <v>2005</v>
      </c>
      <c r="J521" s="2" t="s">
        <v>15</v>
      </c>
      <c r="K521" s="2" t="s">
        <v>29</v>
      </c>
      <c r="L521" s="7">
        <f t="shared" si="24"/>
        <v>1320.75</v>
      </c>
      <c r="M521" s="2" t="str">
        <f t="shared" si="25"/>
        <v>February</v>
      </c>
      <c r="N521" s="6">
        <f t="shared" si="26"/>
        <v>2005</v>
      </c>
    </row>
    <row r="522" spans="1:14">
      <c r="A522" s="2" t="s">
        <v>109</v>
      </c>
      <c r="B522" s="3">
        <v>10391</v>
      </c>
      <c r="C522" s="3">
        <v>42</v>
      </c>
      <c r="D522" s="13">
        <v>100</v>
      </c>
      <c r="E522" s="5">
        <v>38420</v>
      </c>
      <c r="F522" s="2" t="s">
        <v>13</v>
      </c>
      <c r="G522" s="2" t="s">
        <v>202</v>
      </c>
      <c r="H522" s="3">
        <v>1</v>
      </c>
      <c r="I522" s="6">
        <v>2005</v>
      </c>
      <c r="J522" s="2" t="s">
        <v>22</v>
      </c>
      <c r="K522" s="2" t="s">
        <v>110</v>
      </c>
      <c r="L522" s="7">
        <f t="shared" si="24"/>
        <v>4200</v>
      </c>
      <c r="M522" s="2" t="str">
        <f t="shared" si="25"/>
        <v>March</v>
      </c>
      <c r="N522" s="6">
        <f t="shared" si="26"/>
        <v>2005</v>
      </c>
    </row>
    <row r="523" spans="1:14">
      <c r="A523" s="2" t="s">
        <v>58</v>
      </c>
      <c r="B523" s="3">
        <v>10422</v>
      </c>
      <c r="C523" s="3">
        <v>25</v>
      </c>
      <c r="D523" s="13">
        <v>51.75</v>
      </c>
      <c r="E523" s="5">
        <v>38502</v>
      </c>
      <c r="F523" s="2" t="s">
        <v>113</v>
      </c>
      <c r="G523" s="2" t="s">
        <v>202</v>
      </c>
      <c r="H523" s="3">
        <v>2</v>
      </c>
      <c r="I523" s="6">
        <v>2005</v>
      </c>
      <c r="J523" s="2" t="s">
        <v>15</v>
      </c>
      <c r="K523" s="2" t="s">
        <v>59</v>
      </c>
      <c r="L523" s="7">
        <f t="shared" si="24"/>
        <v>1293.75</v>
      </c>
      <c r="M523" s="2" t="str">
        <f t="shared" si="25"/>
        <v>May</v>
      </c>
      <c r="N523" s="6">
        <f t="shared" si="26"/>
        <v>2005</v>
      </c>
    </row>
    <row r="524" spans="1:14">
      <c r="A524" s="2" t="s">
        <v>183</v>
      </c>
      <c r="B524" s="3">
        <v>10110</v>
      </c>
      <c r="C524" s="3">
        <v>37</v>
      </c>
      <c r="D524" s="13">
        <v>100</v>
      </c>
      <c r="E524" s="5">
        <v>37698</v>
      </c>
      <c r="F524" s="2" t="s">
        <v>13</v>
      </c>
      <c r="G524" s="2" t="s">
        <v>72</v>
      </c>
      <c r="H524" s="3">
        <v>1</v>
      </c>
      <c r="I524" s="6">
        <v>2003</v>
      </c>
      <c r="J524" s="2" t="s">
        <v>22</v>
      </c>
      <c r="K524" s="2" t="s">
        <v>184</v>
      </c>
      <c r="L524" s="7">
        <f t="shared" si="24"/>
        <v>3700</v>
      </c>
      <c r="M524" s="2" t="str">
        <f t="shared" si="25"/>
        <v>March</v>
      </c>
      <c r="N524" s="6">
        <f t="shared" si="26"/>
        <v>2003</v>
      </c>
    </row>
    <row r="525" spans="1:14">
      <c r="A525" s="2" t="s">
        <v>118</v>
      </c>
      <c r="B525" s="3">
        <v>10123</v>
      </c>
      <c r="C525" s="3">
        <v>26</v>
      </c>
      <c r="D525" s="13">
        <v>100</v>
      </c>
      <c r="E525" s="5">
        <v>37761</v>
      </c>
      <c r="F525" s="2" t="s">
        <v>13</v>
      </c>
      <c r="G525" s="2" t="s">
        <v>72</v>
      </c>
      <c r="H525" s="3">
        <v>2</v>
      </c>
      <c r="I525" s="6">
        <v>2003</v>
      </c>
      <c r="J525" s="2" t="s">
        <v>22</v>
      </c>
      <c r="K525" s="2" t="s">
        <v>119</v>
      </c>
      <c r="L525" s="7">
        <f t="shared" si="24"/>
        <v>2600</v>
      </c>
      <c r="M525" s="2" t="str">
        <f t="shared" si="25"/>
        <v>May</v>
      </c>
      <c r="N525" s="6">
        <f t="shared" si="26"/>
        <v>2003</v>
      </c>
    </row>
    <row r="526" spans="1:14">
      <c r="A526" s="2" t="s">
        <v>18</v>
      </c>
      <c r="B526" s="3">
        <v>10137</v>
      </c>
      <c r="C526" s="3">
        <v>44</v>
      </c>
      <c r="D526" s="13">
        <v>99.55</v>
      </c>
      <c r="E526" s="5">
        <v>37812</v>
      </c>
      <c r="F526" s="2" t="s">
        <v>13</v>
      </c>
      <c r="G526" s="2" t="s">
        <v>72</v>
      </c>
      <c r="H526" s="3">
        <v>3</v>
      </c>
      <c r="I526" s="6">
        <v>2003</v>
      </c>
      <c r="J526" s="2" t="s">
        <v>22</v>
      </c>
      <c r="K526" s="2" t="s">
        <v>19</v>
      </c>
      <c r="L526" s="7">
        <f t="shared" si="24"/>
        <v>4380.2</v>
      </c>
      <c r="M526" s="2" t="str">
        <f t="shared" si="25"/>
        <v>July</v>
      </c>
      <c r="N526" s="6">
        <f t="shared" si="26"/>
        <v>2003</v>
      </c>
    </row>
    <row r="527" spans="1:14">
      <c r="A527" s="2" t="s">
        <v>109</v>
      </c>
      <c r="B527" s="3">
        <v>10148</v>
      </c>
      <c r="C527" s="3">
        <v>47</v>
      </c>
      <c r="D527" s="13">
        <v>100</v>
      </c>
      <c r="E527" s="5">
        <v>37875</v>
      </c>
      <c r="F527" s="2" t="s">
        <v>13</v>
      </c>
      <c r="G527" s="2" t="s">
        <v>72</v>
      </c>
      <c r="H527" s="3">
        <v>3</v>
      </c>
      <c r="I527" s="6">
        <v>2003</v>
      </c>
      <c r="J527" s="2" t="s">
        <v>22</v>
      </c>
      <c r="K527" s="2" t="s">
        <v>110</v>
      </c>
      <c r="L527" s="7">
        <f t="shared" si="24"/>
        <v>4700</v>
      </c>
      <c r="M527" s="2" t="str">
        <f t="shared" si="25"/>
        <v>September</v>
      </c>
      <c r="N527" s="6">
        <f t="shared" si="26"/>
        <v>2003</v>
      </c>
    </row>
    <row r="528" spans="1:14">
      <c r="A528" s="2" t="s">
        <v>185</v>
      </c>
      <c r="B528" s="3">
        <v>10161</v>
      </c>
      <c r="C528" s="3">
        <v>43</v>
      </c>
      <c r="D528" s="13">
        <v>100</v>
      </c>
      <c r="E528" s="5">
        <v>37911</v>
      </c>
      <c r="F528" s="2" t="s">
        <v>13</v>
      </c>
      <c r="G528" s="2" t="s">
        <v>72</v>
      </c>
      <c r="H528" s="3">
        <v>4</v>
      </c>
      <c r="I528" s="6">
        <v>2003</v>
      </c>
      <c r="J528" s="2" t="s">
        <v>22</v>
      </c>
      <c r="K528" s="2" t="s">
        <v>186</v>
      </c>
      <c r="L528" s="7">
        <f t="shared" si="24"/>
        <v>4300</v>
      </c>
      <c r="M528" s="2" t="str">
        <f t="shared" si="25"/>
        <v>October</v>
      </c>
      <c r="N528" s="6">
        <f t="shared" si="26"/>
        <v>2003</v>
      </c>
    </row>
    <row r="529" spans="1:14">
      <c r="A529" s="2" t="s">
        <v>48</v>
      </c>
      <c r="B529" s="3">
        <v>10172</v>
      </c>
      <c r="C529" s="3">
        <v>42</v>
      </c>
      <c r="D529" s="13">
        <v>100</v>
      </c>
      <c r="E529" s="5">
        <v>37930</v>
      </c>
      <c r="F529" s="2" t="s">
        <v>13</v>
      </c>
      <c r="G529" s="2" t="s">
        <v>72</v>
      </c>
      <c r="H529" s="3">
        <v>4</v>
      </c>
      <c r="I529" s="6">
        <v>2003</v>
      </c>
      <c r="J529" s="2" t="s">
        <v>22</v>
      </c>
      <c r="K529" s="2" t="s">
        <v>49</v>
      </c>
      <c r="L529" s="7">
        <f t="shared" si="24"/>
        <v>4200</v>
      </c>
      <c r="M529" s="2" t="str">
        <f t="shared" si="25"/>
        <v>November</v>
      </c>
      <c r="N529" s="6">
        <f t="shared" si="26"/>
        <v>2003</v>
      </c>
    </row>
    <row r="530" spans="1:14">
      <c r="A530" s="2" t="s">
        <v>36</v>
      </c>
      <c r="B530" s="3">
        <v>10181</v>
      </c>
      <c r="C530" s="3">
        <v>42</v>
      </c>
      <c r="D530" s="13">
        <v>100</v>
      </c>
      <c r="E530" s="5">
        <v>37937</v>
      </c>
      <c r="F530" s="2" t="s">
        <v>13</v>
      </c>
      <c r="G530" s="2" t="s">
        <v>72</v>
      </c>
      <c r="H530" s="3">
        <v>4</v>
      </c>
      <c r="I530" s="6">
        <v>2003</v>
      </c>
      <c r="J530" s="2" t="s">
        <v>22</v>
      </c>
      <c r="K530" s="2" t="s">
        <v>37</v>
      </c>
      <c r="L530" s="7">
        <f t="shared" si="24"/>
        <v>4200</v>
      </c>
      <c r="M530" s="2" t="str">
        <f t="shared" si="25"/>
        <v>November</v>
      </c>
      <c r="N530" s="6">
        <f t="shared" si="26"/>
        <v>2003</v>
      </c>
    </row>
    <row r="531" spans="1:14">
      <c r="A531" s="2" t="s">
        <v>105</v>
      </c>
      <c r="B531" s="3">
        <v>10192</v>
      </c>
      <c r="C531" s="3">
        <v>29</v>
      </c>
      <c r="D531" s="13">
        <v>100</v>
      </c>
      <c r="E531" s="5">
        <v>37945</v>
      </c>
      <c r="F531" s="2" t="s">
        <v>13</v>
      </c>
      <c r="G531" s="2" t="s">
        <v>72</v>
      </c>
      <c r="H531" s="3">
        <v>4</v>
      </c>
      <c r="I531" s="6">
        <v>2003</v>
      </c>
      <c r="J531" s="2" t="s">
        <v>22</v>
      </c>
      <c r="K531" s="2" t="s">
        <v>106</v>
      </c>
      <c r="L531" s="7">
        <f t="shared" si="24"/>
        <v>2900</v>
      </c>
      <c r="M531" s="2" t="str">
        <f t="shared" si="25"/>
        <v>November</v>
      </c>
      <c r="N531" s="6">
        <f t="shared" si="26"/>
        <v>2003</v>
      </c>
    </row>
    <row r="532" spans="1:14">
      <c r="A532" s="2" t="s">
        <v>177</v>
      </c>
      <c r="B532" s="3">
        <v>10204</v>
      </c>
      <c r="C532" s="3">
        <v>40</v>
      </c>
      <c r="D532" s="13">
        <v>100</v>
      </c>
      <c r="E532" s="5">
        <v>37957</v>
      </c>
      <c r="F532" s="2" t="s">
        <v>13</v>
      </c>
      <c r="G532" s="2" t="s">
        <v>72</v>
      </c>
      <c r="H532" s="3">
        <v>4</v>
      </c>
      <c r="I532" s="6">
        <v>2003</v>
      </c>
      <c r="J532" s="2" t="s">
        <v>22</v>
      </c>
      <c r="K532" s="2" t="s">
        <v>178</v>
      </c>
      <c r="L532" s="7">
        <f t="shared" si="24"/>
        <v>4000</v>
      </c>
      <c r="M532" s="2" t="str">
        <f t="shared" si="25"/>
        <v>December</v>
      </c>
      <c r="N532" s="6">
        <f t="shared" si="26"/>
        <v>2003</v>
      </c>
    </row>
    <row r="533" spans="1:14">
      <c r="A533" s="2" t="s">
        <v>69</v>
      </c>
      <c r="B533" s="3">
        <v>10212</v>
      </c>
      <c r="C533" s="3">
        <v>38</v>
      </c>
      <c r="D533" s="13">
        <v>100</v>
      </c>
      <c r="E533" s="5">
        <v>38002</v>
      </c>
      <c r="F533" s="2" t="s">
        <v>13</v>
      </c>
      <c r="G533" s="2" t="s">
        <v>72</v>
      </c>
      <c r="H533" s="3">
        <v>1</v>
      </c>
      <c r="I533" s="6">
        <v>2004</v>
      </c>
      <c r="J533" s="2" t="s">
        <v>22</v>
      </c>
      <c r="K533" s="2" t="s">
        <v>71</v>
      </c>
      <c r="L533" s="7">
        <f t="shared" si="24"/>
        <v>3800</v>
      </c>
      <c r="M533" s="2" t="str">
        <f t="shared" si="25"/>
        <v>January</v>
      </c>
      <c r="N533" s="6">
        <f t="shared" si="26"/>
        <v>2004</v>
      </c>
    </row>
    <row r="534" spans="1:14">
      <c r="A534" s="2" t="s">
        <v>137</v>
      </c>
      <c r="B534" s="3">
        <v>10226</v>
      </c>
      <c r="C534" s="3">
        <v>38</v>
      </c>
      <c r="D534" s="13">
        <v>100</v>
      </c>
      <c r="E534" s="5">
        <v>38043</v>
      </c>
      <c r="F534" s="2" t="s">
        <v>13</v>
      </c>
      <c r="G534" s="2" t="s">
        <v>72</v>
      </c>
      <c r="H534" s="3">
        <v>1</v>
      </c>
      <c r="I534" s="6">
        <v>2004</v>
      </c>
      <c r="J534" s="2" t="s">
        <v>22</v>
      </c>
      <c r="K534" s="2" t="s">
        <v>138</v>
      </c>
      <c r="L534" s="7">
        <f t="shared" si="24"/>
        <v>3800</v>
      </c>
      <c r="M534" s="2" t="str">
        <f t="shared" si="25"/>
        <v>February</v>
      </c>
      <c r="N534" s="6">
        <f t="shared" si="26"/>
        <v>2004</v>
      </c>
    </row>
    <row r="535" spans="1:14">
      <c r="A535" s="2" t="s">
        <v>196</v>
      </c>
      <c r="B535" s="3">
        <v>10241</v>
      </c>
      <c r="C535" s="3">
        <v>21</v>
      </c>
      <c r="D535" s="13">
        <v>100</v>
      </c>
      <c r="E535" s="5">
        <v>38090</v>
      </c>
      <c r="F535" s="2" t="s">
        <v>13</v>
      </c>
      <c r="G535" s="2" t="s">
        <v>72</v>
      </c>
      <c r="H535" s="3">
        <v>2</v>
      </c>
      <c r="I535" s="6">
        <v>2004</v>
      </c>
      <c r="J535" s="2" t="s">
        <v>15</v>
      </c>
      <c r="K535" s="2" t="s">
        <v>197</v>
      </c>
      <c r="L535" s="7">
        <f t="shared" si="24"/>
        <v>2100</v>
      </c>
      <c r="M535" s="2" t="str">
        <f t="shared" si="25"/>
        <v>April</v>
      </c>
      <c r="N535" s="6">
        <f t="shared" si="26"/>
        <v>2004</v>
      </c>
    </row>
    <row r="536" spans="1:14">
      <c r="A536" s="2" t="s">
        <v>169</v>
      </c>
      <c r="B536" s="3">
        <v>10266</v>
      </c>
      <c r="C536" s="3">
        <v>36</v>
      </c>
      <c r="D536" s="13">
        <v>100</v>
      </c>
      <c r="E536" s="5">
        <v>38174</v>
      </c>
      <c r="F536" s="2" t="s">
        <v>13</v>
      </c>
      <c r="G536" s="2" t="s">
        <v>72</v>
      </c>
      <c r="H536" s="3">
        <v>3</v>
      </c>
      <c r="I536" s="6">
        <v>2004</v>
      </c>
      <c r="J536" s="2" t="s">
        <v>22</v>
      </c>
      <c r="K536" s="2" t="s">
        <v>170</v>
      </c>
      <c r="L536" s="7">
        <f t="shared" si="24"/>
        <v>3600</v>
      </c>
      <c r="M536" s="2" t="str">
        <f t="shared" si="25"/>
        <v>July</v>
      </c>
      <c r="N536" s="6">
        <f t="shared" si="26"/>
        <v>2004</v>
      </c>
    </row>
    <row r="537" spans="1:14">
      <c r="A537" s="2" t="s">
        <v>198</v>
      </c>
      <c r="B537" s="3">
        <v>10278</v>
      </c>
      <c r="C537" s="3">
        <v>23</v>
      </c>
      <c r="D537" s="13">
        <v>100</v>
      </c>
      <c r="E537" s="5">
        <v>38205</v>
      </c>
      <c r="F537" s="2" t="s">
        <v>13</v>
      </c>
      <c r="G537" s="2" t="s">
        <v>72</v>
      </c>
      <c r="H537" s="3">
        <v>3</v>
      </c>
      <c r="I537" s="6">
        <v>2004</v>
      </c>
      <c r="J537" s="2" t="s">
        <v>15</v>
      </c>
      <c r="K537" s="2" t="s">
        <v>199</v>
      </c>
      <c r="L537" s="7">
        <f t="shared" si="24"/>
        <v>2300</v>
      </c>
      <c r="M537" s="2" t="str">
        <f t="shared" si="25"/>
        <v>August</v>
      </c>
      <c r="N537" s="6">
        <f t="shared" si="26"/>
        <v>2004</v>
      </c>
    </row>
    <row r="538" spans="1:14">
      <c r="A538" s="2" t="s">
        <v>159</v>
      </c>
      <c r="B538" s="3">
        <v>10288</v>
      </c>
      <c r="C538" s="3">
        <v>20</v>
      </c>
      <c r="D538" s="13">
        <v>100</v>
      </c>
      <c r="E538" s="5">
        <v>38231</v>
      </c>
      <c r="F538" s="2" t="s">
        <v>13</v>
      </c>
      <c r="G538" s="2" t="s">
        <v>72</v>
      </c>
      <c r="H538" s="3">
        <v>3</v>
      </c>
      <c r="I538" s="6">
        <v>2004</v>
      </c>
      <c r="J538" s="2" t="s">
        <v>15</v>
      </c>
      <c r="K538" s="2" t="s">
        <v>160</v>
      </c>
      <c r="L538" s="7">
        <f t="shared" si="24"/>
        <v>2000</v>
      </c>
      <c r="M538" s="2" t="str">
        <f t="shared" si="25"/>
        <v>September</v>
      </c>
      <c r="N538" s="6">
        <f t="shared" si="26"/>
        <v>2004</v>
      </c>
    </row>
    <row r="539" spans="1:14">
      <c r="A539" s="2" t="s">
        <v>200</v>
      </c>
      <c r="B539" s="3">
        <v>10301</v>
      </c>
      <c r="C539" s="3">
        <v>32</v>
      </c>
      <c r="D539" s="13">
        <v>100</v>
      </c>
      <c r="E539" s="5">
        <v>37899</v>
      </c>
      <c r="F539" s="2" t="s">
        <v>13</v>
      </c>
      <c r="G539" s="2" t="s">
        <v>72</v>
      </c>
      <c r="H539" s="3">
        <v>4</v>
      </c>
      <c r="I539" s="6">
        <v>2003</v>
      </c>
      <c r="J539" s="2" t="s">
        <v>22</v>
      </c>
      <c r="K539" s="2" t="s">
        <v>201</v>
      </c>
      <c r="L539" s="7">
        <f t="shared" si="24"/>
        <v>3200</v>
      </c>
      <c r="M539" s="2" t="str">
        <f t="shared" si="25"/>
        <v>October</v>
      </c>
      <c r="N539" s="6">
        <f t="shared" si="26"/>
        <v>2003</v>
      </c>
    </row>
    <row r="540" spans="1:14">
      <c r="A540" s="2" t="s">
        <v>69</v>
      </c>
      <c r="B540" s="3">
        <v>10311</v>
      </c>
      <c r="C540" s="3">
        <v>29</v>
      </c>
      <c r="D540" s="13">
        <v>100</v>
      </c>
      <c r="E540" s="5">
        <v>38276</v>
      </c>
      <c r="F540" s="2" t="s">
        <v>13</v>
      </c>
      <c r="G540" s="2" t="s">
        <v>72</v>
      </c>
      <c r="H540" s="3">
        <v>4</v>
      </c>
      <c r="I540" s="6">
        <v>2004</v>
      </c>
      <c r="J540" s="2" t="s">
        <v>15</v>
      </c>
      <c r="K540" s="2" t="s">
        <v>71</v>
      </c>
      <c r="L540" s="7">
        <f t="shared" si="24"/>
        <v>2900</v>
      </c>
      <c r="M540" s="2" t="str">
        <f t="shared" si="25"/>
        <v>October</v>
      </c>
      <c r="N540" s="6">
        <f t="shared" si="26"/>
        <v>2004</v>
      </c>
    </row>
    <row r="541" spans="1:14">
      <c r="A541" s="2" t="s">
        <v>65</v>
      </c>
      <c r="B541" s="3">
        <v>10321</v>
      </c>
      <c r="C541" s="3">
        <v>44</v>
      </c>
      <c r="D541" s="13">
        <v>100</v>
      </c>
      <c r="E541" s="5">
        <v>38295</v>
      </c>
      <c r="F541" s="2" t="s">
        <v>13</v>
      </c>
      <c r="G541" s="2" t="s">
        <v>72</v>
      </c>
      <c r="H541" s="3">
        <v>4</v>
      </c>
      <c r="I541" s="6">
        <v>2004</v>
      </c>
      <c r="J541" s="2" t="s">
        <v>22</v>
      </c>
      <c r="K541" s="2" t="s">
        <v>66</v>
      </c>
      <c r="L541" s="7">
        <f t="shared" si="24"/>
        <v>4400</v>
      </c>
      <c r="M541" s="2" t="str">
        <f t="shared" si="25"/>
        <v>November</v>
      </c>
      <c r="N541" s="6">
        <f t="shared" si="26"/>
        <v>2004</v>
      </c>
    </row>
    <row r="542" spans="1:14">
      <c r="A542" s="2" t="s">
        <v>116</v>
      </c>
      <c r="B542" s="3">
        <v>10331</v>
      </c>
      <c r="C542" s="3">
        <v>44</v>
      </c>
      <c r="D542" s="13">
        <v>100</v>
      </c>
      <c r="E542" s="5">
        <v>38308</v>
      </c>
      <c r="F542" s="2" t="s">
        <v>13</v>
      </c>
      <c r="G542" s="2" t="s">
        <v>72</v>
      </c>
      <c r="H542" s="3">
        <v>4</v>
      </c>
      <c r="I542" s="6">
        <v>2004</v>
      </c>
      <c r="J542" s="2" t="s">
        <v>22</v>
      </c>
      <c r="K542" s="2" t="s">
        <v>117</v>
      </c>
      <c r="L542" s="7">
        <f t="shared" si="24"/>
        <v>4400</v>
      </c>
      <c r="M542" s="2" t="str">
        <f t="shared" si="25"/>
        <v>November</v>
      </c>
      <c r="N542" s="6">
        <f t="shared" si="26"/>
        <v>2004</v>
      </c>
    </row>
    <row r="543" spans="1:14">
      <c r="A543" s="2" t="s">
        <v>18</v>
      </c>
      <c r="B543" s="3">
        <v>10343</v>
      </c>
      <c r="C543" s="3">
        <v>36</v>
      </c>
      <c r="D543" s="13">
        <v>100</v>
      </c>
      <c r="E543" s="5">
        <v>38315</v>
      </c>
      <c r="F543" s="2" t="s">
        <v>13</v>
      </c>
      <c r="G543" s="2" t="s">
        <v>72</v>
      </c>
      <c r="H543" s="3">
        <v>4</v>
      </c>
      <c r="I543" s="6">
        <v>2004</v>
      </c>
      <c r="J543" s="2" t="s">
        <v>22</v>
      </c>
      <c r="K543" s="2" t="s">
        <v>19</v>
      </c>
      <c r="L543" s="7">
        <f t="shared" si="24"/>
        <v>3600</v>
      </c>
      <c r="M543" s="2" t="str">
        <f t="shared" si="25"/>
        <v>November</v>
      </c>
      <c r="N543" s="6">
        <f t="shared" si="26"/>
        <v>2004</v>
      </c>
    </row>
    <row r="544" spans="1:14">
      <c r="A544" s="2" t="s">
        <v>25</v>
      </c>
      <c r="B544" s="3">
        <v>10367</v>
      </c>
      <c r="C544" s="3">
        <v>49</v>
      </c>
      <c r="D544" s="13">
        <v>56.3</v>
      </c>
      <c r="E544" s="5">
        <v>38364</v>
      </c>
      <c r="F544" s="2" t="s">
        <v>155</v>
      </c>
      <c r="G544" s="2" t="s">
        <v>72</v>
      </c>
      <c r="H544" s="3">
        <v>1</v>
      </c>
      <c r="I544" s="6">
        <v>2005</v>
      </c>
      <c r="J544" s="2" t="s">
        <v>15</v>
      </c>
      <c r="K544" s="2" t="s">
        <v>26</v>
      </c>
      <c r="L544" s="7">
        <f t="shared" si="24"/>
        <v>2758.7</v>
      </c>
      <c r="M544" s="2" t="str">
        <f t="shared" si="25"/>
        <v>January</v>
      </c>
      <c r="N544" s="6">
        <f t="shared" si="26"/>
        <v>2005</v>
      </c>
    </row>
    <row r="545" spans="1:14">
      <c r="A545" s="2" t="s">
        <v>69</v>
      </c>
      <c r="B545" s="3">
        <v>10378</v>
      </c>
      <c r="C545" s="3">
        <v>34</v>
      </c>
      <c r="D545" s="13">
        <v>42.64</v>
      </c>
      <c r="E545" s="5">
        <v>38393</v>
      </c>
      <c r="F545" s="2" t="s">
        <v>13</v>
      </c>
      <c r="G545" s="2" t="s">
        <v>72</v>
      </c>
      <c r="H545" s="3">
        <v>1</v>
      </c>
      <c r="I545" s="6">
        <v>2005</v>
      </c>
      <c r="J545" s="2" t="s">
        <v>15</v>
      </c>
      <c r="K545" s="2" t="s">
        <v>71</v>
      </c>
      <c r="L545" s="7">
        <f t="shared" si="24"/>
        <v>1449.76</v>
      </c>
      <c r="M545" s="2" t="str">
        <f t="shared" si="25"/>
        <v>February</v>
      </c>
      <c r="N545" s="6">
        <f t="shared" si="26"/>
        <v>2005</v>
      </c>
    </row>
    <row r="546" spans="1:14">
      <c r="A546" s="2" t="s">
        <v>149</v>
      </c>
      <c r="B546" s="3">
        <v>10407</v>
      </c>
      <c r="C546" s="3">
        <v>59</v>
      </c>
      <c r="D546" s="13">
        <v>100</v>
      </c>
      <c r="E546" s="5">
        <v>38464</v>
      </c>
      <c r="F546" s="2" t="s">
        <v>151</v>
      </c>
      <c r="G546" s="2" t="s">
        <v>72</v>
      </c>
      <c r="H546" s="3">
        <v>2</v>
      </c>
      <c r="I546" s="6">
        <v>2005</v>
      </c>
      <c r="J546" s="2" t="s">
        <v>61</v>
      </c>
      <c r="K546" s="2" t="s">
        <v>150</v>
      </c>
      <c r="L546" s="7">
        <f t="shared" si="24"/>
        <v>5900</v>
      </c>
      <c r="M546" s="2" t="str">
        <f t="shared" si="25"/>
        <v>April</v>
      </c>
      <c r="N546" s="6">
        <f t="shared" si="26"/>
        <v>2005</v>
      </c>
    </row>
    <row r="547" spans="1:14">
      <c r="A547" s="2" t="s">
        <v>60</v>
      </c>
      <c r="B547" s="3">
        <v>10419</v>
      </c>
      <c r="C547" s="3">
        <v>37</v>
      </c>
      <c r="D547" s="13">
        <v>100</v>
      </c>
      <c r="E547" s="5">
        <v>38489</v>
      </c>
      <c r="F547" s="2" t="s">
        <v>13</v>
      </c>
      <c r="G547" s="2" t="s">
        <v>72</v>
      </c>
      <c r="H547" s="3">
        <v>2</v>
      </c>
      <c r="I547" s="6">
        <v>2005</v>
      </c>
      <c r="J547" s="2" t="s">
        <v>22</v>
      </c>
      <c r="K547" s="2" t="s">
        <v>62</v>
      </c>
      <c r="L547" s="7">
        <f t="shared" si="24"/>
        <v>3700</v>
      </c>
      <c r="M547" s="2" t="str">
        <f t="shared" si="25"/>
        <v>May</v>
      </c>
      <c r="N547" s="6">
        <f t="shared" si="26"/>
        <v>2005</v>
      </c>
    </row>
    <row r="548" spans="1:14">
      <c r="A548" s="2" t="s">
        <v>203</v>
      </c>
      <c r="B548" s="3">
        <v>10106</v>
      </c>
      <c r="C548" s="3">
        <v>36</v>
      </c>
      <c r="D548" s="13">
        <v>100</v>
      </c>
      <c r="E548" s="5">
        <v>37669</v>
      </c>
      <c r="F548" s="2" t="s">
        <v>13</v>
      </c>
      <c r="G548" s="2" t="s">
        <v>207</v>
      </c>
      <c r="H548" s="3">
        <v>1</v>
      </c>
      <c r="I548" s="6">
        <v>2003</v>
      </c>
      <c r="J548" s="2" t="s">
        <v>22</v>
      </c>
      <c r="K548" s="2" t="s">
        <v>204</v>
      </c>
      <c r="L548" s="7">
        <f t="shared" si="24"/>
        <v>3600</v>
      </c>
      <c r="M548" s="2" t="str">
        <f t="shared" si="25"/>
        <v>February</v>
      </c>
      <c r="N548" s="6">
        <f t="shared" si="26"/>
        <v>2003</v>
      </c>
    </row>
    <row r="549" spans="1:14">
      <c r="A549" s="2" t="s">
        <v>60</v>
      </c>
      <c r="B549" s="3">
        <v>10119</v>
      </c>
      <c r="C549" s="3">
        <v>43</v>
      </c>
      <c r="D549" s="13">
        <v>100</v>
      </c>
      <c r="E549" s="5">
        <v>37739</v>
      </c>
      <c r="F549" s="2" t="s">
        <v>13</v>
      </c>
      <c r="G549" s="2" t="s">
        <v>207</v>
      </c>
      <c r="H549" s="3">
        <v>2</v>
      </c>
      <c r="I549" s="6">
        <v>2003</v>
      </c>
      <c r="J549" s="2" t="s">
        <v>22</v>
      </c>
      <c r="K549" s="2" t="s">
        <v>62</v>
      </c>
      <c r="L549" s="7">
        <f t="shared" si="24"/>
        <v>4300</v>
      </c>
      <c r="M549" s="2" t="str">
        <f t="shared" si="25"/>
        <v>April</v>
      </c>
      <c r="N549" s="6">
        <f t="shared" si="26"/>
        <v>2003</v>
      </c>
    </row>
    <row r="550" spans="1:14">
      <c r="A550" s="2" t="s">
        <v>208</v>
      </c>
      <c r="B550" s="3">
        <v>10131</v>
      </c>
      <c r="C550" s="3">
        <v>21</v>
      </c>
      <c r="D550" s="13">
        <v>100</v>
      </c>
      <c r="E550" s="5">
        <v>37788</v>
      </c>
      <c r="F550" s="2" t="s">
        <v>13</v>
      </c>
      <c r="G550" s="2" t="s">
        <v>207</v>
      </c>
      <c r="H550" s="3">
        <v>2</v>
      </c>
      <c r="I550" s="6">
        <v>2003</v>
      </c>
      <c r="J550" s="2" t="s">
        <v>15</v>
      </c>
      <c r="K550" s="2" t="s">
        <v>209</v>
      </c>
      <c r="L550" s="7">
        <f t="shared" si="24"/>
        <v>2100</v>
      </c>
      <c r="M550" s="2" t="str">
        <f t="shared" si="25"/>
        <v>June</v>
      </c>
      <c r="N550" s="6">
        <f t="shared" si="26"/>
        <v>2003</v>
      </c>
    </row>
    <row r="551" spans="1:14">
      <c r="A551" s="2" t="s">
        <v>126</v>
      </c>
      <c r="B551" s="3">
        <v>10143</v>
      </c>
      <c r="C551" s="3">
        <v>32</v>
      </c>
      <c r="D551" s="13">
        <v>100</v>
      </c>
      <c r="E551" s="5">
        <v>37843</v>
      </c>
      <c r="F551" s="2" t="s">
        <v>13</v>
      </c>
      <c r="G551" s="2" t="s">
        <v>207</v>
      </c>
      <c r="H551" s="3">
        <v>3</v>
      </c>
      <c r="I551" s="6">
        <v>2003</v>
      </c>
      <c r="J551" s="2" t="s">
        <v>22</v>
      </c>
      <c r="K551" s="2" t="s">
        <v>127</v>
      </c>
      <c r="L551" s="7">
        <f t="shared" si="24"/>
        <v>3200</v>
      </c>
      <c r="M551" s="2" t="str">
        <f t="shared" si="25"/>
        <v>August</v>
      </c>
      <c r="N551" s="6">
        <f t="shared" si="26"/>
        <v>2003</v>
      </c>
    </row>
    <row r="552" spans="1:14">
      <c r="A552" s="2" t="s">
        <v>54</v>
      </c>
      <c r="B552" s="3">
        <v>10155</v>
      </c>
      <c r="C552" s="3">
        <v>38</v>
      </c>
      <c r="D552" s="13">
        <v>100</v>
      </c>
      <c r="E552" s="5">
        <v>37900</v>
      </c>
      <c r="F552" s="2" t="s">
        <v>13</v>
      </c>
      <c r="G552" s="2" t="s">
        <v>207</v>
      </c>
      <c r="H552" s="3">
        <v>4</v>
      </c>
      <c r="I552" s="6">
        <v>2003</v>
      </c>
      <c r="J552" s="2" t="s">
        <v>22</v>
      </c>
      <c r="K552" s="2" t="s">
        <v>55</v>
      </c>
      <c r="L552" s="7">
        <f t="shared" si="24"/>
        <v>3800</v>
      </c>
      <c r="M552" s="2" t="str">
        <f t="shared" si="25"/>
        <v>October</v>
      </c>
      <c r="N552" s="6">
        <f t="shared" si="26"/>
        <v>2003</v>
      </c>
    </row>
    <row r="553" spans="1:14">
      <c r="A553" s="2" t="s">
        <v>99</v>
      </c>
      <c r="B553" s="3">
        <v>10167</v>
      </c>
      <c r="C553" s="3">
        <v>43</v>
      </c>
      <c r="D553" s="13">
        <v>100</v>
      </c>
      <c r="E553" s="5">
        <v>37917</v>
      </c>
      <c r="F553" s="2" t="s">
        <v>128</v>
      </c>
      <c r="G553" s="2" t="s">
        <v>207</v>
      </c>
      <c r="H553" s="3">
        <v>4</v>
      </c>
      <c r="I553" s="6">
        <v>2003</v>
      </c>
      <c r="J553" s="2" t="s">
        <v>22</v>
      </c>
      <c r="K553" s="2" t="s">
        <v>100</v>
      </c>
      <c r="L553" s="7">
        <f t="shared" si="24"/>
        <v>4300</v>
      </c>
      <c r="M553" s="2" t="str">
        <f t="shared" si="25"/>
        <v>October</v>
      </c>
      <c r="N553" s="6">
        <f t="shared" si="26"/>
        <v>2003</v>
      </c>
    </row>
    <row r="554" spans="1:14">
      <c r="A554" s="2" t="s">
        <v>129</v>
      </c>
      <c r="B554" s="3">
        <v>10178</v>
      </c>
      <c r="C554" s="3">
        <v>42</v>
      </c>
      <c r="D554" s="13">
        <v>100</v>
      </c>
      <c r="E554" s="5">
        <v>37933</v>
      </c>
      <c r="F554" s="2" t="s">
        <v>13</v>
      </c>
      <c r="G554" s="2" t="s">
        <v>207</v>
      </c>
      <c r="H554" s="3">
        <v>4</v>
      </c>
      <c r="I554" s="6">
        <v>2003</v>
      </c>
      <c r="J554" s="2" t="s">
        <v>22</v>
      </c>
      <c r="K554" s="2" t="s">
        <v>130</v>
      </c>
      <c r="L554" s="7">
        <f t="shared" si="24"/>
        <v>4200</v>
      </c>
      <c r="M554" s="2" t="str">
        <f t="shared" si="25"/>
        <v>November</v>
      </c>
      <c r="N554" s="6">
        <f t="shared" si="26"/>
        <v>2003</v>
      </c>
    </row>
    <row r="555" spans="1:14">
      <c r="A555" s="2" t="s">
        <v>131</v>
      </c>
      <c r="B555" s="3">
        <v>10186</v>
      </c>
      <c r="C555" s="3">
        <v>32</v>
      </c>
      <c r="D555" s="13">
        <v>100</v>
      </c>
      <c r="E555" s="5">
        <v>37939</v>
      </c>
      <c r="F555" s="2" t="s">
        <v>13</v>
      </c>
      <c r="G555" s="2" t="s">
        <v>207</v>
      </c>
      <c r="H555" s="3">
        <v>4</v>
      </c>
      <c r="I555" s="6">
        <v>2003</v>
      </c>
      <c r="J555" s="2" t="s">
        <v>22</v>
      </c>
      <c r="K555" s="2" t="s">
        <v>132</v>
      </c>
      <c r="L555" s="7">
        <f t="shared" si="24"/>
        <v>3200</v>
      </c>
      <c r="M555" s="2" t="str">
        <f t="shared" si="25"/>
        <v>November</v>
      </c>
      <c r="N555" s="6">
        <f t="shared" si="26"/>
        <v>2003</v>
      </c>
    </row>
    <row r="556" spans="1:14">
      <c r="A556" s="2" t="s">
        <v>161</v>
      </c>
      <c r="B556" s="3">
        <v>10198</v>
      </c>
      <c r="C556" s="3">
        <v>42</v>
      </c>
      <c r="D556" s="13">
        <v>100</v>
      </c>
      <c r="E556" s="5">
        <v>37952</v>
      </c>
      <c r="F556" s="2" t="s">
        <v>13</v>
      </c>
      <c r="G556" s="2" t="s">
        <v>207</v>
      </c>
      <c r="H556" s="3">
        <v>4</v>
      </c>
      <c r="I556" s="6">
        <v>2003</v>
      </c>
      <c r="J556" s="2" t="s">
        <v>61</v>
      </c>
      <c r="K556" s="2" t="s">
        <v>162</v>
      </c>
      <c r="L556" s="7">
        <f t="shared" si="24"/>
        <v>4200</v>
      </c>
      <c r="M556" s="2" t="str">
        <f t="shared" si="25"/>
        <v>November</v>
      </c>
      <c r="N556" s="6">
        <f t="shared" si="26"/>
        <v>2003</v>
      </c>
    </row>
    <row r="557" spans="1:14">
      <c r="A557" s="2" t="s">
        <v>114</v>
      </c>
      <c r="B557" s="3">
        <v>10210</v>
      </c>
      <c r="C557" s="3">
        <v>31</v>
      </c>
      <c r="D557" s="13">
        <v>100</v>
      </c>
      <c r="E557" s="5">
        <v>37998</v>
      </c>
      <c r="F557" s="2" t="s">
        <v>13</v>
      </c>
      <c r="G557" s="2" t="s">
        <v>207</v>
      </c>
      <c r="H557" s="3">
        <v>1</v>
      </c>
      <c r="I557" s="6">
        <v>2004</v>
      </c>
      <c r="J557" s="2" t="s">
        <v>22</v>
      </c>
      <c r="K557" s="2" t="s">
        <v>115</v>
      </c>
      <c r="L557" s="7">
        <f t="shared" si="24"/>
        <v>3100</v>
      </c>
      <c r="M557" s="2" t="str">
        <f t="shared" si="25"/>
        <v>January</v>
      </c>
      <c r="N557" s="6">
        <f t="shared" si="26"/>
        <v>2004</v>
      </c>
    </row>
    <row r="558" spans="1:14">
      <c r="A558" s="2" t="s">
        <v>137</v>
      </c>
      <c r="B558" s="3">
        <v>10222</v>
      </c>
      <c r="C558" s="3">
        <v>49</v>
      </c>
      <c r="D558" s="13">
        <v>100</v>
      </c>
      <c r="E558" s="5">
        <v>38036</v>
      </c>
      <c r="F558" s="2" t="s">
        <v>13</v>
      </c>
      <c r="G558" s="2" t="s">
        <v>207</v>
      </c>
      <c r="H558" s="3">
        <v>1</v>
      </c>
      <c r="I558" s="6">
        <v>2004</v>
      </c>
      <c r="J558" s="2" t="s">
        <v>22</v>
      </c>
      <c r="K558" s="2" t="s">
        <v>138</v>
      </c>
      <c r="L558" s="7">
        <f t="shared" si="24"/>
        <v>4900</v>
      </c>
      <c r="M558" s="2" t="str">
        <f t="shared" si="25"/>
        <v>February</v>
      </c>
      <c r="N558" s="6">
        <f t="shared" si="26"/>
        <v>2004</v>
      </c>
    </row>
    <row r="559" spans="1:14">
      <c r="A559" s="2" t="s">
        <v>149</v>
      </c>
      <c r="B559" s="3">
        <v>10250</v>
      </c>
      <c r="C559" s="3">
        <v>45</v>
      </c>
      <c r="D559" s="13">
        <v>100</v>
      </c>
      <c r="E559" s="5">
        <v>38118</v>
      </c>
      <c r="F559" s="2" t="s">
        <v>13</v>
      </c>
      <c r="G559" s="2" t="s">
        <v>207</v>
      </c>
      <c r="H559" s="3">
        <v>2</v>
      </c>
      <c r="I559" s="6">
        <v>2004</v>
      </c>
      <c r="J559" s="2" t="s">
        <v>61</v>
      </c>
      <c r="K559" s="2" t="s">
        <v>150</v>
      </c>
      <c r="L559" s="7">
        <f t="shared" si="24"/>
        <v>4500</v>
      </c>
      <c r="M559" s="2" t="str">
        <f t="shared" si="25"/>
        <v>May</v>
      </c>
      <c r="N559" s="6">
        <f t="shared" si="26"/>
        <v>2004</v>
      </c>
    </row>
    <row r="560" spans="1:14">
      <c r="A560" s="2" t="s">
        <v>69</v>
      </c>
      <c r="B560" s="3">
        <v>10262</v>
      </c>
      <c r="C560" s="3">
        <v>49</v>
      </c>
      <c r="D560" s="13">
        <v>100</v>
      </c>
      <c r="E560" s="5">
        <v>38162</v>
      </c>
      <c r="F560" s="2" t="s">
        <v>128</v>
      </c>
      <c r="G560" s="2" t="s">
        <v>207</v>
      </c>
      <c r="H560" s="3">
        <v>2</v>
      </c>
      <c r="I560" s="6">
        <v>2004</v>
      </c>
      <c r="J560" s="2" t="s">
        <v>22</v>
      </c>
      <c r="K560" s="2" t="s">
        <v>71</v>
      </c>
      <c r="L560" s="7">
        <f t="shared" si="24"/>
        <v>4900</v>
      </c>
      <c r="M560" s="2" t="str">
        <f t="shared" si="25"/>
        <v>June</v>
      </c>
      <c r="N560" s="6">
        <f t="shared" si="26"/>
        <v>2004</v>
      </c>
    </row>
    <row r="561" spans="1:14">
      <c r="A561" s="2" t="s">
        <v>107</v>
      </c>
      <c r="B561" s="3">
        <v>10274</v>
      </c>
      <c r="C561" s="3">
        <v>41</v>
      </c>
      <c r="D561" s="13">
        <v>100</v>
      </c>
      <c r="E561" s="5">
        <v>38189</v>
      </c>
      <c r="F561" s="2" t="s">
        <v>13</v>
      </c>
      <c r="G561" s="2" t="s">
        <v>207</v>
      </c>
      <c r="H561" s="3">
        <v>3</v>
      </c>
      <c r="I561" s="6">
        <v>2004</v>
      </c>
      <c r="J561" s="2" t="s">
        <v>22</v>
      </c>
      <c r="K561" s="2" t="s">
        <v>108</v>
      </c>
      <c r="L561" s="7">
        <f t="shared" si="24"/>
        <v>4100</v>
      </c>
      <c r="M561" s="2" t="str">
        <f t="shared" si="25"/>
        <v>July</v>
      </c>
      <c r="N561" s="6">
        <f t="shared" si="26"/>
        <v>2004</v>
      </c>
    </row>
    <row r="562" spans="1:14">
      <c r="A562" s="2" t="s">
        <v>200</v>
      </c>
      <c r="B562" s="3">
        <v>10284</v>
      </c>
      <c r="C562" s="3">
        <v>45</v>
      </c>
      <c r="D562" s="13">
        <v>100</v>
      </c>
      <c r="E562" s="5">
        <v>38220</v>
      </c>
      <c r="F562" s="2" t="s">
        <v>13</v>
      </c>
      <c r="G562" s="2" t="s">
        <v>207</v>
      </c>
      <c r="H562" s="3">
        <v>3</v>
      </c>
      <c r="I562" s="6">
        <v>2004</v>
      </c>
      <c r="J562" s="2" t="s">
        <v>22</v>
      </c>
      <c r="K562" s="2" t="s">
        <v>201</v>
      </c>
      <c r="L562" s="7">
        <f t="shared" si="24"/>
        <v>4500</v>
      </c>
      <c r="M562" s="2" t="str">
        <f t="shared" si="25"/>
        <v>August</v>
      </c>
      <c r="N562" s="6">
        <f t="shared" si="26"/>
        <v>2004</v>
      </c>
    </row>
    <row r="563" spans="1:14">
      <c r="A563" s="2" t="s">
        <v>210</v>
      </c>
      <c r="B563" s="3">
        <v>10296</v>
      </c>
      <c r="C563" s="3">
        <v>36</v>
      </c>
      <c r="D563" s="13">
        <v>100</v>
      </c>
      <c r="E563" s="5">
        <v>38245</v>
      </c>
      <c r="F563" s="2" t="s">
        <v>13</v>
      </c>
      <c r="G563" s="2" t="s">
        <v>207</v>
      </c>
      <c r="H563" s="3">
        <v>3</v>
      </c>
      <c r="I563" s="6">
        <v>2004</v>
      </c>
      <c r="J563" s="2" t="s">
        <v>22</v>
      </c>
      <c r="K563" s="2" t="s">
        <v>211</v>
      </c>
      <c r="L563" s="7">
        <f t="shared" si="24"/>
        <v>3600</v>
      </c>
      <c r="M563" s="2" t="str">
        <f t="shared" si="25"/>
        <v>September</v>
      </c>
      <c r="N563" s="6">
        <f t="shared" si="26"/>
        <v>2004</v>
      </c>
    </row>
    <row r="564" spans="1:14">
      <c r="A564" s="2" t="s">
        <v>83</v>
      </c>
      <c r="B564" s="3">
        <v>10307</v>
      </c>
      <c r="C564" s="3">
        <v>39</v>
      </c>
      <c r="D564" s="13">
        <v>100</v>
      </c>
      <c r="E564" s="5">
        <v>38274</v>
      </c>
      <c r="F564" s="2" t="s">
        <v>13</v>
      </c>
      <c r="G564" s="2" t="s">
        <v>207</v>
      </c>
      <c r="H564" s="3">
        <v>4</v>
      </c>
      <c r="I564" s="6">
        <v>2004</v>
      </c>
      <c r="J564" s="2" t="s">
        <v>61</v>
      </c>
      <c r="K564" s="2" t="s">
        <v>84</v>
      </c>
      <c r="L564" s="7">
        <f t="shared" si="24"/>
        <v>3900</v>
      </c>
      <c r="M564" s="2" t="str">
        <f t="shared" si="25"/>
        <v>October</v>
      </c>
      <c r="N564" s="6">
        <f t="shared" si="26"/>
        <v>2004</v>
      </c>
    </row>
    <row r="565" spans="1:14">
      <c r="A565" s="2" t="s">
        <v>145</v>
      </c>
      <c r="B565" s="3">
        <v>10316</v>
      </c>
      <c r="C565" s="3">
        <v>27</v>
      </c>
      <c r="D565" s="13">
        <v>100</v>
      </c>
      <c r="E565" s="5">
        <v>38292</v>
      </c>
      <c r="F565" s="2" t="s">
        <v>13</v>
      </c>
      <c r="G565" s="2" t="s">
        <v>207</v>
      </c>
      <c r="H565" s="3">
        <v>4</v>
      </c>
      <c r="I565" s="6">
        <v>2004</v>
      </c>
      <c r="J565" s="2" t="s">
        <v>22</v>
      </c>
      <c r="K565" s="2" t="s">
        <v>146</v>
      </c>
      <c r="L565" s="7">
        <f t="shared" si="24"/>
        <v>2700</v>
      </c>
      <c r="M565" s="2" t="str">
        <f t="shared" si="25"/>
        <v>November</v>
      </c>
      <c r="N565" s="6">
        <f t="shared" si="26"/>
        <v>2004</v>
      </c>
    </row>
    <row r="566" spans="1:14">
      <c r="A566" s="2" t="s">
        <v>122</v>
      </c>
      <c r="B566" s="3">
        <v>10327</v>
      </c>
      <c r="C566" s="3">
        <v>25</v>
      </c>
      <c r="D566" s="13">
        <v>100</v>
      </c>
      <c r="E566" s="5">
        <v>38301</v>
      </c>
      <c r="F566" s="2" t="s">
        <v>155</v>
      </c>
      <c r="G566" s="2" t="s">
        <v>207</v>
      </c>
      <c r="H566" s="3">
        <v>4</v>
      </c>
      <c r="I566" s="6">
        <v>2004</v>
      </c>
      <c r="J566" s="2" t="s">
        <v>15</v>
      </c>
      <c r="K566" s="2" t="s">
        <v>123</v>
      </c>
      <c r="L566" s="7">
        <f t="shared" si="24"/>
        <v>2500</v>
      </c>
      <c r="M566" s="2" t="str">
        <f t="shared" si="25"/>
        <v>November</v>
      </c>
      <c r="N566" s="6">
        <f t="shared" si="26"/>
        <v>2004</v>
      </c>
    </row>
    <row r="567" spans="1:14">
      <c r="A567" s="2" t="s">
        <v>212</v>
      </c>
      <c r="B567" s="3">
        <v>10338</v>
      </c>
      <c r="C567" s="3">
        <v>41</v>
      </c>
      <c r="D567" s="13">
        <v>100</v>
      </c>
      <c r="E567" s="5">
        <v>38313</v>
      </c>
      <c r="F567" s="2" t="s">
        <v>13</v>
      </c>
      <c r="G567" s="2" t="s">
        <v>207</v>
      </c>
      <c r="H567" s="3">
        <v>4</v>
      </c>
      <c r="I567" s="6">
        <v>2004</v>
      </c>
      <c r="J567" s="2" t="s">
        <v>22</v>
      </c>
      <c r="K567" s="2" t="s">
        <v>213</v>
      </c>
      <c r="L567" s="7">
        <f t="shared" si="24"/>
        <v>4100</v>
      </c>
      <c r="M567" s="2" t="str">
        <f t="shared" si="25"/>
        <v>November</v>
      </c>
      <c r="N567" s="6">
        <f t="shared" si="26"/>
        <v>2004</v>
      </c>
    </row>
    <row r="568" spans="1:14">
      <c r="A568" s="2" t="s">
        <v>124</v>
      </c>
      <c r="B568" s="3">
        <v>10351</v>
      </c>
      <c r="C568" s="3">
        <v>39</v>
      </c>
      <c r="D568" s="13">
        <v>99.52</v>
      </c>
      <c r="E568" s="5">
        <v>38324</v>
      </c>
      <c r="F568" s="2" t="s">
        <v>13</v>
      </c>
      <c r="G568" s="2" t="s">
        <v>207</v>
      </c>
      <c r="H568" s="3">
        <v>4</v>
      </c>
      <c r="I568" s="6">
        <v>2004</v>
      </c>
      <c r="J568" s="2" t="s">
        <v>22</v>
      </c>
      <c r="K568" s="2" t="s">
        <v>125</v>
      </c>
      <c r="L568" s="7">
        <f t="shared" si="24"/>
        <v>3881.28</v>
      </c>
      <c r="M568" s="2" t="str">
        <f t="shared" si="25"/>
        <v>December</v>
      </c>
      <c r="N568" s="6">
        <f t="shared" si="26"/>
        <v>2004</v>
      </c>
    </row>
    <row r="569" spans="1:14">
      <c r="A569" s="2" t="s">
        <v>147</v>
      </c>
      <c r="B569" s="3">
        <v>10373</v>
      </c>
      <c r="C569" s="3">
        <v>28</v>
      </c>
      <c r="D569" s="13">
        <v>57.55</v>
      </c>
      <c r="E569" s="5">
        <v>38383</v>
      </c>
      <c r="F569" s="2" t="s">
        <v>13</v>
      </c>
      <c r="G569" s="2" t="s">
        <v>207</v>
      </c>
      <c r="H569" s="3">
        <v>1</v>
      </c>
      <c r="I569" s="6">
        <v>2005</v>
      </c>
      <c r="J569" s="2" t="s">
        <v>15</v>
      </c>
      <c r="K569" s="2" t="s">
        <v>148</v>
      </c>
      <c r="L569" s="7">
        <f t="shared" si="24"/>
        <v>1611.4</v>
      </c>
      <c r="M569" s="2" t="str">
        <f t="shared" si="25"/>
        <v>January</v>
      </c>
      <c r="N569" s="6">
        <f t="shared" si="26"/>
        <v>2005</v>
      </c>
    </row>
    <row r="570" spans="1:14">
      <c r="A570" s="2" t="s">
        <v>69</v>
      </c>
      <c r="B570" s="3">
        <v>10386</v>
      </c>
      <c r="C570" s="3">
        <v>25</v>
      </c>
      <c r="D570" s="13">
        <v>54.57</v>
      </c>
      <c r="E570" s="5">
        <v>38412</v>
      </c>
      <c r="F570" s="2" t="s">
        <v>155</v>
      </c>
      <c r="G570" s="2" t="s">
        <v>207</v>
      </c>
      <c r="H570" s="3">
        <v>1</v>
      </c>
      <c r="I570" s="6">
        <v>2005</v>
      </c>
      <c r="J570" s="2" t="s">
        <v>15</v>
      </c>
      <c r="K570" s="2" t="s">
        <v>71</v>
      </c>
      <c r="L570" s="7">
        <f t="shared" si="24"/>
        <v>1364.25</v>
      </c>
      <c r="M570" s="2" t="str">
        <f t="shared" si="25"/>
        <v>March</v>
      </c>
      <c r="N570" s="6">
        <f t="shared" si="26"/>
        <v>2005</v>
      </c>
    </row>
    <row r="571" spans="1:14">
      <c r="A571" s="2" t="s">
        <v>18</v>
      </c>
      <c r="B571" s="3">
        <v>10398</v>
      </c>
      <c r="C571" s="3">
        <v>33</v>
      </c>
      <c r="D571" s="13">
        <v>100</v>
      </c>
      <c r="E571" s="5">
        <v>38441</v>
      </c>
      <c r="F571" s="2" t="s">
        <v>13</v>
      </c>
      <c r="G571" s="2" t="s">
        <v>207</v>
      </c>
      <c r="H571" s="3">
        <v>1</v>
      </c>
      <c r="I571" s="6">
        <v>2005</v>
      </c>
      <c r="J571" s="2" t="s">
        <v>22</v>
      </c>
      <c r="K571" s="2" t="s">
        <v>19</v>
      </c>
      <c r="L571" s="7">
        <f t="shared" si="24"/>
        <v>3300</v>
      </c>
      <c r="M571" s="2" t="str">
        <f t="shared" si="25"/>
        <v>March</v>
      </c>
      <c r="N571" s="6">
        <f t="shared" si="26"/>
        <v>2005</v>
      </c>
    </row>
    <row r="572" spans="1:14">
      <c r="A572" s="2" t="s">
        <v>149</v>
      </c>
      <c r="B572" s="3">
        <v>10400</v>
      </c>
      <c r="C572" s="3">
        <v>34</v>
      </c>
      <c r="D572" s="13">
        <v>100</v>
      </c>
      <c r="E572" s="5">
        <v>38443</v>
      </c>
      <c r="F572" s="2" t="s">
        <v>13</v>
      </c>
      <c r="G572" s="2" t="s">
        <v>207</v>
      </c>
      <c r="H572" s="3">
        <v>2</v>
      </c>
      <c r="I572" s="6">
        <v>2005</v>
      </c>
      <c r="J572" s="2" t="s">
        <v>22</v>
      </c>
      <c r="K572" s="2" t="s">
        <v>150</v>
      </c>
      <c r="L572" s="7">
        <f t="shared" si="24"/>
        <v>3400</v>
      </c>
      <c r="M572" s="2" t="str">
        <f t="shared" si="25"/>
        <v>April</v>
      </c>
      <c r="N572" s="6">
        <f t="shared" si="26"/>
        <v>2005</v>
      </c>
    </row>
    <row r="573" spans="1:14">
      <c r="A573" s="2" t="s">
        <v>169</v>
      </c>
      <c r="B573" s="3">
        <v>10416</v>
      </c>
      <c r="C573" s="3">
        <v>24</v>
      </c>
      <c r="D573" s="13">
        <v>100</v>
      </c>
      <c r="E573" s="5">
        <v>38482</v>
      </c>
      <c r="F573" s="2" t="s">
        <v>13</v>
      </c>
      <c r="G573" s="2" t="s">
        <v>207</v>
      </c>
      <c r="H573" s="3">
        <v>2</v>
      </c>
      <c r="I573" s="6">
        <v>2005</v>
      </c>
      <c r="J573" s="2" t="s">
        <v>22</v>
      </c>
      <c r="K573" s="2" t="s">
        <v>170</v>
      </c>
      <c r="L573" s="7">
        <f t="shared" si="24"/>
        <v>2400</v>
      </c>
      <c r="M573" s="2" t="str">
        <f t="shared" si="25"/>
        <v>May</v>
      </c>
      <c r="N573" s="6">
        <f t="shared" si="26"/>
        <v>2005</v>
      </c>
    </row>
    <row r="574" spans="1:14">
      <c r="A574" s="2" t="s">
        <v>105</v>
      </c>
      <c r="B574" s="3">
        <v>10100</v>
      </c>
      <c r="C574" s="3">
        <v>30</v>
      </c>
      <c r="D574" s="13">
        <v>100</v>
      </c>
      <c r="E574" s="5">
        <v>37627</v>
      </c>
      <c r="F574" s="2" t="s">
        <v>13</v>
      </c>
      <c r="G574" s="2" t="s">
        <v>202</v>
      </c>
      <c r="H574" s="3">
        <v>1</v>
      </c>
      <c r="I574" s="6">
        <v>2003</v>
      </c>
      <c r="J574" s="2" t="s">
        <v>22</v>
      </c>
      <c r="K574" s="2" t="s">
        <v>106</v>
      </c>
      <c r="L574" s="7">
        <f t="shared" si="24"/>
        <v>3000</v>
      </c>
      <c r="M574" s="2" t="str">
        <f t="shared" si="25"/>
        <v>January</v>
      </c>
      <c r="N574" s="6">
        <f t="shared" si="26"/>
        <v>2003</v>
      </c>
    </row>
    <row r="575" spans="1:14">
      <c r="A575" s="2" t="s">
        <v>183</v>
      </c>
      <c r="B575" s="3">
        <v>10110</v>
      </c>
      <c r="C575" s="3">
        <v>42</v>
      </c>
      <c r="D575" s="13">
        <v>100</v>
      </c>
      <c r="E575" s="5">
        <v>37698</v>
      </c>
      <c r="F575" s="2" t="s">
        <v>13</v>
      </c>
      <c r="G575" s="2" t="s">
        <v>202</v>
      </c>
      <c r="H575" s="3">
        <v>1</v>
      </c>
      <c r="I575" s="6">
        <v>2003</v>
      </c>
      <c r="J575" s="2" t="s">
        <v>22</v>
      </c>
      <c r="K575" s="2" t="s">
        <v>184</v>
      </c>
      <c r="L575" s="7">
        <f t="shared" si="24"/>
        <v>4200</v>
      </c>
      <c r="M575" s="2" t="str">
        <f t="shared" si="25"/>
        <v>March</v>
      </c>
      <c r="N575" s="6">
        <f t="shared" si="26"/>
        <v>2003</v>
      </c>
    </row>
    <row r="576" spans="1:14">
      <c r="A576" s="2" t="s">
        <v>198</v>
      </c>
      <c r="B576" s="3">
        <v>10124</v>
      </c>
      <c r="C576" s="3">
        <v>21</v>
      </c>
      <c r="D576" s="13">
        <v>100</v>
      </c>
      <c r="E576" s="5">
        <v>37762</v>
      </c>
      <c r="F576" s="2" t="s">
        <v>13</v>
      </c>
      <c r="G576" s="2" t="s">
        <v>202</v>
      </c>
      <c r="H576" s="3">
        <v>2</v>
      </c>
      <c r="I576" s="6">
        <v>2003</v>
      </c>
      <c r="J576" s="2" t="s">
        <v>15</v>
      </c>
      <c r="K576" s="2" t="s">
        <v>199</v>
      </c>
      <c r="L576" s="7">
        <f t="shared" si="24"/>
        <v>2100</v>
      </c>
      <c r="M576" s="2" t="str">
        <f t="shared" si="25"/>
        <v>May</v>
      </c>
      <c r="N576" s="6">
        <f t="shared" si="26"/>
        <v>2003</v>
      </c>
    </row>
    <row r="577" spans="1:14">
      <c r="A577" s="2" t="s">
        <v>194</v>
      </c>
      <c r="B577" s="3">
        <v>10149</v>
      </c>
      <c r="C577" s="3">
        <v>34</v>
      </c>
      <c r="D577" s="13">
        <v>100</v>
      </c>
      <c r="E577" s="5">
        <v>37876</v>
      </c>
      <c r="F577" s="2" t="s">
        <v>13</v>
      </c>
      <c r="G577" s="2" t="s">
        <v>202</v>
      </c>
      <c r="H577" s="3">
        <v>3</v>
      </c>
      <c r="I577" s="6">
        <v>2003</v>
      </c>
      <c r="J577" s="2" t="s">
        <v>22</v>
      </c>
      <c r="K577" s="2" t="s">
        <v>195</v>
      </c>
      <c r="L577" s="7">
        <f t="shared" si="24"/>
        <v>3400</v>
      </c>
      <c r="M577" s="2" t="str">
        <f t="shared" si="25"/>
        <v>September</v>
      </c>
      <c r="N577" s="6">
        <f t="shared" si="26"/>
        <v>2003</v>
      </c>
    </row>
    <row r="578" spans="1:14">
      <c r="A578" s="2" t="s">
        <v>28</v>
      </c>
      <c r="B578" s="3">
        <v>10162</v>
      </c>
      <c r="C578" s="3">
        <v>29</v>
      </c>
      <c r="D578" s="13">
        <v>100</v>
      </c>
      <c r="E578" s="5">
        <v>37912</v>
      </c>
      <c r="F578" s="2" t="s">
        <v>13</v>
      </c>
      <c r="G578" s="2" t="s">
        <v>202</v>
      </c>
      <c r="H578" s="3">
        <v>4</v>
      </c>
      <c r="I578" s="6">
        <v>2003</v>
      </c>
      <c r="J578" s="2" t="s">
        <v>22</v>
      </c>
      <c r="K578" s="2" t="s">
        <v>29</v>
      </c>
      <c r="L578" s="7">
        <f t="shared" ref="L578:L641" si="27">PRODUCT(C578,D578)</f>
        <v>2900</v>
      </c>
      <c r="M578" s="2" t="str">
        <f t="shared" ref="M578:M641" si="28">TEXT(E578,"MMMM")</f>
        <v>October</v>
      </c>
      <c r="N578" s="6">
        <f t="shared" ref="N578:N641" si="29">YEAR(E578)</f>
        <v>2003</v>
      </c>
    </row>
    <row r="579" spans="1:14">
      <c r="A579" s="2" t="s">
        <v>203</v>
      </c>
      <c r="B579" s="3">
        <v>10173</v>
      </c>
      <c r="C579" s="3">
        <v>24</v>
      </c>
      <c r="D579" s="13">
        <v>100</v>
      </c>
      <c r="E579" s="5">
        <v>37930</v>
      </c>
      <c r="F579" s="2" t="s">
        <v>13</v>
      </c>
      <c r="G579" s="2" t="s">
        <v>202</v>
      </c>
      <c r="H579" s="3">
        <v>4</v>
      </c>
      <c r="I579" s="6">
        <v>2003</v>
      </c>
      <c r="J579" s="2" t="s">
        <v>22</v>
      </c>
      <c r="K579" s="2" t="s">
        <v>204</v>
      </c>
      <c r="L579" s="7">
        <f t="shared" si="27"/>
        <v>2400</v>
      </c>
      <c r="M579" s="2" t="str">
        <f t="shared" si="28"/>
        <v>November</v>
      </c>
      <c r="N579" s="6">
        <f t="shared" si="29"/>
        <v>2003</v>
      </c>
    </row>
    <row r="580" spans="1:14">
      <c r="A580" s="2" t="s">
        <v>103</v>
      </c>
      <c r="B580" s="3">
        <v>10182</v>
      </c>
      <c r="C580" s="3">
        <v>44</v>
      </c>
      <c r="D580" s="13">
        <v>100</v>
      </c>
      <c r="E580" s="5">
        <v>37937</v>
      </c>
      <c r="F580" s="2" t="s">
        <v>13</v>
      </c>
      <c r="G580" s="2" t="s">
        <v>202</v>
      </c>
      <c r="H580" s="3">
        <v>4</v>
      </c>
      <c r="I580" s="6">
        <v>2003</v>
      </c>
      <c r="J580" s="2" t="s">
        <v>61</v>
      </c>
      <c r="K580" s="2" t="s">
        <v>104</v>
      </c>
      <c r="L580" s="7">
        <f t="shared" si="27"/>
        <v>4400</v>
      </c>
      <c r="M580" s="2" t="str">
        <f t="shared" si="28"/>
        <v>November</v>
      </c>
      <c r="N580" s="6">
        <f t="shared" si="29"/>
        <v>2003</v>
      </c>
    </row>
    <row r="581" spans="1:14">
      <c r="A581" s="2" t="s">
        <v>205</v>
      </c>
      <c r="B581" s="3">
        <v>10193</v>
      </c>
      <c r="C581" s="3">
        <v>21</v>
      </c>
      <c r="D581" s="13">
        <v>100</v>
      </c>
      <c r="E581" s="5">
        <v>37946</v>
      </c>
      <c r="F581" s="2" t="s">
        <v>13</v>
      </c>
      <c r="G581" s="2" t="s">
        <v>202</v>
      </c>
      <c r="H581" s="3">
        <v>4</v>
      </c>
      <c r="I581" s="6">
        <v>2003</v>
      </c>
      <c r="J581" s="2" t="s">
        <v>22</v>
      </c>
      <c r="K581" s="2" t="s">
        <v>206</v>
      </c>
      <c r="L581" s="7">
        <f t="shared" si="27"/>
        <v>2100</v>
      </c>
      <c r="M581" s="2" t="str">
        <f t="shared" si="28"/>
        <v>November</v>
      </c>
      <c r="N581" s="6">
        <f t="shared" si="29"/>
        <v>2003</v>
      </c>
    </row>
    <row r="582" spans="1:14">
      <c r="A582" s="2" t="s">
        <v>177</v>
      </c>
      <c r="B582" s="3">
        <v>10204</v>
      </c>
      <c r="C582" s="3">
        <v>33</v>
      </c>
      <c r="D582" s="13">
        <v>100</v>
      </c>
      <c r="E582" s="5">
        <v>37957</v>
      </c>
      <c r="F582" s="2" t="s">
        <v>13</v>
      </c>
      <c r="G582" s="2" t="s">
        <v>202</v>
      </c>
      <c r="H582" s="3">
        <v>4</v>
      </c>
      <c r="I582" s="6">
        <v>2003</v>
      </c>
      <c r="J582" s="2" t="s">
        <v>22</v>
      </c>
      <c r="K582" s="2" t="s">
        <v>178</v>
      </c>
      <c r="L582" s="7">
        <f t="shared" si="27"/>
        <v>3300</v>
      </c>
      <c r="M582" s="2" t="str">
        <f t="shared" si="28"/>
        <v>December</v>
      </c>
      <c r="N582" s="6">
        <f t="shared" si="29"/>
        <v>2003</v>
      </c>
    </row>
    <row r="583" spans="1:14">
      <c r="A583" s="2" t="s">
        <v>75</v>
      </c>
      <c r="B583" s="3">
        <v>10214</v>
      </c>
      <c r="C583" s="3">
        <v>30</v>
      </c>
      <c r="D583" s="13">
        <v>100</v>
      </c>
      <c r="E583" s="5">
        <v>38012</v>
      </c>
      <c r="F583" s="2" t="s">
        <v>13</v>
      </c>
      <c r="G583" s="2" t="s">
        <v>202</v>
      </c>
      <c r="H583" s="3">
        <v>1</v>
      </c>
      <c r="I583" s="6">
        <v>2004</v>
      </c>
      <c r="J583" s="2" t="s">
        <v>22</v>
      </c>
      <c r="K583" s="2" t="s">
        <v>76</v>
      </c>
      <c r="L583" s="7">
        <f t="shared" si="27"/>
        <v>3000</v>
      </c>
      <c r="M583" s="2" t="str">
        <f t="shared" si="28"/>
        <v>January</v>
      </c>
      <c r="N583" s="6">
        <f t="shared" si="29"/>
        <v>2004</v>
      </c>
    </row>
    <row r="584" spans="1:14">
      <c r="A584" s="2" t="s">
        <v>85</v>
      </c>
      <c r="B584" s="3">
        <v>10227</v>
      </c>
      <c r="C584" s="3">
        <v>26</v>
      </c>
      <c r="D584" s="13">
        <v>100</v>
      </c>
      <c r="E584" s="5">
        <v>38048</v>
      </c>
      <c r="F584" s="2" t="s">
        <v>13</v>
      </c>
      <c r="G584" s="2" t="s">
        <v>202</v>
      </c>
      <c r="H584" s="3">
        <v>1</v>
      </c>
      <c r="I584" s="6">
        <v>2004</v>
      </c>
      <c r="J584" s="2" t="s">
        <v>22</v>
      </c>
      <c r="K584" s="2" t="s">
        <v>86</v>
      </c>
      <c r="L584" s="7">
        <f t="shared" si="27"/>
        <v>2600</v>
      </c>
      <c r="M584" s="2" t="str">
        <f t="shared" si="28"/>
        <v>March</v>
      </c>
      <c r="N584" s="6">
        <f t="shared" si="29"/>
        <v>2004</v>
      </c>
    </row>
    <row r="585" spans="1:14">
      <c r="A585" s="2" t="s">
        <v>196</v>
      </c>
      <c r="B585" s="3">
        <v>10241</v>
      </c>
      <c r="C585" s="3">
        <v>41</v>
      </c>
      <c r="D585" s="13">
        <v>100</v>
      </c>
      <c r="E585" s="5">
        <v>38090</v>
      </c>
      <c r="F585" s="2" t="s">
        <v>13</v>
      </c>
      <c r="G585" s="2" t="s">
        <v>202</v>
      </c>
      <c r="H585" s="3">
        <v>2</v>
      </c>
      <c r="I585" s="6">
        <v>2004</v>
      </c>
      <c r="J585" s="2" t="s">
        <v>61</v>
      </c>
      <c r="K585" s="2" t="s">
        <v>197</v>
      </c>
      <c r="L585" s="7">
        <f t="shared" si="27"/>
        <v>4100</v>
      </c>
      <c r="M585" s="2" t="str">
        <f t="shared" si="28"/>
        <v>April</v>
      </c>
      <c r="N585" s="6">
        <f t="shared" si="29"/>
        <v>2004</v>
      </c>
    </row>
    <row r="586" spans="1:14">
      <c r="A586" s="2" t="s">
        <v>97</v>
      </c>
      <c r="B586" s="3">
        <v>10280</v>
      </c>
      <c r="C586" s="3">
        <v>26</v>
      </c>
      <c r="D586" s="13">
        <v>100</v>
      </c>
      <c r="E586" s="5">
        <v>38216</v>
      </c>
      <c r="F586" s="2" t="s">
        <v>13</v>
      </c>
      <c r="G586" s="2" t="s">
        <v>202</v>
      </c>
      <c r="H586" s="3">
        <v>3</v>
      </c>
      <c r="I586" s="6">
        <v>2004</v>
      </c>
      <c r="J586" s="2" t="s">
        <v>22</v>
      </c>
      <c r="K586" s="2" t="s">
        <v>98</v>
      </c>
      <c r="L586" s="7">
        <f t="shared" si="27"/>
        <v>2600</v>
      </c>
      <c r="M586" s="2" t="str">
        <f t="shared" si="28"/>
        <v>August</v>
      </c>
      <c r="N586" s="6">
        <f t="shared" si="29"/>
        <v>2004</v>
      </c>
    </row>
    <row r="587" spans="1:14">
      <c r="A587" s="2" t="s">
        <v>159</v>
      </c>
      <c r="B587" s="3">
        <v>10288</v>
      </c>
      <c r="C587" s="3">
        <v>32</v>
      </c>
      <c r="D587" s="13">
        <v>100</v>
      </c>
      <c r="E587" s="5">
        <v>38231</v>
      </c>
      <c r="F587" s="2" t="s">
        <v>13</v>
      </c>
      <c r="G587" s="2" t="s">
        <v>202</v>
      </c>
      <c r="H587" s="3">
        <v>3</v>
      </c>
      <c r="I587" s="6">
        <v>2004</v>
      </c>
      <c r="J587" s="2" t="s">
        <v>22</v>
      </c>
      <c r="K587" s="2" t="s">
        <v>160</v>
      </c>
      <c r="L587" s="7">
        <f t="shared" si="27"/>
        <v>3200</v>
      </c>
      <c r="M587" s="2" t="str">
        <f t="shared" si="28"/>
        <v>September</v>
      </c>
      <c r="N587" s="6">
        <f t="shared" si="29"/>
        <v>2004</v>
      </c>
    </row>
    <row r="588" spans="1:14">
      <c r="A588" s="2" t="s">
        <v>67</v>
      </c>
      <c r="B588" s="3">
        <v>10302</v>
      </c>
      <c r="C588" s="3">
        <v>43</v>
      </c>
      <c r="D588" s="13">
        <v>100</v>
      </c>
      <c r="E588" s="5">
        <v>37900</v>
      </c>
      <c r="F588" s="2" t="s">
        <v>13</v>
      </c>
      <c r="G588" s="2" t="s">
        <v>202</v>
      </c>
      <c r="H588" s="3">
        <v>4</v>
      </c>
      <c r="I588" s="6">
        <v>2003</v>
      </c>
      <c r="J588" s="2" t="s">
        <v>61</v>
      </c>
      <c r="K588" s="2" t="s">
        <v>68</v>
      </c>
      <c r="L588" s="7">
        <f t="shared" si="27"/>
        <v>4300</v>
      </c>
      <c r="M588" s="2" t="str">
        <f t="shared" si="28"/>
        <v>October</v>
      </c>
      <c r="N588" s="6">
        <f t="shared" si="29"/>
        <v>2003</v>
      </c>
    </row>
    <row r="589" spans="1:14">
      <c r="A589" s="2" t="s">
        <v>103</v>
      </c>
      <c r="B589" s="3">
        <v>10312</v>
      </c>
      <c r="C589" s="3">
        <v>48</v>
      </c>
      <c r="D589" s="13">
        <v>100</v>
      </c>
      <c r="E589" s="5">
        <v>38281</v>
      </c>
      <c r="F589" s="2" t="s">
        <v>13</v>
      </c>
      <c r="G589" s="2" t="s">
        <v>202</v>
      </c>
      <c r="H589" s="3">
        <v>4</v>
      </c>
      <c r="I589" s="6">
        <v>2004</v>
      </c>
      <c r="J589" s="2" t="s">
        <v>61</v>
      </c>
      <c r="K589" s="2" t="s">
        <v>104</v>
      </c>
      <c r="L589" s="7">
        <f t="shared" si="27"/>
        <v>4800</v>
      </c>
      <c r="M589" s="2" t="str">
        <f t="shared" si="28"/>
        <v>October</v>
      </c>
      <c r="N589" s="6">
        <f t="shared" si="29"/>
        <v>2004</v>
      </c>
    </row>
    <row r="590" spans="1:14">
      <c r="A590" s="2" t="s">
        <v>116</v>
      </c>
      <c r="B590" s="3">
        <v>10331</v>
      </c>
      <c r="C590" s="3">
        <v>44</v>
      </c>
      <c r="D590" s="13">
        <v>74.04</v>
      </c>
      <c r="E590" s="5">
        <v>38308</v>
      </c>
      <c r="F590" s="2" t="s">
        <v>13</v>
      </c>
      <c r="G590" s="2" t="s">
        <v>202</v>
      </c>
      <c r="H590" s="3">
        <v>4</v>
      </c>
      <c r="I590" s="6">
        <v>2004</v>
      </c>
      <c r="J590" s="2" t="s">
        <v>22</v>
      </c>
      <c r="K590" s="2" t="s">
        <v>117</v>
      </c>
      <c r="L590" s="7">
        <f t="shared" si="27"/>
        <v>3257.76</v>
      </c>
      <c r="M590" s="2" t="str">
        <f t="shared" si="28"/>
        <v>November</v>
      </c>
      <c r="N590" s="6">
        <f t="shared" si="29"/>
        <v>2004</v>
      </c>
    </row>
    <row r="591" spans="1:14">
      <c r="A591" s="2" t="s">
        <v>163</v>
      </c>
      <c r="B591" s="3">
        <v>10344</v>
      </c>
      <c r="C591" s="3">
        <v>45</v>
      </c>
      <c r="D591" s="13">
        <v>100</v>
      </c>
      <c r="E591" s="5">
        <v>38316</v>
      </c>
      <c r="F591" s="2" t="s">
        <v>13</v>
      </c>
      <c r="G591" s="2" t="s">
        <v>202</v>
      </c>
      <c r="H591" s="3">
        <v>4</v>
      </c>
      <c r="I591" s="6">
        <v>2004</v>
      </c>
      <c r="J591" s="2" t="s">
        <v>61</v>
      </c>
      <c r="K591" s="2" t="s">
        <v>164</v>
      </c>
      <c r="L591" s="7">
        <f t="shared" si="27"/>
        <v>4500</v>
      </c>
      <c r="M591" s="2" t="str">
        <f t="shared" si="28"/>
        <v>November</v>
      </c>
      <c r="N591" s="6">
        <f t="shared" si="29"/>
        <v>2004</v>
      </c>
    </row>
    <row r="592" spans="1:14">
      <c r="A592" s="2" t="s">
        <v>25</v>
      </c>
      <c r="B592" s="3">
        <v>10367</v>
      </c>
      <c r="C592" s="3">
        <v>37</v>
      </c>
      <c r="D592" s="13">
        <v>100</v>
      </c>
      <c r="E592" s="5">
        <v>38364</v>
      </c>
      <c r="F592" s="2" t="s">
        <v>155</v>
      </c>
      <c r="G592" s="2" t="s">
        <v>202</v>
      </c>
      <c r="H592" s="3">
        <v>1</v>
      </c>
      <c r="I592" s="6">
        <v>2005</v>
      </c>
      <c r="J592" s="2" t="s">
        <v>22</v>
      </c>
      <c r="K592" s="2" t="s">
        <v>26</v>
      </c>
      <c r="L592" s="7">
        <f t="shared" si="27"/>
        <v>3700</v>
      </c>
      <c r="M592" s="2" t="str">
        <f t="shared" si="28"/>
        <v>January</v>
      </c>
      <c r="N592" s="6">
        <f t="shared" si="29"/>
        <v>2005</v>
      </c>
    </row>
    <row r="593" spans="1:14">
      <c r="A593" s="2" t="s">
        <v>69</v>
      </c>
      <c r="B593" s="3">
        <v>10379</v>
      </c>
      <c r="C593" s="3">
        <v>39</v>
      </c>
      <c r="D593" s="13">
        <v>100</v>
      </c>
      <c r="E593" s="5">
        <v>38393</v>
      </c>
      <c r="F593" s="2" t="s">
        <v>13</v>
      </c>
      <c r="G593" s="2" t="s">
        <v>202</v>
      </c>
      <c r="H593" s="3">
        <v>1</v>
      </c>
      <c r="I593" s="6">
        <v>2005</v>
      </c>
      <c r="J593" s="2" t="s">
        <v>22</v>
      </c>
      <c r="K593" s="2" t="s">
        <v>71</v>
      </c>
      <c r="L593" s="7">
        <f t="shared" si="27"/>
        <v>3900</v>
      </c>
      <c r="M593" s="2" t="str">
        <f t="shared" si="28"/>
        <v>February</v>
      </c>
      <c r="N593" s="6">
        <f t="shared" si="29"/>
        <v>2005</v>
      </c>
    </row>
    <row r="594" spans="1:14">
      <c r="A594" s="2" t="s">
        <v>149</v>
      </c>
      <c r="B594" s="3">
        <v>10407</v>
      </c>
      <c r="C594" s="3">
        <v>76</v>
      </c>
      <c r="D594" s="13">
        <v>100</v>
      </c>
      <c r="E594" s="5">
        <v>38464</v>
      </c>
      <c r="F594" s="2" t="s">
        <v>151</v>
      </c>
      <c r="G594" s="2" t="s">
        <v>202</v>
      </c>
      <c r="H594" s="3">
        <v>2</v>
      </c>
      <c r="I594" s="6">
        <v>2005</v>
      </c>
      <c r="J594" s="2" t="s">
        <v>61</v>
      </c>
      <c r="K594" s="2" t="s">
        <v>150</v>
      </c>
      <c r="L594" s="7">
        <f t="shared" si="27"/>
        <v>7600</v>
      </c>
      <c r="M594" s="2" t="str">
        <f t="shared" si="28"/>
        <v>April</v>
      </c>
      <c r="N594" s="6">
        <f t="shared" si="29"/>
        <v>2005</v>
      </c>
    </row>
    <row r="595" spans="1:14">
      <c r="A595" s="2" t="s">
        <v>63</v>
      </c>
      <c r="B595" s="3">
        <v>10420</v>
      </c>
      <c r="C595" s="3">
        <v>37</v>
      </c>
      <c r="D595" s="13">
        <v>100</v>
      </c>
      <c r="E595" s="5">
        <v>38501</v>
      </c>
      <c r="F595" s="2" t="s">
        <v>113</v>
      </c>
      <c r="G595" s="2" t="s">
        <v>202</v>
      </c>
      <c r="H595" s="3">
        <v>2</v>
      </c>
      <c r="I595" s="6">
        <v>2005</v>
      </c>
      <c r="J595" s="2" t="s">
        <v>22</v>
      </c>
      <c r="K595" s="2" t="s">
        <v>64</v>
      </c>
      <c r="L595" s="7">
        <f t="shared" si="27"/>
        <v>3700</v>
      </c>
      <c r="M595" s="2" t="str">
        <f t="shared" si="28"/>
        <v>May</v>
      </c>
      <c r="N595" s="6">
        <f t="shared" si="29"/>
        <v>2005</v>
      </c>
    </row>
    <row r="596" spans="1:14">
      <c r="A596" s="2" t="s">
        <v>161</v>
      </c>
      <c r="B596" s="3">
        <v>10108</v>
      </c>
      <c r="C596" s="3">
        <v>38</v>
      </c>
      <c r="D596" s="13">
        <v>82.39</v>
      </c>
      <c r="E596" s="5">
        <v>37683</v>
      </c>
      <c r="F596" s="2" t="s">
        <v>13</v>
      </c>
      <c r="G596" s="2" t="s">
        <v>72</v>
      </c>
      <c r="H596" s="3">
        <v>1</v>
      </c>
      <c r="I596" s="6">
        <v>2003</v>
      </c>
      <c r="J596" s="2" t="s">
        <v>22</v>
      </c>
      <c r="K596" s="2" t="s">
        <v>162</v>
      </c>
      <c r="L596" s="7">
        <f t="shared" si="27"/>
        <v>3130.82</v>
      </c>
      <c r="M596" s="2" t="str">
        <f t="shared" si="28"/>
        <v>March</v>
      </c>
      <c r="N596" s="6">
        <f t="shared" si="29"/>
        <v>2003</v>
      </c>
    </row>
    <row r="597" spans="1:14">
      <c r="A597" s="2" t="s">
        <v>163</v>
      </c>
      <c r="B597" s="3">
        <v>10122</v>
      </c>
      <c r="C597" s="3">
        <v>43</v>
      </c>
      <c r="D597" s="13">
        <v>72.38</v>
      </c>
      <c r="E597" s="5">
        <v>37749</v>
      </c>
      <c r="F597" s="2" t="s">
        <v>13</v>
      </c>
      <c r="G597" s="2" t="s">
        <v>72</v>
      </c>
      <c r="H597" s="3">
        <v>2</v>
      </c>
      <c r="I597" s="6">
        <v>2003</v>
      </c>
      <c r="J597" s="2" t="s">
        <v>22</v>
      </c>
      <c r="K597" s="2" t="s">
        <v>164</v>
      </c>
      <c r="L597" s="7">
        <f t="shared" si="27"/>
        <v>3112.34</v>
      </c>
      <c r="M597" s="2" t="str">
        <f t="shared" si="28"/>
        <v>May</v>
      </c>
      <c r="N597" s="6">
        <f t="shared" si="29"/>
        <v>2003</v>
      </c>
    </row>
    <row r="598" spans="1:14">
      <c r="A598" s="2" t="s">
        <v>103</v>
      </c>
      <c r="B598" s="3">
        <v>10135</v>
      </c>
      <c r="C598" s="3">
        <v>48</v>
      </c>
      <c r="D598" s="13">
        <v>79.31</v>
      </c>
      <c r="E598" s="5">
        <v>37804</v>
      </c>
      <c r="F598" s="2" t="s">
        <v>13</v>
      </c>
      <c r="G598" s="2" t="s">
        <v>72</v>
      </c>
      <c r="H598" s="3">
        <v>3</v>
      </c>
      <c r="I598" s="6">
        <v>2003</v>
      </c>
      <c r="J598" s="2" t="s">
        <v>22</v>
      </c>
      <c r="K598" s="2" t="s">
        <v>104</v>
      </c>
      <c r="L598" s="7">
        <f t="shared" si="27"/>
        <v>3806.88</v>
      </c>
      <c r="M598" s="2" t="str">
        <f t="shared" si="28"/>
        <v>July</v>
      </c>
      <c r="N598" s="6">
        <f t="shared" si="29"/>
        <v>2003</v>
      </c>
    </row>
    <row r="599" spans="1:14">
      <c r="A599" s="2" t="s">
        <v>107</v>
      </c>
      <c r="B599" s="3">
        <v>10147</v>
      </c>
      <c r="C599" s="3">
        <v>26</v>
      </c>
      <c r="D599" s="13">
        <v>82.39</v>
      </c>
      <c r="E599" s="5">
        <v>37869</v>
      </c>
      <c r="F599" s="2" t="s">
        <v>13</v>
      </c>
      <c r="G599" s="2" t="s">
        <v>72</v>
      </c>
      <c r="H599" s="3">
        <v>3</v>
      </c>
      <c r="I599" s="6">
        <v>2003</v>
      </c>
      <c r="J599" s="2" t="s">
        <v>15</v>
      </c>
      <c r="K599" s="2" t="s">
        <v>108</v>
      </c>
      <c r="L599" s="7">
        <f t="shared" si="27"/>
        <v>2142.14</v>
      </c>
      <c r="M599" s="2" t="str">
        <f t="shared" si="28"/>
        <v>September</v>
      </c>
      <c r="N599" s="6">
        <f t="shared" si="29"/>
        <v>2003</v>
      </c>
    </row>
    <row r="600" spans="1:14">
      <c r="A600" s="2" t="s">
        <v>135</v>
      </c>
      <c r="B600" s="3">
        <v>10160</v>
      </c>
      <c r="C600" s="3">
        <v>38</v>
      </c>
      <c r="D600" s="13">
        <v>88.55</v>
      </c>
      <c r="E600" s="5">
        <v>37905</v>
      </c>
      <c r="F600" s="2" t="s">
        <v>13</v>
      </c>
      <c r="G600" s="2" t="s">
        <v>72</v>
      </c>
      <c r="H600" s="3">
        <v>4</v>
      </c>
      <c r="I600" s="6">
        <v>2003</v>
      </c>
      <c r="J600" s="2" t="s">
        <v>22</v>
      </c>
      <c r="K600" s="2" t="s">
        <v>136</v>
      </c>
      <c r="L600" s="7">
        <f t="shared" si="27"/>
        <v>3364.9</v>
      </c>
      <c r="M600" s="2" t="str">
        <f t="shared" si="28"/>
        <v>October</v>
      </c>
      <c r="N600" s="6">
        <f t="shared" si="29"/>
        <v>2003</v>
      </c>
    </row>
    <row r="601" spans="1:14">
      <c r="A601" s="2" t="s">
        <v>154</v>
      </c>
      <c r="B601" s="3">
        <v>10170</v>
      </c>
      <c r="C601" s="3">
        <v>20</v>
      </c>
      <c r="D601" s="13">
        <v>63.14</v>
      </c>
      <c r="E601" s="5">
        <v>37929</v>
      </c>
      <c r="F601" s="2" t="s">
        <v>13</v>
      </c>
      <c r="G601" s="2" t="s">
        <v>72</v>
      </c>
      <c r="H601" s="3">
        <v>4</v>
      </c>
      <c r="I601" s="6">
        <v>2003</v>
      </c>
      <c r="J601" s="2" t="s">
        <v>15</v>
      </c>
      <c r="K601" s="2" t="s">
        <v>156</v>
      </c>
      <c r="L601" s="7">
        <f t="shared" si="27"/>
        <v>1262.8</v>
      </c>
      <c r="M601" s="2" t="str">
        <f t="shared" si="28"/>
        <v>November</v>
      </c>
      <c r="N601" s="6">
        <f t="shared" si="29"/>
        <v>2003</v>
      </c>
    </row>
    <row r="602" spans="1:14">
      <c r="A602" s="2" t="s">
        <v>36</v>
      </c>
      <c r="B602" s="3">
        <v>10181</v>
      </c>
      <c r="C602" s="3">
        <v>22</v>
      </c>
      <c r="D602" s="13">
        <v>73.92</v>
      </c>
      <c r="E602" s="5">
        <v>37937</v>
      </c>
      <c r="F602" s="2" t="s">
        <v>13</v>
      </c>
      <c r="G602" s="2" t="s">
        <v>72</v>
      </c>
      <c r="H602" s="3">
        <v>4</v>
      </c>
      <c r="I602" s="6">
        <v>2003</v>
      </c>
      <c r="J602" s="2" t="s">
        <v>15</v>
      </c>
      <c r="K602" s="2" t="s">
        <v>37</v>
      </c>
      <c r="L602" s="7">
        <f t="shared" si="27"/>
        <v>1626.24</v>
      </c>
      <c r="M602" s="2" t="str">
        <f t="shared" si="28"/>
        <v>November</v>
      </c>
      <c r="N602" s="6">
        <f t="shared" si="29"/>
        <v>2003</v>
      </c>
    </row>
    <row r="603" spans="1:14">
      <c r="A603" s="2" t="s">
        <v>105</v>
      </c>
      <c r="B603" s="3">
        <v>10192</v>
      </c>
      <c r="C603" s="3">
        <v>45</v>
      </c>
      <c r="D603" s="13">
        <v>90.86</v>
      </c>
      <c r="E603" s="5">
        <v>37945</v>
      </c>
      <c r="F603" s="2" t="s">
        <v>13</v>
      </c>
      <c r="G603" s="2" t="s">
        <v>72</v>
      </c>
      <c r="H603" s="3">
        <v>4</v>
      </c>
      <c r="I603" s="6">
        <v>2003</v>
      </c>
      <c r="J603" s="2" t="s">
        <v>22</v>
      </c>
      <c r="K603" s="2" t="s">
        <v>106</v>
      </c>
      <c r="L603" s="7">
        <f t="shared" si="27"/>
        <v>4088.7</v>
      </c>
      <c r="M603" s="2" t="str">
        <f t="shared" si="28"/>
        <v>November</v>
      </c>
      <c r="N603" s="6">
        <f t="shared" si="29"/>
        <v>2003</v>
      </c>
    </row>
    <row r="604" spans="1:14">
      <c r="A604" s="2" t="s">
        <v>69</v>
      </c>
      <c r="B604" s="3">
        <v>10203</v>
      </c>
      <c r="C604" s="3">
        <v>45</v>
      </c>
      <c r="D604" s="13">
        <v>85.47</v>
      </c>
      <c r="E604" s="5">
        <v>37957</v>
      </c>
      <c r="F604" s="2" t="s">
        <v>13</v>
      </c>
      <c r="G604" s="2" t="s">
        <v>72</v>
      </c>
      <c r="H604" s="3">
        <v>4</v>
      </c>
      <c r="I604" s="6">
        <v>2003</v>
      </c>
      <c r="J604" s="2" t="s">
        <v>22</v>
      </c>
      <c r="K604" s="2" t="s">
        <v>71</v>
      </c>
      <c r="L604" s="7">
        <f t="shared" si="27"/>
        <v>3846.15</v>
      </c>
      <c r="M604" s="2" t="str">
        <f t="shared" si="28"/>
        <v>December</v>
      </c>
      <c r="N604" s="6">
        <f t="shared" si="29"/>
        <v>2003</v>
      </c>
    </row>
    <row r="605" spans="1:14">
      <c r="A605" s="2" t="s">
        <v>69</v>
      </c>
      <c r="B605" s="3">
        <v>10212</v>
      </c>
      <c r="C605" s="3">
        <v>20</v>
      </c>
      <c r="D605" s="13">
        <v>66.99</v>
      </c>
      <c r="E605" s="5">
        <v>38002</v>
      </c>
      <c r="F605" s="2" t="s">
        <v>13</v>
      </c>
      <c r="G605" s="2" t="s">
        <v>72</v>
      </c>
      <c r="H605" s="3">
        <v>1</v>
      </c>
      <c r="I605" s="6">
        <v>2004</v>
      </c>
      <c r="J605" s="2" t="s">
        <v>15</v>
      </c>
      <c r="K605" s="2" t="s">
        <v>71</v>
      </c>
      <c r="L605" s="7">
        <f t="shared" si="27"/>
        <v>1339.8</v>
      </c>
      <c r="M605" s="2" t="str">
        <f t="shared" si="28"/>
        <v>January</v>
      </c>
      <c r="N605" s="6">
        <f t="shared" si="29"/>
        <v>2004</v>
      </c>
    </row>
    <row r="606" spans="1:14">
      <c r="A606" s="2" t="s">
        <v>167</v>
      </c>
      <c r="B606" s="3">
        <v>10225</v>
      </c>
      <c r="C606" s="3">
        <v>47</v>
      </c>
      <c r="D606" s="13">
        <v>64.68</v>
      </c>
      <c r="E606" s="5">
        <v>38039</v>
      </c>
      <c r="F606" s="2" t="s">
        <v>13</v>
      </c>
      <c r="G606" s="2" t="s">
        <v>72</v>
      </c>
      <c r="H606" s="3">
        <v>1</v>
      </c>
      <c r="I606" s="6">
        <v>2004</v>
      </c>
      <c r="J606" s="2" t="s">
        <v>22</v>
      </c>
      <c r="K606" s="2" t="s">
        <v>168</v>
      </c>
      <c r="L606" s="7">
        <f t="shared" si="27"/>
        <v>3039.96</v>
      </c>
      <c r="M606" s="2" t="str">
        <f t="shared" si="28"/>
        <v>February</v>
      </c>
      <c r="N606" s="6">
        <f t="shared" si="29"/>
        <v>2004</v>
      </c>
    </row>
    <row r="607" spans="1:14">
      <c r="A607" s="2" t="s">
        <v>147</v>
      </c>
      <c r="B607" s="3">
        <v>10239</v>
      </c>
      <c r="C607" s="3">
        <v>46</v>
      </c>
      <c r="D607" s="13">
        <v>73.92</v>
      </c>
      <c r="E607" s="5">
        <v>38089</v>
      </c>
      <c r="F607" s="2" t="s">
        <v>13</v>
      </c>
      <c r="G607" s="2" t="s">
        <v>72</v>
      </c>
      <c r="H607" s="3">
        <v>2</v>
      </c>
      <c r="I607" s="6">
        <v>2004</v>
      </c>
      <c r="J607" s="2" t="s">
        <v>22</v>
      </c>
      <c r="K607" s="2" t="s">
        <v>148</v>
      </c>
      <c r="L607" s="7">
        <f t="shared" si="27"/>
        <v>3400.32</v>
      </c>
      <c r="M607" s="2" t="str">
        <f t="shared" si="28"/>
        <v>April</v>
      </c>
      <c r="N607" s="6">
        <f t="shared" si="29"/>
        <v>2004</v>
      </c>
    </row>
    <row r="608" spans="1:14">
      <c r="A608" s="2" t="s">
        <v>67</v>
      </c>
      <c r="B608" s="3">
        <v>10253</v>
      </c>
      <c r="C608" s="3">
        <v>23</v>
      </c>
      <c r="D608" s="13">
        <v>83.93</v>
      </c>
      <c r="E608" s="5">
        <v>38139</v>
      </c>
      <c r="F608" s="2" t="s">
        <v>128</v>
      </c>
      <c r="G608" s="2" t="s">
        <v>72</v>
      </c>
      <c r="H608" s="3">
        <v>2</v>
      </c>
      <c r="I608" s="6">
        <v>2004</v>
      </c>
      <c r="J608" s="2" t="s">
        <v>15</v>
      </c>
      <c r="K608" s="2" t="s">
        <v>68</v>
      </c>
      <c r="L608" s="7">
        <f t="shared" si="27"/>
        <v>1930.39</v>
      </c>
      <c r="M608" s="2" t="str">
        <f t="shared" si="28"/>
        <v>June</v>
      </c>
      <c r="N608" s="6">
        <f t="shared" si="29"/>
        <v>2004</v>
      </c>
    </row>
    <row r="609" spans="1:14">
      <c r="A609" s="2" t="s">
        <v>169</v>
      </c>
      <c r="B609" s="3">
        <v>10266</v>
      </c>
      <c r="C609" s="3">
        <v>33</v>
      </c>
      <c r="D609" s="13">
        <v>74.69</v>
      </c>
      <c r="E609" s="5">
        <v>38174</v>
      </c>
      <c r="F609" s="2" t="s">
        <v>13</v>
      </c>
      <c r="G609" s="2" t="s">
        <v>72</v>
      </c>
      <c r="H609" s="3">
        <v>3</v>
      </c>
      <c r="I609" s="6">
        <v>2004</v>
      </c>
      <c r="J609" s="2" t="s">
        <v>15</v>
      </c>
      <c r="K609" s="2" t="s">
        <v>170</v>
      </c>
      <c r="L609" s="7">
        <f t="shared" si="27"/>
        <v>2464.77</v>
      </c>
      <c r="M609" s="2" t="str">
        <f t="shared" si="28"/>
        <v>July</v>
      </c>
      <c r="N609" s="6">
        <f t="shared" si="29"/>
        <v>2004</v>
      </c>
    </row>
    <row r="610" spans="1:14">
      <c r="A610" s="2" t="s">
        <v>198</v>
      </c>
      <c r="B610" s="3">
        <v>10278</v>
      </c>
      <c r="C610" s="3">
        <v>29</v>
      </c>
      <c r="D610" s="13">
        <v>90.86</v>
      </c>
      <c r="E610" s="5">
        <v>38205</v>
      </c>
      <c r="F610" s="2" t="s">
        <v>13</v>
      </c>
      <c r="G610" s="2" t="s">
        <v>72</v>
      </c>
      <c r="H610" s="3">
        <v>3</v>
      </c>
      <c r="I610" s="6">
        <v>2004</v>
      </c>
      <c r="J610" s="2" t="s">
        <v>15</v>
      </c>
      <c r="K610" s="2" t="s">
        <v>199</v>
      </c>
      <c r="L610" s="7">
        <f t="shared" si="27"/>
        <v>2634.94</v>
      </c>
      <c r="M610" s="2" t="str">
        <f t="shared" si="28"/>
        <v>August</v>
      </c>
      <c r="N610" s="6">
        <f t="shared" si="29"/>
        <v>2004</v>
      </c>
    </row>
    <row r="611" spans="1:14">
      <c r="A611" s="2" t="s">
        <v>167</v>
      </c>
      <c r="B611" s="3">
        <v>10287</v>
      </c>
      <c r="C611" s="3">
        <v>44</v>
      </c>
      <c r="D611" s="13">
        <v>82.39</v>
      </c>
      <c r="E611" s="5">
        <v>38229</v>
      </c>
      <c r="F611" s="2" t="s">
        <v>13</v>
      </c>
      <c r="G611" s="2" t="s">
        <v>72</v>
      </c>
      <c r="H611" s="3">
        <v>3</v>
      </c>
      <c r="I611" s="6">
        <v>2004</v>
      </c>
      <c r="J611" s="2" t="s">
        <v>22</v>
      </c>
      <c r="K611" s="2" t="s">
        <v>168</v>
      </c>
      <c r="L611" s="7">
        <f t="shared" si="27"/>
        <v>3625.16</v>
      </c>
      <c r="M611" s="2" t="str">
        <f t="shared" si="28"/>
        <v>August</v>
      </c>
      <c r="N611" s="6">
        <f t="shared" si="29"/>
        <v>2004</v>
      </c>
    </row>
    <row r="612" spans="1:14">
      <c r="A612" s="2" t="s">
        <v>173</v>
      </c>
      <c r="B612" s="3">
        <v>10300</v>
      </c>
      <c r="C612" s="3">
        <v>41</v>
      </c>
      <c r="D612" s="13">
        <v>92.4</v>
      </c>
      <c r="E612" s="5">
        <v>37898</v>
      </c>
      <c r="F612" s="2" t="s">
        <v>13</v>
      </c>
      <c r="G612" s="2" t="s">
        <v>72</v>
      </c>
      <c r="H612" s="3">
        <v>4</v>
      </c>
      <c r="I612" s="6">
        <v>2003</v>
      </c>
      <c r="J612" s="2" t="s">
        <v>22</v>
      </c>
      <c r="K612" s="2" t="s">
        <v>174</v>
      </c>
      <c r="L612" s="7">
        <f t="shared" si="27"/>
        <v>3788.4</v>
      </c>
      <c r="M612" s="2" t="str">
        <f t="shared" si="28"/>
        <v>October</v>
      </c>
      <c r="N612" s="6">
        <f t="shared" si="29"/>
        <v>2003</v>
      </c>
    </row>
    <row r="613" spans="1:14">
      <c r="A613" s="2" t="s">
        <v>165</v>
      </c>
      <c r="B613" s="3">
        <v>10310</v>
      </c>
      <c r="C613" s="3">
        <v>20</v>
      </c>
      <c r="D613" s="13">
        <v>91.63</v>
      </c>
      <c r="E613" s="5">
        <v>38276</v>
      </c>
      <c r="F613" s="2" t="s">
        <v>13</v>
      </c>
      <c r="G613" s="2" t="s">
        <v>72</v>
      </c>
      <c r="H613" s="3">
        <v>4</v>
      </c>
      <c r="I613" s="6">
        <v>2004</v>
      </c>
      <c r="J613" s="2" t="s">
        <v>15</v>
      </c>
      <c r="K613" s="2" t="s">
        <v>166</v>
      </c>
      <c r="L613" s="7">
        <f t="shared" si="27"/>
        <v>1832.6</v>
      </c>
      <c r="M613" s="2" t="str">
        <f t="shared" si="28"/>
        <v>October</v>
      </c>
      <c r="N613" s="6">
        <f t="shared" si="29"/>
        <v>2004</v>
      </c>
    </row>
    <row r="614" spans="1:14">
      <c r="A614" s="2" t="s">
        <v>65</v>
      </c>
      <c r="B614" s="3">
        <v>10321</v>
      </c>
      <c r="C614" s="3">
        <v>37</v>
      </c>
      <c r="D614" s="13">
        <v>78.54</v>
      </c>
      <c r="E614" s="5">
        <v>38295</v>
      </c>
      <c r="F614" s="2" t="s">
        <v>13</v>
      </c>
      <c r="G614" s="2" t="s">
        <v>72</v>
      </c>
      <c r="H614" s="3">
        <v>4</v>
      </c>
      <c r="I614" s="6">
        <v>2004</v>
      </c>
      <c r="J614" s="2" t="s">
        <v>15</v>
      </c>
      <c r="K614" s="2" t="s">
        <v>66</v>
      </c>
      <c r="L614" s="7">
        <f t="shared" si="27"/>
        <v>2905.98</v>
      </c>
      <c r="M614" s="2" t="str">
        <f t="shared" si="28"/>
        <v>November</v>
      </c>
      <c r="N614" s="6">
        <f t="shared" si="29"/>
        <v>2004</v>
      </c>
    </row>
    <row r="615" spans="1:14">
      <c r="A615" s="2" t="s">
        <v>12</v>
      </c>
      <c r="B615" s="3">
        <v>10329</v>
      </c>
      <c r="C615" s="3">
        <v>29</v>
      </c>
      <c r="D615" s="13">
        <v>100</v>
      </c>
      <c r="E615" s="5">
        <v>38306</v>
      </c>
      <c r="F615" s="2" t="s">
        <v>13</v>
      </c>
      <c r="G615" s="2" t="s">
        <v>72</v>
      </c>
      <c r="H615" s="3">
        <v>4</v>
      </c>
      <c r="I615" s="6">
        <v>2004</v>
      </c>
      <c r="J615" s="2" t="s">
        <v>15</v>
      </c>
      <c r="K615" s="2" t="s">
        <v>16</v>
      </c>
      <c r="L615" s="7">
        <f t="shared" si="27"/>
        <v>2900</v>
      </c>
      <c r="M615" s="2" t="str">
        <f t="shared" si="28"/>
        <v>November</v>
      </c>
      <c r="N615" s="6">
        <f t="shared" si="29"/>
        <v>2004</v>
      </c>
    </row>
    <row r="616" spans="1:14">
      <c r="A616" s="2" t="s">
        <v>42</v>
      </c>
      <c r="B616" s="3">
        <v>10342</v>
      </c>
      <c r="C616" s="3">
        <v>55</v>
      </c>
      <c r="D616" s="13">
        <v>65.45</v>
      </c>
      <c r="E616" s="5">
        <v>38315</v>
      </c>
      <c r="F616" s="2" t="s">
        <v>13</v>
      </c>
      <c r="G616" s="2" t="s">
        <v>72</v>
      </c>
      <c r="H616" s="3">
        <v>4</v>
      </c>
      <c r="I616" s="6">
        <v>2004</v>
      </c>
      <c r="J616" s="2" t="s">
        <v>22</v>
      </c>
      <c r="K616" s="2" t="s">
        <v>43</v>
      </c>
      <c r="L616" s="7">
        <f t="shared" si="27"/>
        <v>3599.75</v>
      </c>
      <c r="M616" s="2" t="str">
        <f t="shared" si="28"/>
        <v>November</v>
      </c>
      <c r="N616" s="6">
        <f t="shared" si="29"/>
        <v>2004</v>
      </c>
    </row>
    <row r="617" spans="1:14">
      <c r="A617" s="2" t="s">
        <v>175</v>
      </c>
      <c r="B617" s="3">
        <v>10363</v>
      </c>
      <c r="C617" s="3">
        <v>22</v>
      </c>
      <c r="D617" s="13">
        <v>100</v>
      </c>
      <c r="E617" s="5">
        <v>38358</v>
      </c>
      <c r="F617" s="2" t="s">
        <v>13</v>
      </c>
      <c r="G617" s="2" t="s">
        <v>72</v>
      </c>
      <c r="H617" s="3">
        <v>1</v>
      </c>
      <c r="I617" s="6">
        <v>2005</v>
      </c>
      <c r="J617" s="2" t="s">
        <v>22</v>
      </c>
      <c r="K617" s="2" t="s">
        <v>176</v>
      </c>
      <c r="L617" s="7">
        <f t="shared" si="27"/>
        <v>2200</v>
      </c>
      <c r="M617" s="2" t="str">
        <f t="shared" si="28"/>
        <v>January</v>
      </c>
      <c r="N617" s="6">
        <f t="shared" si="29"/>
        <v>2005</v>
      </c>
    </row>
    <row r="618" spans="1:14">
      <c r="A618" s="2" t="s">
        <v>54</v>
      </c>
      <c r="B618" s="3">
        <v>10377</v>
      </c>
      <c r="C618" s="3">
        <v>31</v>
      </c>
      <c r="D618" s="13">
        <v>67.76</v>
      </c>
      <c r="E618" s="5">
        <v>38392</v>
      </c>
      <c r="F618" s="2" t="s">
        <v>13</v>
      </c>
      <c r="G618" s="2" t="s">
        <v>72</v>
      </c>
      <c r="H618" s="3">
        <v>1</v>
      </c>
      <c r="I618" s="6">
        <v>2005</v>
      </c>
      <c r="J618" s="2" t="s">
        <v>15</v>
      </c>
      <c r="K618" s="2" t="s">
        <v>55</v>
      </c>
      <c r="L618" s="7">
        <f t="shared" si="27"/>
        <v>2100.56</v>
      </c>
      <c r="M618" s="2" t="str">
        <f t="shared" si="28"/>
        <v>February</v>
      </c>
      <c r="N618" s="6">
        <f t="shared" si="29"/>
        <v>2005</v>
      </c>
    </row>
    <row r="619" spans="1:14">
      <c r="A619" s="2" t="s">
        <v>99</v>
      </c>
      <c r="B619" s="3">
        <v>10389</v>
      </c>
      <c r="C619" s="3">
        <v>49</v>
      </c>
      <c r="D619" s="13">
        <v>79.22</v>
      </c>
      <c r="E619" s="5">
        <v>38414</v>
      </c>
      <c r="F619" s="2" t="s">
        <v>13</v>
      </c>
      <c r="G619" s="2" t="s">
        <v>72</v>
      </c>
      <c r="H619" s="3">
        <v>1</v>
      </c>
      <c r="I619" s="6">
        <v>2005</v>
      </c>
      <c r="J619" s="2" t="s">
        <v>22</v>
      </c>
      <c r="K619" s="2" t="s">
        <v>100</v>
      </c>
      <c r="L619" s="7">
        <f t="shared" si="27"/>
        <v>3881.78</v>
      </c>
      <c r="M619" s="2" t="str">
        <f t="shared" si="28"/>
        <v>March</v>
      </c>
      <c r="N619" s="6">
        <f t="shared" si="29"/>
        <v>2005</v>
      </c>
    </row>
    <row r="620" spans="1:14">
      <c r="A620" s="2" t="s">
        <v>196</v>
      </c>
      <c r="B620" s="3">
        <v>10405</v>
      </c>
      <c r="C620" s="3">
        <v>61</v>
      </c>
      <c r="D620" s="13">
        <v>73.92</v>
      </c>
      <c r="E620" s="5">
        <v>38456</v>
      </c>
      <c r="F620" s="2" t="s">
        <v>13</v>
      </c>
      <c r="G620" s="2" t="s">
        <v>72</v>
      </c>
      <c r="H620" s="3">
        <v>2</v>
      </c>
      <c r="I620" s="6">
        <v>2005</v>
      </c>
      <c r="J620" s="2" t="s">
        <v>22</v>
      </c>
      <c r="K620" s="2" t="s">
        <v>197</v>
      </c>
      <c r="L620" s="7">
        <f t="shared" si="27"/>
        <v>4509.12</v>
      </c>
      <c r="M620" s="2" t="str">
        <f t="shared" si="28"/>
        <v>April</v>
      </c>
      <c r="N620" s="6">
        <f t="shared" si="29"/>
        <v>2005</v>
      </c>
    </row>
    <row r="621" spans="1:14">
      <c r="A621" s="2" t="s">
        <v>60</v>
      </c>
      <c r="B621" s="3">
        <v>10419</v>
      </c>
      <c r="C621" s="3">
        <v>39</v>
      </c>
      <c r="D621" s="13">
        <v>83.93</v>
      </c>
      <c r="E621" s="5">
        <v>38489</v>
      </c>
      <c r="F621" s="2" t="s">
        <v>13</v>
      </c>
      <c r="G621" s="2" t="s">
        <v>72</v>
      </c>
      <c r="H621" s="3">
        <v>2</v>
      </c>
      <c r="I621" s="6">
        <v>2005</v>
      </c>
      <c r="J621" s="2" t="s">
        <v>22</v>
      </c>
      <c r="K621" s="2" t="s">
        <v>62</v>
      </c>
      <c r="L621" s="7">
        <f t="shared" si="27"/>
        <v>3273.27</v>
      </c>
      <c r="M621" s="2" t="str">
        <f t="shared" si="28"/>
        <v>May</v>
      </c>
      <c r="N621" s="6">
        <f t="shared" si="29"/>
        <v>2005</v>
      </c>
    </row>
    <row r="622" spans="1:14">
      <c r="A622" s="2" t="s">
        <v>116</v>
      </c>
      <c r="B622" s="3">
        <v>10109</v>
      </c>
      <c r="C622" s="3">
        <v>38</v>
      </c>
      <c r="D622" s="13">
        <v>100</v>
      </c>
      <c r="E622" s="5">
        <v>37690</v>
      </c>
      <c r="F622" s="2" t="s">
        <v>13</v>
      </c>
      <c r="G622" s="2" t="s">
        <v>72</v>
      </c>
      <c r="H622" s="3">
        <v>1</v>
      </c>
      <c r="I622" s="6">
        <v>2003</v>
      </c>
      <c r="J622" s="2" t="s">
        <v>22</v>
      </c>
      <c r="K622" s="2" t="s">
        <v>117</v>
      </c>
      <c r="L622" s="7">
        <f t="shared" si="27"/>
        <v>3800</v>
      </c>
      <c r="M622" s="2" t="str">
        <f t="shared" si="28"/>
        <v>March</v>
      </c>
      <c r="N622" s="6">
        <f t="shared" si="29"/>
        <v>2003</v>
      </c>
    </row>
    <row r="623" spans="1:14">
      <c r="A623" s="2" t="s">
        <v>163</v>
      </c>
      <c r="B623" s="3">
        <v>10122</v>
      </c>
      <c r="C623" s="3">
        <v>31</v>
      </c>
      <c r="D623" s="13">
        <v>100</v>
      </c>
      <c r="E623" s="5">
        <v>37749</v>
      </c>
      <c r="F623" s="2" t="s">
        <v>13</v>
      </c>
      <c r="G623" s="2" t="s">
        <v>72</v>
      </c>
      <c r="H623" s="3">
        <v>2</v>
      </c>
      <c r="I623" s="6">
        <v>2003</v>
      </c>
      <c r="J623" s="2" t="s">
        <v>22</v>
      </c>
      <c r="K623" s="2" t="s">
        <v>164</v>
      </c>
      <c r="L623" s="7">
        <f t="shared" si="27"/>
        <v>3100</v>
      </c>
      <c r="M623" s="2" t="str">
        <f t="shared" si="28"/>
        <v>May</v>
      </c>
      <c r="N623" s="6">
        <f t="shared" si="29"/>
        <v>2003</v>
      </c>
    </row>
    <row r="624" spans="1:14">
      <c r="A624" s="2" t="s">
        <v>129</v>
      </c>
      <c r="B624" s="3">
        <v>10136</v>
      </c>
      <c r="C624" s="3">
        <v>36</v>
      </c>
      <c r="D624" s="13">
        <v>100</v>
      </c>
      <c r="E624" s="5">
        <v>37806</v>
      </c>
      <c r="F624" s="2" t="s">
        <v>13</v>
      </c>
      <c r="G624" s="2" t="s">
        <v>72</v>
      </c>
      <c r="H624" s="3">
        <v>3</v>
      </c>
      <c r="I624" s="6">
        <v>2003</v>
      </c>
      <c r="J624" s="2" t="s">
        <v>22</v>
      </c>
      <c r="K624" s="2" t="s">
        <v>130</v>
      </c>
      <c r="L624" s="7">
        <f t="shared" si="27"/>
        <v>3600</v>
      </c>
      <c r="M624" s="2" t="str">
        <f t="shared" si="28"/>
        <v>July</v>
      </c>
      <c r="N624" s="6">
        <f t="shared" si="29"/>
        <v>2003</v>
      </c>
    </row>
    <row r="625" spans="1:14">
      <c r="A625" s="2" t="s">
        <v>109</v>
      </c>
      <c r="B625" s="3">
        <v>10148</v>
      </c>
      <c r="C625" s="3">
        <v>25</v>
      </c>
      <c r="D625" s="13">
        <v>100</v>
      </c>
      <c r="E625" s="5">
        <v>37875</v>
      </c>
      <c r="F625" s="2" t="s">
        <v>13</v>
      </c>
      <c r="G625" s="2" t="s">
        <v>72</v>
      </c>
      <c r="H625" s="3">
        <v>3</v>
      </c>
      <c r="I625" s="6">
        <v>2003</v>
      </c>
      <c r="J625" s="2" t="s">
        <v>22</v>
      </c>
      <c r="K625" s="2" t="s">
        <v>110</v>
      </c>
      <c r="L625" s="7">
        <f t="shared" si="27"/>
        <v>2500</v>
      </c>
      <c r="M625" s="2" t="str">
        <f t="shared" si="28"/>
        <v>September</v>
      </c>
      <c r="N625" s="6">
        <f t="shared" si="29"/>
        <v>2003</v>
      </c>
    </row>
    <row r="626" spans="1:14">
      <c r="A626" s="2" t="s">
        <v>185</v>
      </c>
      <c r="B626" s="3">
        <v>10161</v>
      </c>
      <c r="C626" s="3">
        <v>48</v>
      </c>
      <c r="D626" s="13">
        <v>100</v>
      </c>
      <c r="E626" s="5">
        <v>37911</v>
      </c>
      <c r="F626" s="2" t="s">
        <v>13</v>
      </c>
      <c r="G626" s="2" t="s">
        <v>72</v>
      </c>
      <c r="H626" s="3">
        <v>4</v>
      </c>
      <c r="I626" s="6">
        <v>2003</v>
      </c>
      <c r="J626" s="2" t="s">
        <v>22</v>
      </c>
      <c r="K626" s="2" t="s">
        <v>186</v>
      </c>
      <c r="L626" s="7">
        <f t="shared" si="27"/>
        <v>4800</v>
      </c>
      <c r="M626" s="2" t="str">
        <f t="shared" si="28"/>
        <v>October</v>
      </c>
      <c r="N626" s="6">
        <f t="shared" si="29"/>
        <v>2003</v>
      </c>
    </row>
    <row r="627" spans="1:14">
      <c r="A627" s="2" t="s">
        <v>36</v>
      </c>
      <c r="B627" s="3">
        <v>10181</v>
      </c>
      <c r="C627" s="3">
        <v>21</v>
      </c>
      <c r="D627" s="13">
        <v>100</v>
      </c>
      <c r="E627" s="5">
        <v>37937</v>
      </c>
      <c r="F627" s="2" t="s">
        <v>13</v>
      </c>
      <c r="G627" s="2" t="s">
        <v>72</v>
      </c>
      <c r="H627" s="3">
        <v>4</v>
      </c>
      <c r="I627" s="6">
        <v>2003</v>
      </c>
      <c r="J627" s="2" t="s">
        <v>22</v>
      </c>
      <c r="K627" s="2" t="s">
        <v>37</v>
      </c>
      <c r="L627" s="7">
        <f t="shared" si="27"/>
        <v>2100</v>
      </c>
      <c r="M627" s="2" t="str">
        <f t="shared" si="28"/>
        <v>November</v>
      </c>
      <c r="N627" s="6">
        <f t="shared" si="29"/>
        <v>2003</v>
      </c>
    </row>
    <row r="628" spans="1:14">
      <c r="A628" s="2" t="s">
        <v>105</v>
      </c>
      <c r="B628" s="3">
        <v>10192</v>
      </c>
      <c r="C628" s="3">
        <v>47</v>
      </c>
      <c r="D628" s="13">
        <v>100</v>
      </c>
      <c r="E628" s="5">
        <v>37945</v>
      </c>
      <c r="F628" s="2" t="s">
        <v>13</v>
      </c>
      <c r="G628" s="2" t="s">
        <v>72</v>
      </c>
      <c r="H628" s="3">
        <v>4</v>
      </c>
      <c r="I628" s="6">
        <v>2003</v>
      </c>
      <c r="J628" s="2" t="s">
        <v>61</v>
      </c>
      <c r="K628" s="2" t="s">
        <v>106</v>
      </c>
      <c r="L628" s="7">
        <f t="shared" si="27"/>
        <v>4700</v>
      </c>
      <c r="M628" s="2" t="str">
        <f t="shared" si="28"/>
        <v>November</v>
      </c>
      <c r="N628" s="6">
        <f t="shared" si="29"/>
        <v>2003</v>
      </c>
    </row>
    <row r="629" spans="1:14">
      <c r="A629" s="2" t="s">
        <v>177</v>
      </c>
      <c r="B629" s="3">
        <v>10204</v>
      </c>
      <c r="C629" s="3">
        <v>38</v>
      </c>
      <c r="D629" s="13">
        <v>100</v>
      </c>
      <c r="E629" s="5">
        <v>37957</v>
      </c>
      <c r="F629" s="2" t="s">
        <v>13</v>
      </c>
      <c r="G629" s="2" t="s">
        <v>72</v>
      </c>
      <c r="H629" s="3">
        <v>4</v>
      </c>
      <c r="I629" s="6">
        <v>2003</v>
      </c>
      <c r="J629" s="2" t="s">
        <v>22</v>
      </c>
      <c r="K629" s="2" t="s">
        <v>178</v>
      </c>
      <c r="L629" s="7">
        <f t="shared" si="27"/>
        <v>3800</v>
      </c>
      <c r="M629" s="2" t="str">
        <f t="shared" si="28"/>
        <v>December</v>
      </c>
      <c r="N629" s="6">
        <f t="shared" si="29"/>
        <v>2003</v>
      </c>
    </row>
    <row r="630" spans="1:14">
      <c r="A630" s="2" t="s">
        <v>69</v>
      </c>
      <c r="B630" s="3">
        <v>10212</v>
      </c>
      <c r="C630" s="3">
        <v>41</v>
      </c>
      <c r="D630" s="13">
        <v>100</v>
      </c>
      <c r="E630" s="5">
        <v>38002</v>
      </c>
      <c r="F630" s="2" t="s">
        <v>13</v>
      </c>
      <c r="G630" s="2" t="s">
        <v>72</v>
      </c>
      <c r="H630" s="3">
        <v>1</v>
      </c>
      <c r="I630" s="6">
        <v>2004</v>
      </c>
      <c r="J630" s="2" t="s">
        <v>22</v>
      </c>
      <c r="K630" s="2" t="s">
        <v>71</v>
      </c>
      <c r="L630" s="7">
        <f t="shared" si="27"/>
        <v>4100</v>
      </c>
      <c r="M630" s="2" t="str">
        <f t="shared" si="28"/>
        <v>January</v>
      </c>
      <c r="N630" s="6">
        <f t="shared" si="29"/>
        <v>2004</v>
      </c>
    </row>
    <row r="631" spans="1:14">
      <c r="A631" s="2" t="s">
        <v>137</v>
      </c>
      <c r="B631" s="3">
        <v>10226</v>
      </c>
      <c r="C631" s="3">
        <v>24</v>
      </c>
      <c r="D631" s="13">
        <v>100</v>
      </c>
      <c r="E631" s="5">
        <v>38043</v>
      </c>
      <c r="F631" s="2" t="s">
        <v>13</v>
      </c>
      <c r="G631" s="2" t="s">
        <v>72</v>
      </c>
      <c r="H631" s="3">
        <v>1</v>
      </c>
      <c r="I631" s="6">
        <v>2004</v>
      </c>
      <c r="J631" s="2" t="s">
        <v>22</v>
      </c>
      <c r="K631" s="2" t="s">
        <v>138</v>
      </c>
      <c r="L631" s="7">
        <f t="shared" si="27"/>
        <v>2400</v>
      </c>
      <c r="M631" s="2" t="str">
        <f t="shared" si="28"/>
        <v>February</v>
      </c>
      <c r="N631" s="6">
        <f t="shared" si="29"/>
        <v>2004</v>
      </c>
    </row>
    <row r="632" spans="1:14">
      <c r="A632" s="2" t="s">
        <v>114</v>
      </c>
      <c r="B632" s="3">
        <v>10240</v>
      </c>
      <c r="C632" s="3">
        <v>37</v>
      </c>
      <c r="D632" s="13">
        <v>100</v>
      </c>
      <c r="E632" s="5">
        <v>38090</v>
      </c>
      <c r="F632" s="2" t="s">
        <v>13</v>
      </c>
      <c r="G632" s="2" t="s">
        <v>72</v>
      </c>
      <c r="H632" s="3">
        <v>2</v>
      </c>
      <c r="I632" s="6">
        <v>2004</v>
      </c>
      <c r="J632" s="2" t="s">
        <v>22</v>
      </c>
      <c r="K632" s="2" t="s">
        <v>115</v>
      </c>
      <c r="L632" s="7">
        <f t="shared" si="27"/>
        <v>3700</v>
      </c>
      <c r="M632" s="2" t="str">
        <f t="shared" si="28"/>
        <v>April</v>
      </c>
      <c r="N632" s="6">
        <f t="shared" si="29"/>
        <v>2004</v>
      </c>
    </row>
    <row r="633" spans="1:14">
      <c r="A633" s="2" t="s">
        <v>67</v>
      </c>
      <c r="B633" s="3">
        <v>10253</v>
      </c>
      <c r="C633" s="3">
        <v>33</v>
      </c>
      <c r="D633" s="13">
        <v>100</v>
      </c>
      <c r="E633" s="5">
        <v>38139</v>
      </c>
      <c r="F633" s="2" t="s">
        <v>128</v>
      </c>
      <c r="G633" s="2" t="s">
        <v>72</v>
      </c>
      <c r="H633" s="3">
        <v>2</v>
      </c>
      <c r="I633" s="6">
        <v>2004</v>
      </c>
      <c r="J633" s="2" t="s">
        <v>22</v>
      </c>
      <c r="K633" s="2" t="s">
        <v>68</v>
      </c>
      <c r="L633" s="7">
        <f t="shared" si="27"/>
        <v>3300</v>
      </c>
      <c r="M633" s="2" t="str">
        <f t="shared" si="28"/>
        <v>June</v>
      </c>
      <c r="N633" s="6">
        <f t="shared" si="29"/>
        <v>2004</v>
      </c>
    </row>
    <row r="634" spans="1:14">
      <c r="A634" s="2" t="s">
        <v>169</v>
      </c>
      <c r="B634" s="3">
        <v>10266</v>
      </c>
      <c r="C634" s="3">
        <v>49</v>
      </c>
      <c r="D634" s="13">
        <v>100</v>
      </c>
      <c r="E634" s="5">
        <v>38174</v>
      </c>
      <c r="F634" s="2" t="s">
        <v>13</v>
      </c>
      <c r="G634" s="2" t="s">
        <v>72</v>
      </c>
      <c r="H634" s="3">
        <v>3</v>
      </c>
      <c r="I634" s="6">
        <v>2004</v>
      </c>
      <c r="J634" s="2" t="s">
        <v>22</v>
      </c>
      <c r="K634" s="2" t="s">
        <v>170</v>
      </c>
      <c r="L634" s="7">
        <f t="shared" si="27"/>
        <v>4900</v>
      </c>
      <c r="M634" s="2" t="str">
        <f t="shared" si="28"/>
        <v>July</v>
      </c>
      <c r="N634" s="6">
        <f t="shared" si="29"/>
        <v>2004</v>
      </c>
    </row>
    <row r="635" spans="1:14">
      <c r="A635" s="2" t="s">
        <v>198</v>
      </c>
      <c r="B635" s="3">
        <v>10278</v>
      </c>
      <c r="C635" s="3">
        <v>29</v>
      </c>
      <c r="D635" s="13">
        <v>100</v>
      </c>
      <c r="E635" s="5">
        <v>38205</v>
      </c>
      <c r="F635" s="2" t="s">
        <v>13</v>
      </c>
      <c r="G635" s="2" t="s">
        <v>72</v>
      </c>
      <c r="H635" s="3">
        <v>3</v>
      </c>
      <c r="I635" s="6">
        <v>2004</v>
      </c>
      <c r="J635" s="2" t="s">
        <v>22</v>
      </c>
      <c r="K635" s="2" t="s">
        <v>199</v>
      </c>
      <c r="L635" s="7">
        <f t="shared" si="27"/>
        <v>2900</v>
      </c>
      <c r="M635" s="2" t="str">
        <f t="shared" si="28"/>
        <v>August</v>
      </c>
      <c r="N635" s="6">
        <f t="shared" si="29"/>
        <v>2004</v>
      </c>
    </row>
    <row r="636" spans="1:14">
      <c r="A636" s="2" t="s">
        <v>167</v>
      </c>
      <c r="B636" s="3">
        <v>10287</v>
      </c>
      <c r="C636" s="3">
        <v>24</v>
      </c>
      <c r="D636" s="13">
        <v>100</v>
      </c>
      <c r="E636" s="5">
        <v>38229</v>
      </c>
      <c r="F636" s="2" t="s">
        <v>13</v>
      </c>
      <c r="G636" s="2" t="s">
        <v>72</v>
      </c>
      <c r="H636" s="3">
        <v>3</v>
      </c>
      <c r="I636" s="6">
        <v>2004</v>
      </c>
      <c r="J636" s="2" t="s">
        <v>22</v>
      </c>
      <c r="K636" s="2" t="s">
        <v>168</v>
      </c>
      <c r="L636" s="7">
        <f t="shared" si="27"/>
        <v>2400</v>
      </c>
      <c r="M636" s="2" t="str">
        <f t="shared" si="28"/>
        <v>August</v>
      </c>
      <c r="N636" s="6">
        <f t="shared" si="29"/>
        <v>2004</v>
      </c>
    </row>
    <row r="637" spans="1:14">
      <c r="A637" s="2" t="s">
        <v>200</v>
      </c>
      <c r="B637" s="3">
        <v>10301</v>
      </c>
      <c r="C637" s="3">
        <v>47</v>
      </c>
      <c r="D637" s="13">
        <v>100</v>
      </c>
      <c r="E637" s="5">
        <v>37899</v>
      </c>
      <c r="F637" s="2" t="s">
        <v>13</v>
      </c>
      <c r="G637" s="2" t="s">
        <v>72</v>
      </c>
      <c r="H637" s="3">
        <v>4</v>
      </c>
      <c r="I637" s="6">
        <v>2003</v>
      </c>
      <c r="J637" s="2" t="s">
        <v>61</v>
      </c>
      <c r="K637" s="2" t="s">
        <v>201</v>
      </c>
      <c r="L637" s="7">
        <f t="shared" si="27"/>
        <v>4700</v>
      </c>
      <c r="M637" s="2" t="str">
        <f t="shared" si="28"/>
        <v>October</v>
      </c>
      <c r="N637" s="6">
        <f t="shared" si="29"/>
        <v>2003</v>
      </c>
    </row>
    <row r="638" spans="1:14">
      <c r="A638" s="2" t="s">
        <v>65</v>
      </c>
      <c r="B638" s="3">
        <v>10321</v>
      </c>
      <c r="C638" s="3">
        <v>25</v>
      </c>
      <c r="D638" s="13">
        <v>100</v>
      </c>
      <c r="E638" s="5">
        <v>38295</v>
      </c>
      <c r="F638" s="2" t="s">
        <v>13</v>
      </c>
      <c r="G638" s="2" t="s">
        <v>72</v>
      </c>
      <c r="H638" s="3">
        <v>4</v>
      </c>
      <c r="I638" s="6">
        <v>2004</v>
      </c>
      <c r="J638" s="2" t="s">
        <v>22</v>
      </c>
      <c r="K638" s="2" t="s">
        <v>66</v>
      </c>
      <c r="L638" s="7">
        <f t="shared" si="27"/>
        <v>2500</v>
      </c>
      <c r="M638" s="2" t="str">
        <f t="shared" si="28"/>
        <v>November</v>
      </c>
      <c r="N638" s="6">
        <f t="shared" si="29"/>
        <v>2004</v>
      </c>
    </row>
    <row r="639" spans="1:14">
      <c r="A639" s="2" t="s">
        <v>116</v>
      </c>
      <c r="B639" s="3">
        <v>10331</v>
      </c>
      <c r="C639" s="3">
        <v>30</v>
      </c>
      <c r="D639" s="13">
        <v>32.47</v>
      </c>
      <c r="E639" s="5">
        <v>38308</v>
      </c>
      <c r="F639" s="2" t="s">
        <v>13</v>
      </c>
      <c r="G639" s="2" t="s">
        <v>72</v>
      </c>
      <c r="H639" s="3">
        <v>4</v>
      </c>
      <c r="I639" s="6">
        <v>2004</v>
      </c>
      <c r="J639" s="2" t="s">
        <v>15</v>
      </c>
      <c r="K639" s="2" t="s">
        <v>117</v>
      </c>
      <c r="L639" s="7">
        <f t="shared" si="27"/>
        <v>974.1</v>
      </c>
      <c r="M639" s="2" t="str">
        <f t="shared" si="28"/>
        <v>November</v>
      </c>
      <c r="N639" s="6">
        <f t="shared" si="29"/>
        <v>2004</v>
      </c>
    </row>
    <row r="640" spans="1:14">
      <c r="A640" s="2" t="s">
        <v>42</v>
      </c>
      <c r="B640" s="3">
        <v>10342</v>
      </c>
      <c r="C640" s="3">
        <v>22</v>
      </c>
      <c r="D640" s="13">
        <v>100</v>
      </c>
      <c r="E640" s="5">
        <v>38315</v>
      </c>
      <c r="F640" s="2" t="s">
        <v>13</v>
      </c>
      <c r="G640" s="2" t="s">
        <v>72</v>
      </c>
      <c r="H640" s="3">
        <v>4</v>
      </c>
      <c r="I640" s="6">
        <v>2004</v>
      </c>
      <c r="J640" s="2" t="s">
        <v>22</v>
      </c>
      <c r="K640" s="2" t="s">
        <v>43</v>
      </c>
      <c r="L640" s="7">
        <f t="shared" si="27"/>
        <v>2200</v>
      </c>
      <c r="M640" s="2" t="str">
        <f t="shared" si="28"/>
        <v>November</v>
      </c>
      <c r="N640" s="6">
        <f t="shared" si="29"/>
        <v>2004</v>
      </c>
    </row>
    <row r="641" spans="1:14">
      <c r="A641" s="2" t="s">
        <v>21</v>
      </c>
      <c r="B641" s="3">
        <v>10356</v>
      </c>
      <c r="C641" s="3">
        <v>27</v>
      </c>
      <c r="D641" s="13">
        <v>64.69</v>
      </c>
      <c r="E641" s="5">
        <v>38330</v>
      </c>
      <c r="F641" s="2" t="s">
        <v>13</v>
      </c>
      <c r="G641" s="2" t="s">
        <v>72</v>
      </c>
      <c r="H641" s="3">
        <v>4</v>
      </c>
      <c r="I641" s="6">
        <v>2004</v>
      </c>
      <c r="J641" s="2" t="s">
        <v>15</v>
      </c>
      <c r="K641" s="2" t="s">
        <v>23</v>
      </c>
      <c r="L641" s="7">
        <f t="shared" si="27"/>
        <v>1746.63</v>
      </c>
      <c r="M641" s="2" t="str">
        <f t="shared" si="28"/>
        <v>December</v>
      </c>
      <c r="N641" s="6">
        <f t="shared" si="29"/>
        <v>2004</v>
      </c>
    </row>
    <row r="642" spans="1:14">
      <c r="A642" s="2" t="s">
        <v>212</v>
      </c>
      <c r="B642" s="3">
        <v>10366</v>
      </c>
      <c r="C642" s="3">
        <v>34</v>
      </c>
      <c r="D642" s="13">
        <v>100</v>
      </c>
      <c r="E642" s="5">
        <v>38362</v>
      </c>
      <c r="F642" s="2" t="s">
        <v>13</v>
      </c>
      <c r="G642" s="2" t="s">
        <v>72</v>
      </c>
      <c r="H642" s="3">
        <v>1</v>
      </c>
      <c r="I642" s="6">
        <v>2005</v>
      </c>
      <c r="J642" s="2" t="s">
        <v>22</v>
      </c>
      <c r="K642" s="2" t="s">
        <v>213</v>
      </c>
      <c r="L642" s="7">
        <f t="shared" ref="L642:L705" si="30">PRODUCT(C642,D642)</f>
        <v>3400</v>
      </c>
      <c r="M642" s="2" t="str">
        <f t="shared" ref="M642:M705" si="31">TEXT(E642,"MMMM")</f>
        <v>January</v>
      </c>
      <c r="N642" s="6">
        <f t="shared" ref="N642:N705" si="32">YEAR(E642)</f>
        <v>2005</v>
      </c>
    </row>
    <row r="643" spans="1:14">
      <c r="A643" s="2" t="s">
        <v>54</v>
      </c>
      <c r="B643" s="3">
        <v>10377</v>
      </c>
      <c r="C643" s="3">
        <v>36</v>
      </c>
      <c r="D643" s="13">
        <v>100</v>
      </c>
      <c r="E643" s="5">
        <v>38392</v>
      </c>
      <c r="F643" s="2" t="s">
        <v>13</v>
      </c>
      <c r="G643" s="2" t="s">
        <v>72</v>
      </c>
      <c r="H643" s="3">
        <v>1</v>
      </c>
      <c r="I643" s="6">
        <v>2005</v>
      </c>
      <c r="J643" s="2" t="s">
        <v>22</v>
      </c>
      <c r="K643" s="2" t="s">
        <v>55</v>
      </c>
      <c r="L643" s="7">
        <f t="shared" si="30"/>
        <v>3600</v>
      </c>
      <c r="M643" s="2" t="str">
        <f t="shared" si="31"/>
        <v>February</v>
      </c>
      <c r="N643" s="6">
        <f t="shared" si="32"/>
        <v>2005</v>
      </c>
    </row>
    <row r="644" spans="1:14">
      <c r="A644" s="2" t="s">
        <v>103</v>
      </c>
      <c r="B644" s="3">
        <v>10390</v>
      </c>
      <c r="C644" s="3">
        <v>34</v>
      </c>
      <c r="D644" s="13">
        <v>43.05</v>
      </c>
      <c r="E644" s="5">
        <v>38415</v>
      </c>
      <c r="F644" s="2" t="s">
        <v>13</v>
      </c>
      <c r="G644" s="2" t="s">
        <v>72</v>
      </c>
      <c r="H644" s="3">
        <v>1</v>
      </c>
      <c r="I644" s="6">
        <v>2005</v>
      </c>
      <c r="J644" s="2" t="s">
        <v>15</v>
      </c>
      <c r="K644" s="2" t="s">
        <v>104</v>
      </c>
      <c r="L644" s="7">
        <f t="shared" si="30"/>
        <v>1463.7</v>
      </c>
      <c r="M644" s="2" t="str">
        <f t="shared" si="31"/>
        <v>March</v>
      </c>
      <c r="N644" s="6">
        <f t="shared" si="32"/>
        <v>2005</v>
      </c>
    </row>
    <row r="645" spans="1:14">
      <c r="A645" s="2" t="s">
        <v>122</v>
      </c>
      <c r="B645" s="3">
        <v>10406</v>
      </c>
      <c r="C645" s="3">
        <v>48</v>
      </c>
      <c r="D645" s="13">
        <v>100</v>
      </c>
      <c r="E645" s="5">
        <v>38457</v>
      </c>
      <c r="F645" s="2" t="s">
        <v>70</v>
      </c>
      <c r="G645" s="2" t="s">
        <v>72</v>
      </c>
      <c r="H645" s="3">
        <v>2</v>
      </c>
      <c r="I645" s="6">
        <v>2005</v>
      </c>
      <c r="J645" s="2" t="s">
        <v>61</v>
      </c>
      <c r="K645" s="2" t="s">
        <v>123</v>
      </c>
      <c r="L645" s="7">
        <f t="shared" si="30"/>
        <v>4800</v>
      </c>
      <c r="M645" s="2" t="str">
        <f t="shared" si="31"/>
        <v>April</v>
      </c>
      <c r="N645" s="6">
        <f t="shared" si="32"/>
        <v>2005</v>
      </c>
    </row>
    <row r="646" spans="1:14">
      <c r="A646" s="2" t="s">
        <v>60</v>
      </c>
      <c r="B646" s="3">
        <v>10419</v>
      </c>
      <c r="C646" s="3">
        <v>34</v>
      </c>
      <c r="D646" s="13">
        <v>100</v>
      </c>
      <c r="E646" s="5">
        <v>38489</v>
      </c>
      <c r="F646" s="2" t="s">
        <v>13</v>
      </c>
      <c r="G646" s="2" t="s">
        <v>72</v>
      </c>
      <c r="H646" s="3">
        <v>2</v>
      </c>
      <c r="I646" s="6">
        <v>2005</v>
      </c>
      <c r="J646" s="2" t="s">
        <v>22</v>
      </c>
      <c r="K646" s="2" t="s">
        <v>62</v>
      </c>
      <c r="L646" s="7">
        <f t="shared" si="30"/>
        <v>3400</v>
      </c>
      <c r="M646" s="2" t="str">
        <f t="shared" si="31"/>
        <v>May</v>
      </c>
      <c r="N646" s="6">
        <f t="shared" si="32"/>
        <v>2005</v>
      </c>
    </row>
    <row r="647" spans="1:14">
      <c r="A647" s="2" t="s">
        <v>69</v>
      </c>
      <c r="B647" s="3">
        <v>10104</v>
      </c>
      <c r="C647" s="3">
        <v>24</v>
      </c>
      <c r="D647" s="13">
        <v>100</v>
      </c>
      <c r="E647" s="5">
        <v>37652</v>
      </c>
      <c r="F647" s="2" t="s">
        <v>13</v>
      </c>
      <c r="G647" s="2" t="s">
        <v>72</v>
      </c>
      <c r="H647" s="3">
        <v>1</v>
      </c>
      <c r="I647" s="6">
        <v>2003</v>
      </c>
      <c r="J647" s="2" t="s">
        <v>22</v>
      </c>
      <c r="K647" s="2" t="s">
        <v>71</v>
      </c>
      <c r="L647" s="7">
        <f t="shared" si="30"/>
        <v>2400</v>
      </c>
      <c r="M647" s="2" t="str">
        <f t="shared" si="31"/>
        <v>January</v>
      </c>
      <c r="N647" s="6">
        <f t="shared" si="32"/>
        <v>2003</v>
      </c>
    </row>
    <row r="648" spans="1:14">
      <c r="A648" s="2" t="s">
        <v>79</v>
      </c>
      <c r="B648" s="3">
        <v>10115</v>
      </c>
      <c r="C648" s="3">
        <v>46</v>
      </c>
      <c r="D648" s="13">
        <v>100</v>
      </c>
      <c r="E648" s="5">
        <v>37715</v>
      </c>
      <c r="F648" s="2" t="s">
        <v>13</v>
      </c>
      <c r="G648" s="2" t="s">
        <v>72</v>
      </c>
      <c r="H648" s="3">
        <v>2</v>
      </c>
      <c r="I648" s="6">
        <v>2003</v>
      </c>
      <c r="J648" s="2" t="s">
        <v>61</v>
      </c>
      <c r="K648" s="2" t="s">
        <v>80</v>
      </c>
      <c r="L648" s="7">
        <f t="shared" si="30"/>
        <v>4600</v>
      </c>
      <c r="M648" s="2" t="str">
        <f t="shared" si="31"/>
        <v>April</v>
      </c>
      <c r="N648" s="6">
        <f t="shared" si="32"/>
        <v>2003</v>
      </c>
    </row>
    <row r="649" spans="1:14">
      <c r="A649" s="2" t="s">
        <v>177</v>
      </c>
      <c r="B649" s="3">
        <v>10127</v>
      </c>
      <c r="C649" s="3">
        <v>45</v>
      </c>
      <c r="D649" s="13">
        <v>100</v>
      </c>
      <c r="E649" s="5">
        <v>37775</v>
      </c>
      <c r="F649" s="2" t="s">
        <v>13</v>
      </c>
      <c r="G649" s="2" t="s">
        <v>72</v>
      </c>
      <c r="H649" s="3">
        <v>2</v>
      </c>
      <c r="I649" s="6">
        <v>2003</v>
      </c>
      <c r="J649" s="2" t="s">
        <v>61</v>
      </c>
      <c r="K649" s="2" t="s">
        <v>178</v>
      </c>
      <c r="L649" s="7">
        <f t="shared" si="30"/>
        <v>4500</v>
      </c>
      <c r="M649" s="2" t="str">
        <f t="shared" si="31"/>
        <v>June</v>
      </c>
      <c r="N649" s="6">
        <f t="shared" si="32"/>
        <v>2003</v>
      </c>
    </row>
    <row r="650" spans="1:14">
      <c r="A650" s="2" t="s">
        <v>175</v>
      </c>
      <c r="B650" s="3">
        <v>10141</v>
      </c>
      <c r="C650" s="3">
        <v>39</v>
      </c>
      <c r="D650" s="13">
        <v>100</v>
      </c>
      <c r="E650" s="5">
        <v>37834</v>
      </c>
      <c r="F650" s="2" t="s">
        <v>13</v>
      </c>
      <c r="G650" s="2" t="s">
        <v>72</v>
      </c>
      <c r="H650" s="3">
        <v>3</v>
      </c>
      <c r="I650" s="6">
        <v>2003</v>
      </c>
      <c r="J650" s="2" t="s">
        <v>22</v>
      </c>
      <c r="K650" s="2" t="s">
        <v>176</v>
      </c>
      <c r="L650" s="7">
        <f t="shared" si="30"/>
        <v>3900</v>
      </c>
      <c r="M650" s="2" t="str">
        <f t="shared" si="31"/>
        <v>August</v>
      </c>
      <c r="N650" s="6">
        <f t="shared" si="32"/>
        <v>2003</v>
      </c>
    </row>
    <row r="651" spans="1:14">
      <c r="A651" s="2" t="s">
        <v>147</v>
      </c>
      <c r="B651" s="3">
        <v>10151</v>
      </c>
      <c r="C651" s="3">
        <v>43</v>
      </c>
      <c r="D651" s="13">
        <v>100</v>
      </c>
      <c r="E651" s="5">
        <v>37885</v>
      </c>
      <c r="F651" s="2" t="s">
        <v>13</v>
      </c>
      <c r="G651" s="2" t="s">
        <v>72</v>
      </c>
      <c r="H651" s="3">
        <v>3</v>
      </c>
      <c r="I651" s="6">
        <v>2003</v>
      </c>
      <c r="J651" s="2" t="s">
        <v>61</v>
      </c>
      <c r="K651" s="2" t="s">
        <v>148</v>
      </c>
      <c r="L651" s="7">
        <f t="shared" si="30"/>
        <v>4300</v>
      </c>
      <c r="M651" s="2" t="str">
        <f t="shared" si="31"/>
        <v>September</v>
      </c>
      <c r="N651" s="6">
        <f t="shared" si="32"/>
        <v>2003</v>
      </c>
    </row>
    <row r="652" spans="1:14">
      <c r="A652" s="2" t="s">
        <v>77</v>
      </c>
      <c r="B652" s="3">
        <v>10165</v>
      </c>
      <c r="C652" s="3">
        <v>29</v>
      </c>
      <c r="D652" s="13">
        <v>100</v>
      </c>
      <c r="E652" s="5">
        <v>37916</v>
      </c>
      <c r="F652" s="2" t="s">
        <v>13</v>
      </c>
      <c r="G652" s="2" t="s">
        <v>72</v>
      </c>
      <c r="H652" s="3">
        <v>4</v>
      </c>
      <c r="I652" s="6">
        <v>2003</v>
      </c>
      <c r="J652" s="2" t="s">
        <v>22</v>
      </c>
      <c r="K652" s="2" t="s">
        <v>78</v>
      </c>
      <c r="L652" s="7">
        <f t="shared" si="30"/>
        <v>2900</v>
      </c>
      <c r="M652" s="2" t="str">
        <f t="shared" si="31"/>
        <v>October</v>
      </c>
      <c r="N652" s="6">
        <f t="shared" si="32"/>
        <v>2003</v>
      </c>
    </row>
    <row r="653" spans="1:14">
      <c r="A653" s="2" t="s">
        <v>169</v>
      </c>
      <c r="B653" s="3">
        <v>10176</v>
      </c>
      <c r="C653" s="3">
        <v>20</v>
      </c>
      <c r="D653" s="13">
        <v>100</v>
      </c>
      <c r="E653" s="5">
        <v>37931</v>
      </c>
      <c r="F653" s="2" t="s">
        <v>13</v>
      </c>
      <c r="G653" s="2" t="s">
        <v>72</v>
      </c>
      <c r="H653" s="3">
        <v>4</v>
      </c>
      <c r="I653" s="6">
        <v>2003</v>
      </c>
      <c r="J653" s="2" t="s">
        <v>22</v>
      </c>
      <c r="K653" s="2" t="s">
        <v>170</v>
      </c>
      <c r="L653" s="7">
        <f t="shared" si="30"/>
        <v>2000</v>
      </c>
      <c r="M653" s="2" t="str">
        <f t="shared" si="31"/>
        <v>November</v>
      </c>
      <c r="N653" s="6">
        <f t="shared" si="32"/>
        <v>2003</v>
      </c>
    </row>
    <row r="654" spans="1:14">
      <c r="A654" s="2" t="s">
        <v>192</v>
      </c>
      <c r="B654" s="3">
        <v>10184</v>
      </c>
      <c r="C654" s="3">
        <v>46</v>
      </c>
      <c r="D654" s="13">
        <v>100</v>
      </c>
      <c r="E654" s="5">
        <v>37939</v>
      </c>
      <c r="F654" s="2" t="s">
        <v>13</v>
      </c>
      <c r="G654" s="2" t="s">
        <v>72</v>
      </c>
      <c r="H654" s="3">
        <v>4</v>
      </c>
      <c r="I654" s="6">
        <v>2003</v>
      </c>
      <c r="J654" s="2" t="s">
        <v>61</v>
      </c>
      <c r="K654" s="2" t="s">
        <v>193</v>
      </c>
      <c r="L654" s="7">
        <f t="shared" si="30"/>
        <v>4600</v>
      </c>
      <c r="M654" s="2" t="str">
        <f t="shared" si="31"/>
        <v>November</v>
      </c>
      <c r="N654" s="6">
        <f t="shared" si="32"/>
        <v>2003</v>
      </c>
    </row>
    <row r="655" spans="1:14">
      <c r="A655" s="2" t="s">
        <v>120</v>
      </c>
      <c r="B655" s="3">
        <v>10195</v>
      </c>
      <c r="C655" s="3">
        <v>27</v>
      </c>
      <c r="D655" s="13">
        <v>100</v>
      </c>
      <c r="E655" s="5">
        <v>37950</v>
      </c>
      <c r="F655" s="2" t="s">
        <v>13</v>
      </c>
      <c r="G655" s="2" t="s">
        <v>72</v>
      </c>
      <c r="H655" s="3">
        <v>4</v>
      </c>
      <c r="I655" s="6">
        <v>2003</v>
      </c>
      <c r="J655" s="2" t="s">
        <v>22</v>
      </c>
      <c r="K655" s="2" t="s">
        <v>121</v>
      </c>
      <c r="L655" s="7">
        <f t="shared" si="30"/>
        <v>2700</v>
      </c>
      <c r="M655" s="2" t="str">
        <f t="shared" si="31"/>
        <v>November</v>
      </c>
      <c r="N655" s="6">
        <f t="shared" si="32"/>
        <v>2003</v>
      </c>
    </row>
    <row r="656" spans="1:14">
      <c r="A656" s="2" t="s">
        <v>157</v>
      </c>
      <c r="B656" s="3">
        <v>10207</v>
      </c>
      <c r="C656" s="3">
        <v>44</v>
      </c>
      <c r="D656" s="13">
        <v>100</v>
      </c>
      <c r="E656" s="5">
        <v>37964</v>
      </c>
      <c r="F656" s="2" t="s">
        <v>13</v>
      </c>
      <c r="G656" s="2" t="s">
        <v>72</v>
      </c>
      <c r="H656" s="3">
        <v>4</v>
      </c>
      <c r="I656" s="6">
        <v>2003</v>
      </c>
      <c r="J656" s="2" t="s">
        <v>61</v>
      </c>
      <c r="K656" s="2" t="s">
        <v>158</v>
      </c>
      <c r="L656" s="7">
        <f t="shared" si="30"/>
        <v>4400</v>
      </c>
      <c r="M656" s="2" t="str">
        <f t="shared" si="31"/>
        <v>December</v>
      </c>
      <c r="N656" s="6">
        <f t="shared" si="32"/>
        <v>2003</v>
      </c>
    </row>
    <row r="657" spans="1:14">
      <c r="A657" s="2" t="s">
        <v>194</v>
      </c>
      <c r="B657" s="3">
        <v>10219</v>
      </c>
      <c r="C657" s="3">
        <v>43</v>
      </c>
      <c r="D657" s="13">
        <v>100</v>
      </c>
      <c r="E657" s="5">
        <v>38027</v>
      </c>
      <c r="F657" s="2" t="s">
        <v>13</v>
      </c>
      <c r="G657" s="2" t="s">
        <v>72</v>
      </c>
      <c r="H657" s="3">
        <v>1</v>
      </c>
      <c r="I657" s="6">
        <v>2004</v>
      </c>
      <c r="J657" s="2" t="s">
        <v>61</v>
      </c>
      <c r="K657" s="2" t="s">
        <v>195</v>
      </c>
      <c r="L657" s="7">
        <f t="shared" si="30"/>
        <v>4300</v>
      </c>
      <c r="M657" s="2" t="str">
        <f t="shared" si="31"/>
        <v>February</v>
      </c>
      <c r="N657" s="6">
        <f t="shared" si="32"/>
        <v>2004</v>
      </c>
    </row>
    <row r="658" spans="1:14">
      <c r="A658" s="2" t="s">
        <v>173</v>
      </c>
      <c r="B658" s="3">
        <v>10230</v>
      </c>
      <c r="C658" s="3">
        <v>49</v>
      </c>
      <c r="D658" s="13">
        <v>100</v>
      </c>
      <c r="E658" s="5">
        <v>38061</v>
      </c>
      <c r="F658" s="2" t="s">
        <v>13</v>
      </c>
      <c r="G658" s="2" t="s">
        <v>72</v>
      </c>
      <c r="H658" s="3">
        <v>1</v>
      </c>
      <c r="I658" s="6">
        <v>2004</v>
      </c>
      <c r="J658" s="2" t="s">
        <v>61</v>
      </c>
      <c r="K658" s="2" t="s">
        <v>174</v>
      </c>
      <c r="L658" s="7">
        <f t="shared" si="30"/>
        <v>4900</v>
      </c>
      <c r="M658" s="2" t="str">
        <f t="shared" si="31"/>
        <v>March</v>
      </c>
      <c r="N658" s="6">
        <f t="shared" si="32"/>
        <v>2004</v>
      </c>
    </row>
    <row r="659" spans="1:14">
      <c r="A659" s="2" t="s">
        <v>69</v>
      </c>
      <c r="B659" s="3">
        <v>10246</v>
      </c>
      <c r="C659" s="3">
        <v>40</v>
      </c>
      <c r="D659" s="13">
        <v>100</v>
      </c>
      <c r="E659" s="5">
        <v>38112</v>
      </c>
      <c r="F659" s="2" t="s">
        <v>13</v>
      </c>
      <c r="G659" s="2" t="s">
        <v>72</v>
      </c>
      <c r="H659" s="3">
        <v>2</v>
      </c>
      <c r="I659" s="6">
        <v>2004</v>
      </c>
      <c r="J659" s="2" t="s">
        <v>22</v>
      </c>
      <c r="K659" s="2" t="s">
        <v>71</v>
      </c>
      <c r="L659" s="7">
        <f t="shared" si="30"/>
        <v>4000</v>
      </c>
      <c r="M659" s="2" t="str">
        <f t="shared" si="31"/>
        <v>May</v>
      </c>
      <c r="N659" s="6">
        <f t="shared" si="32"/>
        <v>2004</v>
      </c>
    </row>
    <row r="660" spans="1:14">
      <c r="A660" s="2" t="s">
        <v>159</v>
      </c>
      <c r="B660" s="3">
        <v>10259</v>
      </c>
      <c r="C660" s="3">
        <v>30</v>
      </c>
      <c r="D660" s="13">
        <v>100</v>
      </c>
      <c r="E660" s="5">
        <v>38153</v>
      </c>
      <c r="F660" s="2" t="s">
        <v>13</v>
      </c>
      <c r="G660" s="2" t="s">
        <v>72</v>
      </c>
      <c r="H660" s="3">
        <v>2</v>
      </c>
      <c r="I660" s="6">
        <v>2004</v>
      </c>
      <c r="J660" s="2" t="s">
        <v>22</v>
      </c>
      <c r="K660" s="2" t="s">
        <v>160</v>
      </c>
      <c r="L660" s="7">
        <f t="shared" si="30"/>
        <v>3000</v>
      </c>
      <c r="M660" s="2" t="str">
        <f t="shared" si="31"/>
        <v>June</v>
      </c>
      <c r="N660" s="6">
        <f t="shared" si="32"/>
        <v>2004</v>
      </c>
    </row>
    <row r="661" spans="1:14">
      <c r="A661" s="2" t="s">
        <v>103</v>
      </c>
      <c r="B661" s="3">
        <v>10271</v>
      </c>
      <c r="C661" s="3">
        <v>50</v>
      </c>
      <c r="D661" s="13">
        <v>100</v>
      </c>
      <c r="E661" s="5">
        <v>38188</v>
      </c>
      <c r="F661" s="2" t="s">
        <v>13</v>
      </c>
      <c r="G661" s="2" t="s">
        <v>72</v>
      </c>
      <c r="H661" s="3">
        <v>3</v>
      </c>
      <c r="I661" s="6">
        <v>2004</v>
      </c>
      <c r="J661" s="2" t="s">
        <v>61</v>
      </c>
      <c r="K661" s="2" t="s">
        <v>104</v>
      </c>
      <c r="L661" s="7">
        <f t="shared" si="30"/>
        <v>5000</v>
      </c>
      <c r="M661" s="2" t="str">
        <f t="shared" si="31"/>
        <v>July</v>
      </c>
      <c r="N661" s="6">
        <f t="shared" si="32"/>
        <v>2004</v>
      </c>
    </row>
    <row r="662" spans="1:14">
      <c r="A662" s="2" t="s">
        <v>103</v>
      </c>
      <c r="B662" s="3">
        <v>10282</v>
      </c>
      <c r="C662" s="3">
        <v>23</v>
      </c>
      <c r="D662" s="13">
        <v>100</v>
      </c>
      <c r="E662" s="5">
        <v>38219</v>
      </c>
      <c r="F662" s="2" t="s">
        <v>13</v>
      </c>
      <c r="G662" s="2" t="s">
        <v>72</v>
      </c>
      <c r="H662" s="3">
        <v>3</v>
      </c>
      <c r="I662" s="6">
        <v>2004</v>
      </c>
      <c r="J662" s="2" t="s">
        <v>22</v>
      </c>
      <c r="K662" s="2" t="s">
        <v>104</v>
      </c>
      <c r="L662" s="7">
        <f t="shared" si="30"/>
        <v>2300</v>
      </c>
      <c r="M662" s="2" t="str">
        <f t="shared" si="31"/>
        <v>August</v>
      </c>
      <c r="N662" s="6">
        <f t="shared" si="32"/>
        <v>2004</v>
      </c>
    </row>
    <row r="663" spans="1:14">
      <c r="A663" s="2" t="s">
        <v>12</v>
      </c>
      <c r="B663" s="3">
        <v>10292</v>
      </c>
      <c r="C663" s="3">
        <v>26</v>
      </c>
      <c r="D663" s="13">
        <v>100</v>
      </c>
      <c r="E663" s="5">
        <v>38238</v>
      </c>
      <c r="F663" s="2" t="s">
        <v>13</v>
      </c>
      <c r="G663" s="2" t="s">
        <v>72</v>
      </c>
      <c r="H663" s="3">
        <v>3</v>
      </c>
      <c r="I663" s="6">
        <v>2004</v>
      </c>
      <c r="J663" s="2" t="s">
        <v>22</v>
      </c>
      <c r="K663" s="2" t="s">
        <v>16</v>
      </c>
      <c r="L663" s="7">
        <f t="shared" si="30"/>
        <v>2600</v>
      </c>
      <c r="M663" s="2" t="str">
        <f t="shared" si="31"/>
        <v>September</v>
      </c>
      <c r="N663" s="6">
        <f t="shared" si="32"/>
        <v>2004</v>
      </c>
    </row>
    <row r="664" spans="1:14">
      <c r="A664" s="2" t="s">
        <v>52</v>
      </c>
      <c r="B664" s="3">
        <v>10305</v>
      </c>
      <c r="C664" s="3">
        <v>27</v>
      </c>
      <c r="D664" s="13">
        <v>100</v>
      </c>
      <c r="E664" s="5">
        <v>38273</v>
      </c>
      <c r="F664" s="2" t="s">
        <v>13</v>
      </c>
      <c r="G664" s="2" t="s">
        <v>72</v>
      </c>
      <c r="H664" s="3">
        <v>4</v>
      </c>
      <c r="I664" s="6">
        <v>2004</v>
      </c>
      <c r="J664" s="2" t="s">
        <v>22</v>
      </c>
      <c r="K664" s="2" t="s">
        <v>53</v>
      </c>
      <c r="L664" s="7">
        <f t="shared" si="30"/>
        <v>2700</v>
      </c>
      <c r="M664" s="2" t="str">
        <f t="shared" si="31"/>
        <v>October</v>
      </c>
      <c r="N664" s="6">
        <f t="shared" si="32"/>
        <v>2004</v>
      </c>
    </row>
    <row r="665" spans="1:14">
      <c r="A665" s="2" t="s">
        <v>185</v>
      </c>
      <c r="B665" s="3">
        <v>10314</v>
      </c>
      <c r="C665" s="3">
        <v>42</v>
      </c>
      <c r="D665" s="13">
        <v>100</v>
      </c>
      <c r="E665" s="5">
        <v>38282</v>
      </c>
      <c r="F665" s="2" t="s">
        <v>13</v>
      </c>
      <c r="G665" s="2" t="s">
        <v>72</v>
      </c>
      <c r="H665" s="3">
        <v>4</v>
      </c>
      <c r="I665" s="6">
        <v>2004</v>
      </c>
      <c r="J665" s="2" t="s">
        <v>22</v>
      </c>
      <c r="K665" s="2" t="s">
        <v>186</v>
      </c>
      <c r="L665" s="7">
        <f t="shared" si="30"/>
        <v>4200</v>
      </c>
      <c r="M665" s="2" t="str">
        <f t="shared" si="31"/>
        <v>October</v>
      </c>
      <c r="N665" s="6">
        <f t="shared" si="32"/>
        <v>2004</v>
      </c>
    </row>
    <row r="666" spans="1:14">
      <c r="A666" s="2" t="s">
        <v>44</v>
      </c>
      <c r="B666" s="3">
        <v>10324</v>
      </c>
      <c r="C666" s="3">
        <v>47</v>
      </c>
      <c r="D666" s="13">
        <v>100</v>
      </c>
      <c r="E666" s="5">
        <v>38296</v>
      </c>
      <c r="F666" s="2" t="s">
        <v>13</v>
      </c>
      <c r="G666" s="2" t="s">
        <v>72</v>
      </c>
      <c r="H666" s="3">
        <v>4</v>
      </c>
      <c r="I666" s="6">
        <v>2004</v>
      </c>
      <c r="J666" s="2" t="s">
        <v>61</v>
      </c>
      <c r="K666" s="2" t="s">
        <v>45</v>
      </c>
      <c r="L666" s="7">
        <f t="shared" si="30"/>
        <v>4700</v>
      </c>
      <c r="M666" s="2" t="str">
        <f t="shared" si="31"/>
        <v>November</v>
      </c>
      <c r="N666" s="6">
        <f t="shared" si="32"/>
        <v>2004</v>
      </c>
    </row>
    <row r="667" spans="1:14">
      <c r="A667" s="2" t="s">
        <v>152</v>
      </c>
      <c r="B667" s="3">
        <v>10336</v>
      </c>
      <c r="C667" s="3">
        <v>49</v>
      </c>
      <c r="D667" s="13">
        <v>100</v>
      </c>
      <c r="E667" s="5">
        <v>38311</v>
      </c>
      <c r="F667" s="2" t="s">
        <v>13</v>
      </c>
      <c r="G667" s="2" t="s">
        <v>72</v>
      </c>
      <c r="H667" s="3">
        <v>4</v>
      </c>
      <c r="I667" s="6">
        <v>2004</v>
      </c>
      <c r="J667" s="2" t="s">
        <v>61</v>
      </c>
      <c r="K667" s="2" t="s">
        <v>153</v>
      </c>
      <c r="L667" s="7">
        <f t="shared" si="30"/>
        <v>4900</v>
      </c>
      <c r="M667" s="2" t="str">
        <f t="shared" si="31"/>
        <v>November</v>
      </c>
      <c r="N667" s="6">
        <f t="shared" si="32"/>
        <v>2004</v>
      </c>
    </row>
    <row r="668" spans="1:14">
      <c r="A668" s="2" t="s">
        <v>177</v>
      </c>
      <c r="B668" s="3">
        <v>10349</v>
      </c>
      <c r="C668" s="3">
        <v>38</v>
      </c>
      <c r="D668" s="13">
        <v>100</v>
      </c>
      <c r="E668" s="5">
        <v>38322</v>
      </c>
      <c r="F668" s="2" t="s">
        <v>13</v>
      </c>
      <c r="G668" s="2" t="s">
        <v>72</v>
      </c>
      <c r="H668" s="3">
        <v>4</v>
      </c>
      <c r="I668" s="6">
        <v>2004</v>
      </c>
      <c r="J668" s="2" t="s">
        <v>22</v>
      </c>
      <c r="K668" s="2" t="s">
        <v>178</v>
      </c>
      <c r="L668" s="7">
        <f t="shared" si="30"/>
        <v>3800</v>
      </c>
      <c r="M668" s="2" t="str">
        <f t="shared" si="31"/>
        <v>December</v>
      </c>
      <c r="N668" s="6">
        <f t="shared" si="32"/>
        <v>2004</v>
      </c>
    </row>
    <row r="669" spans="1:14">
      <c r="A669" s="2" t="s">
        <v>69</v>
      </c>
      <c r="B669" s="3">
        <v>10358</v>
      </c>
      <c r="C669" s="3">
        <v>20</v>
      </c>
      <c r="D669" s="13">
        <v>100</v>
      </c>
      <c r="E669" s="5">
        <v>38331</v>
      </c>
      <c r="F669" s="2" t="s">
        <v>13</v>
      </c>
      <c r="G669" s="2" t="s">
        <v>72</v>
      </c>
      <c r="H669" s="3">
        <v>4</v>
      </c>
      <c r="I669" s="6">
        <v>2004</v>
      </c>
      <c r="J669" s="2" t="s">
        <v>15</v>
      </c>
      <c r="K669" s="2" t="s">
        <v>71</v>
      </c>
      <c r="L669" s="7">
        <f t="shared" si="30"/>
        <v>2000</v>
      </c>
      <c r="M669" s="2" t="str">
        <f t="shared" si="31"/>
        <v>December</v>
      </c>
      <c r="N669" s="6">
        <f t="shared" si="32"/>
        <v>2004</v>
      </c>
    </row>
    <row r="670" spans="1:14">
      <c r="A670" s="2" t="s">
        <v>103</v>
      </c>
      <c r="B670" s="3">
        <v>10371</v>
      </c>
      <c r="C670" s="3">
        <v>25</v>
      </c>
      <c r="D670" s="13">
        <v>100</v>
      </c>
      <c r="E670" s="5">
        <v>38375</v>
      </c>
      <c r="F670" s="2" t="s">
        <v>13</v>
      </c>
      <c r="G670" s="2" t="s">
        <v>72</v>
      </c>
      <c r="H670" s="3">
        <v>1</v>
      </c>
      <c r="I670" s="6">
        <v>2005</v>
      </c>
      <c r="J670" s="2" t="s">
        <v>15</v>
      </c>
      <c r="K670" s="2" t="s">
        <v>104</v>
      </c>
      <c r="L670" s="7">
        <f t="shared" si="30"/>
        <v>2500</v>
      </c>
      <c r="M670" s="2" t="str">
        <f t="shared" si="31"/>
        <v>January</v>
      </c>
      <c r="N670" s="6">
        <f t="shared" si="32"/>
        <v>2005</v>
      </c>
    </row>
    <row r="671" spans="1:14">
      <c r="A671" s="2" t="s">
        <v>103</v>
      </c>
      <c r="B671" s="3">
        <v>10382</v>
      </c>
      <c r="C671" s="3">
        <v>25</v>
      </c>
      <c r="D671" s="13">
        <v>88</v>
      </c>
      <c r="E671" s="5">
        <v>38400</v>
      </c>
      <c r="F671" s="2" t="s">
        <v>13</v>
      </c>
      <c r="G671" s="2" t="s">
        <v>72</v>
      </c>
      <c r="H671" s="3">
        <v>1</v>
      </c>
      <c r="I671" s="6">
        <v>2005</v>
      </c>
      <c r="J671" s="2" t="s">
        <v>15</v>
      </c>
      <c r="K671" s="2" t="s">
        <v>104</v>
      </c>
      <c r="L671" s="7">
        <f t="shared" si="30"/>
        <v>2200</v>
      </c>
      <c r="M671" s="2" t="str">
        <f t="shared" si="31"/>
        <v>February</v>
      </c>
      <c r="N671" s="6">
        <f t="shared" si="32"/>
        <v>2005</v>
      </c>
    </row>
    <row r="672" spans="1:14">
      <c r="A672" s="2" t="s">
        <v>69</v>
      </c>
      <c r="B672" s="3">
        <v>10412</v>
      </c>
      <c r="C672" s="3">
        <v>41</v>
      </c>
      <c r="D672" s="13">
        <v>100</v>
      </c>
      <c r="E672" s="5">
        <v>38475</v>
      </c>
      <c r="F672" s="2" t="s">
        <v>13</v>
      </c>
      <c r="G672" s="2" t="s">
        <v>72</v>
      </c>
      <c r="H672" s="3">
        <v>2</v>
      </c>
      <c r="I672" s="6">
        <v>2005</v>
      </c>
      <c r="J672" s="2" t="s">
        <v>22</v>
      </c>
      <c r="K672" s="2" t="s">
        <v>71</v>
      </c>
      <c r="L672" s="7">
        <f t="shared" si="30"/>
        <v>4100</v>
      </c>
      <c r="M672" s="2" t="str">
        <f t="shared" si="31"/>
        <v>May</v>
      </c>
      <c r="N672" s="6">
        <f t="shared" si="32"/>
        <v>2005</v>
      </c>
    </row>
    <row r="673" spans="1:14">
      <c r="A673" s="2" t="s">
        <v>50</v>
      </c>
      <c r="B673" s="3">
        <v>10425</v>
      </c>
      <c r="C673" s="3">
        <v>28</v>
      </c>
      <c r="D673" s="13">
        <v>100</v>
      </c>
      <c r="E673" s="5">
        <v>38503</v>
      </c>
      <c r="F673" s="2" t="s">
        <v>113</v>
      </c>
      <c r="G673" s="2" t="s">
        <v>72</v>
      </c>
      <c r="H673" s="3">
        <v>2</v>
      </c>
      <c r="I673" s="6">
        <v>2005</v>
      </c>
      <c r="J673" s="2" t="s">
        <v>22</v>
      </c>
      <c r="K673" s="2" t="s">
        <v>51</v>
      </c>
      <c r="L673" s="7">
        <f t="shared" si="30"/>
        <v>2800</v>
      </c>
      <c r="M673" s="2" t="str">
        <f t="shared" si="31"/>
        <v>May</v>
      </c>
      <c r="N673" s="6">
        <f t="shared" si="32"/>
        <v>2005</v>
      </c>
    </row>
    <row r="674" spans="1:14">
      <c r="A674" s="2" t="s">
        <v>105</v>
      </c>
      <c r="B674" s="3">
        <v>10100</v>
      </c>
      <c r="C674" s="3">
        <v>50</v>
      </c>
      <c r="D674" s="13">
        <v>67.8</v>
      </c>
      <c r="E674" s="5">
        <v>37627</v>
      </c>
      <c r="F674" s="2" t="s">
        <v>13</v>
      </c>
      <c r="G674" s="2" t="s">
        <v>202</v>
      </c>
      <c r="H674" s="3">
        <v>1</v>
      </c>
      <c r="I674" s="6">
        <v>2003</v>
      </c>
      <c r="J674" s="2" t="s">
        <v>22</v>
      </c>
      <c r="K674" s="2" t="s">
        <v>106</v>
      </c>
      <c r="L674" s="7">
        <f t="shared" si="30"/>
        <v>3390</v>
      </c>
      <c r="M674" s="2" t="str">
        <f t="shared" si="31"/>
        <v>January</v>
      </c>
      <c r="N674" s="6">
        <f t="shared" si="32"/>
        <v>2003</v>
      </c>
    </row>
    <row r="675" spans="1:14">
      <c r="A675" s="2" t="s">
        <v>183</v>
      </c>
      <c r="B675" s="3">
        <v>10110</v>
      </c>
      <c r="C675" s="3">
        <v>32</v>
      </c>
      <c r="D675" s="13">
        <v>50.25</v>
      </c>
      <c r="E675" s="5">
        <v>37698</v>
      </c>
      <c r="F675" s="2" t="s">
        <v>13</v>
      </c>
      <c r="G675" s="2" t="s">
        <v>202</v>
      </c>
      <c r="H675" s="3">
        <v>1</v>
      </c>
      <c r="I675" s="6">
        <v>2003</v>
      </c>
      <c r="J675" s="2" t="s">
        <v>15</v>
      </c>
      <c r="K675" s="2" t="s">
        <v>184</v>
      </c>
      <c r="L675" s="7">
        <f t="shared" si="30"/>
        <v>1608</v>
      </c>
      <c r="M675" s="2" t="str">
        <f t="shared" si="31"/>
        <v>March</v>
      </c>
      <c r="N675" s="6">
        <f t="shared" si="32"/>
        <v>2003</v>
      </c>
    </row>
    <row r="676" spans="1:14">
      <c r="A676" s="2" t="s">
        <v>198</v>
      </c>
      <c r="B676" s="3">
        <v>10124</v>
      </c>
      <c r="C676" s="3">
        <v>42</v>
      </c>
      <c r="D676" s="13">
        <v>53.88</v>
      </c>
      <c r="E676" s="5">
        <v>37762</v>
      </c>
      <c r="F676" s="2" t="s">
        <v>13</v>
      </c>
      <c r="G676" s="2" t="s">
        <v>202</v>
      </c>
      <c r="H676" s="3">
        <v>2</v>
      </c>
      <c r="I676" s="6">
        <v>2003</v>
      </c>
      <c r="J676" s="2" t="s">
        <v>15</v>
      </c>
      <c r="K676" s="2" t="s">
        <v>199</v>
      </c>
      <c r="L676" s="7">
        <f t="shared" si="30"/>
        <v>2262.96</v>
      </c>
      <c r="M676" s="2" t="str">
        <f t="shared" si="31"/>
        <v>May</v>
      </c>
      <c r="N676" s="6">
        <f t="shared" si="32"/>
        <v>2003</v>
      </c>
    </row>
    <row r="677" spans="1:14">
      <c r="A677" s="2" t="s">
        <v>194</v>
      </c>
      <c r="B677" s="3">
        <v>10149</v>
      </c>
      <c r="C677" s="3">
        <v>24</v>
      </c>
      <c r="D677" s="13">
        <v>62.36</v>
      </c>
      <c r="E677" s="5">
        <v>37876</v>
      </c>
      <c r="F677" s="2" t="s">
        <v>13</v>
      </c>
      <c r="G677" s="2" t="s">
        <v>202</v>
      </c>
      <c r="H677" s="3">
        <v>3</v>
      </c>
      <c r="I677" s="6">
        <v>2003</v>
      </c>
      <c r="J677" s="2" t="s">
        <v>15</v>
      </c>
      <c r="K677" s="2" t="s">
        <v>195</v>
      </c>
      <c r="L677" s="7">
        <f t="shared" si="30"/>
        <v>1496.64</v>
      </c>
      <c r="M677" s="2" t="str">
        <f t="shared" si="31"/>
        <v>September</v>
      </c>
      <c r="N677" s="6">
        <f t="shared" si="32"/>
        <v>2003</v>
      </c>
    </row>
    <row r="678" spans="1:14">
      <c r="A678" s="2" t="s">
        <v>28</v>
      </c>
      <c r="B678" s="3">
        <v>10162</v>
      </c>
      <c r="C678" s="3">
        <v>27</v>
      </c>
      <c r="D678" s="13">
        <v>69.62</v>
      </c>
      <c r="E678" s="5">
        <v>37912</v>
      </c>
      <c r="F678" s="2" t="s">
        <v>13</v>
      </c>
      <c r="G678" s="2" t="s">
        <v>202</v>
      </c>
      <c r="H678" s="3">
        <v>4</v>
      </c>
      <c r="I678" s="6">
        <v>2003</v>
      </c>
      <c r="J678" s="2" t="s">
        <v>15</v>
      </c>
      <c r="K678" s="2" t="s">
        <v>29</v>
      </c>
      <c r="L678" s="7">
        <f t="shared" si="30"/>
        <v>1879.74</v>
      </c>
      <c r="M678" s="2" t="str">
        <f t="shared" si="31"/>
        <v>October</v>
      </c>
      <c r="N678" s="6">
        <f t="shared" si="32"/>
        <v>2003</v>
      </c>
    </row>
    <row r="679" spans="1:14">
      <c r="A679" s="2" t="s">
        <v>203</v>
      </c>
      <c r="B679" s="3">
        <v>10173</v>
      </c>
      <c r="C679" s="3">
        <v>26</v>
      </c>
      <c r="D679" s="13">
        <v>57.51</v>
      </c>
      <c r="E679" s="5">
        <v>37930</v>
      </c>
      <c r="F679" s="2" t="s">
        <v>13</v>
      </c>
      <c r="G679" s="2" t="s">
        <v>202</v>
      </c>
      <c r="H679" s="3">
        <v>4</v>
      </c>
      <c r="I679" s="6">
        <v>2003</v>
      </c>
      <c r="J679" s="2" t="s">
        <v>15</v>
      </c>
      <c r="K679" s="2" t="s">
        <v>204</v>
      </c>
      <c r="L679" s="7">
        <f t="shared" si="30"/>
        <v>1495.26</v>
      </c>
      <c r="M679" s="2" t="str">
        <f t="shared" si="31"/>
        <v>November</v>
      </c>
      <c r="N679" s="6">
        <f t="shared" si="32"/>
        <v>2003</v>
      </c>
    </row>
    <row r="680" spans="1:14">
      <c r="A680" s="2" t="s">
        <v>103</v>
      </c>
      <c r="B680" s="3">
        <v>10182</v>
      </c>
      <c r="C680" s="3">
        <v>38</v>
      </c>
      <c r="D680" s="13">
        <v>61.15</v>
      </c>
      <c r="E680" s="5">
        <v>37937</v>
      </c>
      <c r="F680" s="2" t="s">
        <v>13</v>
      </c>
      <c r="G680" s="2" t="s">
        <v>202</v>
      </c>
      <c r="H680" s="3">
        <v>4</v>
      </c>
      <c r="I680" s="6">
        <v>2003</v>
      </c>
      <c r="J680" s="2" t="s">
        <v>15</v>
      </c>
      <c r="K680" s="2" t="s">
        <v>104</v>
      </c>
      <c r="L680" s="7">
        <f t="shared" si="30"/>
        <v>2323.7</v>
      </c>
      <c r="M680" s="2" t="str">
        <f t="shared" si="31"/>
        <v>November</v>
      </c>
      <c r="N680" s="6">
        <f t="shared" si="32"/>
        <v>2003</v>
      </c>
    </row>
    <row r="681" spans="1:14">
      <c r="A681" s="2" t="s">
        <v>205</v>
      </c>
      <c r="B681" s="3">
        <v>10193</v>
      </c>
      <c r="C681" s="3">
        <v>42</v>
      </c>
      <c r="D681" s="13">
        <v>59.33</v>
      </c>
      <c r="E681" s="5">
        <v>37946</v>
      </c>
      <c r="F681" s="2" t="s">
        <v>13</v>
      </c>
      <c r="G681" s="2" t="s">
        <v>202</v>
      </c>
      <c r="H681" s="3">
        <v>4</v>
      </c>
      <c r="I681" s="6">
        <v>2003</v>
      </c>
      <c r="J681" s="2" t="s">
        <v>15</v>
      </c>
      <c r="K681" s="2" t="s">
        <v>206</v>
      </c>
      <c r="L681" s="7">
        <f t="shared" si="30"/>
        <v>2491.86</v>
      </c>
      <c r="M681" s="2" t="str">
        <f t="shared" si="31"/>
        <v>November</v>
      </c>
      <c r="N681" s="6">
        <f t="shared" si="32"/>
        <v>2003</v>
      </c>
    </row>
    <row r="682" spans="1:14">
      <c r="A682" s="2" t="s">
        <v>177</v>
      </c>
      <c r="B682" s="3">
        <v>10204</v>
      </c>
      <c r="C682" s="3">
        <v>23</v>
      </c>
      <c r="D682" s="13">
        <v>71.44</v>
      </c>
      <c r="E682" s="5">
        <v>37957</v>
      </c>
      <c r="F682" s="2" t="s">
        <v>13</v>
      </c>
      <c r="G682" s="2" t="s">
        <v>202</v>
      </c>
      <c r="H682" s="3">
        <v>4</v>
      </c>
      <c r="I682" s="6">
        <v>2003</v>
      </c>
      <c r="J682" s="2" t="s">
        <v>15</v>
      </c>
      <c r="K682" s="2" t="s">
        <v>178</v>
      </c>
      <c r="L682" s="7">
        <f t="shared" si="30"/>
        <v>1643.12</v>
      </c>
      <c r="M682" s="2" t="str">
        <f t="shared" si="31"/>
        <v>December</v>
      </c>
      <c r="N682" s="6">
        <f t="shared" si="32"/>
        <v>2003</v>
      </c>
    </row>
    <row r="683" spans="1:14">
      <c r="A683" s="2" t="s">
        <v>75</v>
      </c>
      <c r="B683" s="3">
        <v>10214</v>
      </c>
      <c r="C683" s="3">
        <v>21</v>
      </c>
      <c r="D683" s="13">
        <v>62.96</v>
      </c>
      <c r="E683" s="5">
        <v>38012</v>
      </c>
      <c r="F683" s="2" t="s">
        <v>13</v>
      </c>
      <c r="G683" s="2" t="s">
        <v>202</v>
      </c>
      <c r="H683" s="3">
        <v>1</v>
      </c>
      <c r="I683" s="6">
        <v>2004</v>
      </c>
      <c r="J683" s="2" t="s">
        <v>15</v>
      </c>
      <c r="K683" s="2" t="s">
        <v>76</v>
      </c>
      <c r="L683" s="7">
        <f t="shared" si="30"/>
        <v>1322.16</v>
      </c>
      <c r="M683" s="2" t="str">
        <f t="shared" si="31"/>
        <v>January</v>
      </c>
      <c r="N683" s="6">
        <f t="shared" si="32"/>
        <v>2004</v>
      </c>
    </row>
    <row r="684" spans="1:14">
      <c r="A684" s="2" t="s">
        <v>85</v>
      </c>
      <c r="B684" s="3">
        <v>10227</v>
      </c>
      <c r="C684" s="3">
        <v>28</v>
      </c>
      <c r="D684" s="13">
        <v>50.85</v>
      </c>
      <c r="E684" s="5">
        <v>38048</v>
      </c>
      <c r="F684" s="2" t="s">
        <v>13</v>
      </c>
      <c r="G684" s="2" t="s">
        <v>202</v>
      </c>
      <c r="H684" s="3">
        <v>1</v>
      </c>
      <c r="I684" s="6">
        <v>2004</v>
      </c>
      <c r="J684" s="2" t="s">
        <v>15</v>
      </c>
      <c r="K684" s="2" t="s">
        <v>86</v>
      </c>
      <c r="L684" s="7">
        <f t="shared" si="30"/>
        <v>1423.8</v>
      </c>
      <c r="M684" s="2" t="str">
        <f t="shared" si="31"/>
        <v>March</v>
      </c>
      <c r="N684" s="6">
        <f t="shared" si="32"/>
        <v>2004</v>
      </c>
    </row>
    <row r="685" spans="1:14">
      <c r="A685" s="2" t="s">
        <v>196</v>
      </c>
      <c r="B685" s="3">
        <v>10241</v>
      </c>
      <c r="C685" s="3">
        <v>33</v>
      </c>
      <c r="D685" s="13">
        <v>72.65</v>
      </c>
      <c r="E685" s="5">
        <v>38090</v>
      </c>
      <c r="F685" s="2" t="s">
        <v>13</v>
      </c>
      <c r="G685" s="2" t="s">
        <v>202</v>
      </c>
      <c r="H685" s="3">
        <v>2</v>
      </c>
      <c r="I685" s="6">
        <v>2004</v>
      </c>
      <c r="J685" s="2" t="s">
        <v>15</v>
      </c>
      <c r="K685" s="2" t="s">
        <v>197</v>
      </c>
      <c r="L685" s="7">
        <f t="shared" si="30"/>
        <v>2397.45</v>
      </c>
      <c r="M685" s="2" t="str">
        <f t="shared" si="31"/>
        <v>April</v>
      </c>
      <c r="N685" s="6">
        <f t="shared" si="32"/>
        <v>2004</v>
      </c>
    </row>
    <row r="686" spans="1:14">
      <c r="A686" s="2" t="s">
        <v>97</v>
      </c>
      <c r="B686" s="3">
        <v>10280</v>
      </c>
      <c r="C686" s="3">
        <v>25</v>
      </c>
      <c r="D686" s="13">
        <v>62.96</v>
      </c>
      <c r="E686" s="5">
        <v>38216</v>
      </c>
      <c r="F686" s="2" t="s">
        <v>13</v>
      </c>
      <c r="G686" s="2" t="s">
        <v>202</v>
      </c>
      <c r="H686" s="3">
        <v>3</v>
      </c>
      <c r="I686" s="6">
        <v>2004</v>
      </c>
      <c r="J686" s="2" t="s">
        <v>15</v>
      </c>
      <c r="K686" s="2" t="s">
        <v>98</v>
      </c>
      <c r="L686" s="7">
        <f t="shared" si="30"/>
        <v>1574</v>
      </c>
      <c r="M686" s="2" t="str">
        <f t="shared" si="31"/>
        <v>August</v>
      </c>
      <c r="N686" s="6">
        <f t="shared" si="32"/>
        <v>2004</v>
      </c>
    </row>
    <row r="687" spans="1:14">
      <c r="A687" s="2" t="s">
        <v>159</v>
      </c>
      <c r="B687" s="3">
        <v>10288</v>
      </c>
      <c r="C687" s="3">
        <v>28</v>
      </c>
      <c r="D687" s="13">
        <v>61.75</v>
      </c>
      <c r="E687" s="5">
        <v>38231</v>
      </c>
      <c r="F687" s="2" t="s">
        <v>13</v>
      </c>
      <c r="G687" s="2" t="s">
        <v>202</v>
      </c>
      <c r="H687" s="3">
        <v>3</v>
      </c>
      <c r="I687" s="6">
        <v>2004</v>
      </c>
      <c r="J687" s="2" t="s">
        <v>15</v>
      </c>
      <c r="K687" s="2" t="s">
        <v>160</v>
      </c>
      <c r="L687" s="7">
        <f t="shared" si="30"/>
        <v>1729</v>
      </c>
      <c r="M687" s="2" t="str">
        <f t="shared" si="31"/>
        <v>September</v>
      </c>
      <c r="N687" s="6">
        <f t="shared" si="32"/>
        <v>2004</v>
      </c>
    </row>
    <row r="688" spans="1:14">
      <c r="A688" s="2" t="s">
        <v>192</v>
      </c>
      <c r="B688" s="3">
        <v>10303</v>
      </c>
      <c r="C688" s="3">
        <v>46</v>
      </c>
      <c r="D688" s="13">
        <v>49.04</v>
      </c>
      <c r="E688" s="5">
        <v>38266</v>
      </c>
      <c r="F688" s="2" t="s">
        <v>13</v>
      </c>
      <c r="G688" s="2" t="s">
        <v>202</v>
      </c>
      <c r="H688" s="3">
        <v>4</v>
      </c>
      <c r="I688" s="6">
        <v>2004</v>
      </c>
      <c r="J688" s="2" t="s">
        <v>15</v>
      </c>
      <c r="K688" s="2" t="s">
        <v>193</v>
      </c>
      <c r="L688" s="7">
        <f t="shared" si="30"/>
        <v>2255.84</v>
      </c>
      <c r="M688" s="2" t="str">
        <f t="shared" si="31"/>
        <v>October</v>
      </c>
      <c r="N688" s="6">
        <f t="shared" si="32"/>
        <v>2004</v>
      </c>
    </row>
    <row r="689" spans="1:14">
      <c r="A689" s="2" t="s">
        <v>103</v>
      </c>
      <c r="B689" s="3">
        <v>10312</v>
      </c>
      <c r="C689" s="3">
        <v>30</v>
      </c>
      <c r="D689" s="13">
        <v>61.15</v>
      </c>
      <c r="E689" s="5">
        <v>38281</v>
      </c>
      <c r="F689" s="2" t="s">
        <v>13</v>
      </c>
      <c r="G689" s="2" t="s">
        <v>202</v>
      </c>
      <c r="H689" s="3">
        <v>4</v>
      </c>
      <c r="I689" s="6">
        <v>2004</v>
      </c>
      <c r="J689" s="2" t="s">
        <v>15</v>
      </c>
      <c r="K689" s="2" t="s">
        <v>104</v>
      </c>
      <c r="L689" s="7">
        <f t="shared" si="30"/>
        <v>1834.5</v>
      </c>
      <c r="M689" s="2" t="str">
        <f t="shared" si="31"/>
        <v>October</v>
      </c>
      <c r="N689" s="6">
        <f t="shared" si="32"/>
        <v>2004</v>
      </c>
    </row>
    <row r="690" spans="1:14">
      <c r="A690" s="2" t="s">
        <v>183</v>
      </c>
      <c r="B690" s="3">
        <v>10332</v>
      </c>
      <c r="C690" s="3">
        <v>38</v>
      </c>
      <c r="D690" s="13">
        <v>84.25</v>
      </c>
      <c r="E690" s="5">
        <v>38308</v>
      </c>
      <c r="F690" s="2" t="s">
        <v>13</v>
      </c>
      <c r="G690" s="2" t="s">
        <v>202</v>
      </c>
      <c r="H690" s="3">
        <v>4</v>
      </c>
      <c r="I690" s="6">
        <v>2004</v>
      </c>
      <c r="J690" s="2" t="s">
        <v>22</v>
      </c>
      <c r="K690" s="2" t="s">
        <v>184</v>
      </c>
      <c r="L690" s="7">
        <f t="shared" si="30"/>
        <v>3201.5</v>
      </c>
      <c r="M690" s="2" t="str">
        <f t="shared" si="31"/>
        <v>November</v>
      </c>
      <c r="N690" s="6">
        <f t="shared" si="32"/>
        <v>2004</v>
      </c>
    </row>
    <row r="691" spans="1:14">
      <c r="A691" s="2" t="s">
        <v>163</v>
      </c>
      <c r="B691" s="3">
        <v>10344</v>
      </c>
      <c r="C691" s="3">
        <v>40</v>
      </c>
      <c r="D691" s="13">
        <v>56.91</v>
      </c>
      <c r="E691" s="5">
        <v>38316</v>
      </c>
      <c r="F691" s="2" t="s">
        <v>13</v>
      </c>
      <c r="G691" s="2" t="s">
        <v>202</v>
      </c>
      <c r="H691" s="3">
        <v>4</v>
      </c>
      <c r="I691" s="6">
        <v>2004</v>
      </c>
      <c r="J691" s="2" t="s">
        <v>15</v>
      </c>
      <c r="K691" s="2" t="s">
        <v>164</v>
      </c>
      <c r="L691" s="7">
        <f t="shared" si="30"/>
        <v>2276.4</v>
      </c>
      <c r="M691" s="2" t="str">
        <f t="shared" si="31"/>
        <v>November</v>
      </c>
      <c r="N691" s="6">
        <f t="shared" si="32"/>
        <v>2004</v>
      </c>
    </row>
    <row r="692" spans="1:14">
      <c r="A692" s="2" t="s">
        <v>25</v>
      </c>
      <c r="B692" s="3">
        <v>10367</v>
      </c>
      <c r="C692" s="3">
        <v>45</v>
      </c>
      <c r="D692" s="13">
        <v>100</v>
      </c>
      <c r="E692" s="5">
        <v>38364</v>
      </c>
      <c r="F692" s="2" t="s">
        <v>155</v>
      </c>
      <c r="G692" s="2" t="s">
        <v>202</v>
      </c>
      <c r="H692" s="3">
        <v>1</v>
      </c>
      <c r="I692" s="6">
        <v>2005</v>
      </c>
      <c r="J692" s="2" t="s">
        <v>61</v>
      </c>
      <c r="K692" s="2" t="s">
        <v>26</v>
      </c>
      <c r="L692" s="7">
        <f t="shared" si="30"/>
        <v>4500</v>
      </c>
      <c r="M692" s="2" t="str">
        <f t="shared" si="31"/>
        <v>January</v>
      </c>
      <c r="N692" s="6">
        <f t="shared" si="32"/>
        <v>2005</v>
      </c>
    </row>
    <row r="693" spans="1:14">
      <c r="A693" s="2" t="s">
        <v>69</v>
      </c>
      <c r="B693" s="3">
        <v>10379</v>
      </c>
      <c r="C693" s="3">
        <v>27</v>
      </c>
      <c r="D693" s="13">
        <v>49.3</v>
      </c>
      <c r="E693" s="5">
        <v>38393</v>
      </c>
      <c r="F693" s="2" t="s">
        <v>13</v>
      </c>
      <c r="G693" s="2" t="s">
        <v>202</v>
      </c>
      <c r="H693" s="3">
        <v>1</v>
      </c>
      <c r="I693" s="6">
        <v>2005</v>
      </c>
      <c r="J693" s="2" t="s">
        <v>15</v>
      </c>
      <c r="K693" s="2" t="s">
        <v>71</v>
      </c>
      <c r="L693" s="7">
        <f t="shared" si="30"/>
        <v>1331.1</v>
      </c>
      <c r="M693" s="2" t="str">
        <f t="shared" si="31"/>
        <v>February</v>
      </c>
      <c r="N693" s="6">
        <f t="shared" si="32"/>
        <v>2005</v>
      </c>
    </row>
    <row r="694" spans="1:14">
      <c r="A694" s="2" t="s">
        <v>149</v>
      </c>
      <c r="B694" s="3">
        <v>10407</v>
      </c>
      <c r="C694" s="3">
        <v>42</v>
      </c>
      <c r="D694" s="13">
        <v>72.65</v>
      </c>
      <c r="E694" s="5">
        <v>38464</v>
      </c>
      <c r="F694" s="2" t="s">
        <v>151</v>
      </c>
      <c r="G694" s="2" t="s">
        <v>202</v>
      </c>
      <c r="H694" s="3">
        <v>2</v>
      </c>
      <c r="I694" s="6">
        <v>2005</v>
      </c>
      <c r="J694" s="2" t="s">
        <v>22</v>
      </c>
      <c r="K694" s="2" t="s">
        <v>150</v>
      </c>
      <c r="L694" s="7">
        <f t="shared" si="30"/>
        <v>3051.3</v>
      </c>
      <c r="M694" s="2" t="str">
        <f t="shared" si="31"/>
        <v>April</v>
      </c>
      <c r="N694" s="6">
        <f t="shared" si="32"/>
        <v>2005</v>
      </c>
    </row>
    <row r="695" spans="1:14">
      <c r="A695" s="2" t="s">
        <v>63</v>
      </c>
      <c r="B695" s="3">
        <v>10420</v>
      </c>
      <c r="C695" s="3">
        <v>36</v>
      </c>
      <c r="D695" s="13">
        <v>63.57</v>
      </c>
      <c r="E695" s="5">
        <v>38501</v>
      </c>
      <c r="F695" s="2" t="s">
        <v>113</v>
      </c>
      <c r="G695" s="2" t="s">
        <v>202</v>
      </c>
      <c r="H695" s="3">
        <v>2</v>
      </c>
      <c r="I695" s="6">
        <v>2005</v>
      </c>
      <c r="J695" s="2" t="s">
        <v>15</v>
      </c>
      <c r="K695" s="2" t="s">
        <v>64</v>
      </c>
      <c r="L695" s="7">
        <f t="shared" si="30"/>
        <v>2288.52</v>
      </c>
      <c r="M695" s="2" t="str">
        <f t="shared" si="31"/>
        <v>May</v>
      </c>
      <c r="N695" s="6">
        <f t="shared" si="32"/>
        <v>2005</v>
      </c>
    </row>
    <row r="696" spans="1:14">
      <c r="A696" s="2" t="s">
        <v>69</v>
      </c>
      <c r="B696" s="3">
        <v>10104</v>
      </c>
      <c r="C696" s="3">
        <v>29</v>
      </c>
      <c r="D696" s="13">
        <v>100</v>
      </c>
      <c r="E696" s="5">
        <v>37652</v>
      </c>
      <c r="F696" s="2" t="s">
        <v>13</v>
      </c>
      <c r="G696" s="2" t="s">
        <v>187</v>
      </c>
      <c r="H696" s="3">
        <v>1</v>
      </c>
      <c r="I696" s="6">
        <v>2003</v>
      </c>
      <c r="J696" s="2" t="s">
        <v>22</v>
      </c>
      <c r="K696" s="2" t="s">
        <v>71</v>
      </c>
      <c r="L696" s="7">
        <f t="shared" si="30"/>
        <v>2900</v>
      </c>
      <c r="M696" s="2" t="str">
        <f t="shared" si="31"/>
        <v>January</v>
      </c>
      <c r="N696" s="6">
        <f t="shared" si="32"/>
        <v>2003</v>
      </c>
    </row>
    <row r="697" spans="1:14">
      <c r="A697" s="2" t="s">
        <v>152</v>
      </c>
      <c r="B697" s="3">
        <v>10114</v>
      </c>
      <c r="C697" s="3">
        <v>39</v>
      </c>
      <c r="D697" s="13">
        <v>100</v>
      </c>
      <c r="E697" s="5">
        <v>37712</v>
      </c>
      <c r="F697" s="2" t="s">
        <v>13</v>
      </c>
      <c r="G697" s="2" t="s">
        <v>187</v>
      </c>
      <c r="H697" s="3">
        <v>2</v>
      </c>
      <c r="I697" s="6">
        <v>2003</v>
      </c>
      <c r="J697" s="2" t="s">
        <v>22</v>
      </c>
      <c r="K697" s="2" t="s">
        <v>153</v>
      </c>
      <c r="L697" s="7">
        <f t="shared" si="30"/>
        <v>3900</v>
      </c>
      <c r="M697" s="2" t="str">
        <f t="shared" si="31"/>
        <v>April</v>
      </c>
      <c r="N697" s="6">
        <f t="shared" si="32"/>
        <v>2003</v>
      </c>
    </row>
    <row r="698" spans="1:14">
      <c r="A698" s="2" t="s">
        <v>177</v>
      </c>
      <c r="B698" s="3">
        <v>10127</v>
      </c>
      <c r="C698" s="3">
        <v>45</v>
      </c>
      <c r="D698" s="13">
        <v>100</v>
      </c>
      <c r="E698" s="5">
        <v>37775</v>
      </c>
      <c r="F698" s="2" t="s">
        <v>13</v>
      </c>
      <c r="G698" s="2" t="s">
        <v>187</v>
      </c>
      <c r="H698" s="3">
        <v>2</v>
      </c>
      <c r="I698" s="6">
        <v>2003</v>
      </c>
      <c r="J698" s="2" t="s">
        <v>22</v>
      </c>
      <c r="K698" s="2" t="s">
        <v>178</v>
      </c>
      <c r="L698" s="7">
        <f t="shared" si="30"/>
        <v>4500</v>
      </c>
      <c r="M698" s="2" t="str">
        <f t="shared" si="31"/>
        <v>June</v>
      </c>
      <c r="N698" s="6">
        <f t="shared" si="32"/>
        <v>2003</v>
      </c>
    </row>
    <row r="699" spans="1:14">
      <c r="A699" s="2" t="s">
        <v>175</v>
      </c>
      <c r="B699" s="3">
        <v>10141</v>
      </c>
      <c r="C699" s="3">
        <v>47</v>
      </c>
      <c r="D699" s="13">
        <v>100</v>
      </c>
      <c r="E699" s="5">
        <v>37834</v>
      </c>
      <c r="F699" s="2" t="s">
        <v>13</v>
      </c>
      <c r="G699" s="2" t="s">
        <v>187</v>
      </c>
      <c r="H699" s="3">
        <v>3</v>
      </c>
      <c r="I699" s="6">
        <v>2003</v>
      </c>
      <c r="J699" s="2" t="s">
        <v>22</v>
      </c>
      <c r="K699" s="2" t="s">
        <v>176</v>
      </c>
      <c r="L699" s="7">
        <f t="shared" si="30"/>
        <v>4700</v>
      </c>
      <c r="M699" s="2" t="str">
        <f t="shared" si="31"/>
        <v>August</v>
      </c>
      <c r="N699" s="6">
        <f t="shared" si="32"/>
        <v>2003</v>
      </c>
    </row>
    <row r="700" spans="1:14">
      <c r="A700" s="2" t="s">
        <v>147</v>
      </c>
      <c r="B700" s="3">
        <v>10151</v>
      </c>
      <c r="C700" s="3">
        <v>49</v>
      </c>
      <c r="D700" s="13">
        <v>100</v>
      </c>
      <c r="E700" s="5">
        <v>37885</v>
      </c>
      <c r="F700" s="2" t="s">
        <v>13</v>
      </c>
      <c r="G700" s="2" t="s">
        <v>187</v>
      </c>
      <c r="H700" s="3">
        <v>3</v>
      </c>
      <c r="I700" s="6">
        <v>2003</v>
      </c>
      <c r="J700" s="2" t="s">
        <v>22</v>
      </c>
      <c r="K700" s="2" t="s">
        <v>148</v>
      </c>
      <c r="L700" s="7">
        <f t="shared" si="30"/>
        <v>4900</v>
      </c>
      <c r="M700" s="2" t="str">
        <f t="shared" si="31"/>
        <v>September</v>
      </c>
      <c r="N700" s="6">
        <f t="shared" si="32"/>
        <v>2003</v>
      </c>
    </row>
    <row r="701" spans="1:14">
      <c r="A701" s="2" t="s">
        <v>77</v>
      </c>
      <c r="B701" s="3">
        <v>10165</v>
      </c>
      <c r="C701" s="3">
        <v>46</v>
      </c>
      <c r="D701" s="13">
        <v>100</v>
      </c>
      <c r="E701" s="5">
        <v>37916</v>
      </c>
      <c r="F701" s="2" t="s">
        <v>13</v>
      </c>
      <c r="G701" s="2" t="s">
        <v>187</v>
      </c>
      <c r="H701" s="3">
        <v>4</v>
      </c>
      <c r="I701" s="6">
        <v>2003</v>
      </c>
      <c r="J701" s="2" t="s">
        <v>22</v>
      </c>
      <c r="K701" s="2" t="s">
        <v>78</v>
      </c>
      <c r="L701" s="7">
        <f t="shared" si="30"/>
        <v>4600</v>
      </c>
      <c r="M701" s="2" t="str">
        <f t="shared" si="31"/>
        <v>October</v>
      </c>
      <c r="N701" s="6">
        <f t="shared" si="32"/>
        <v>2003</v>
      </c>
    </row>
    <row r="702" spans="1:14">
      <c r="A702" s="2" t="s">
        <v>124</v>
      </c>
      <c r="B702" s="3">
        <v>10175</v>
      </c>
      <c r="C702" s="3">
        <v>48</v>
      </c>
      <c r="D702" s="13">
        <v>100</v>
      </c>
      <c r="E702" s="5">
        <v>37931</v>
      </c>
      <c r="F702" s="2" t="s">
        <v>13</v>
      </c>
      <c r="G702" s="2" t="s">
        <v>187</v>
      </c>
      <c r="H702" s="3">
        <v>4</v>
      </c>
      <c r="I702" s="6">
        <v>2003</v>
      </c>
      <c r="J702" s="2" t="s">
        <v>22</v>
      </c>
      <c r="K702" s="2" t="s">
        <v>125</v>
      </c>
      <c r="L702" s="7">
        <f t="shared" si="30"/>
        <v>4800</v>
      </c>
      <c r="M702" s="2" t="str">
        <f t="shared" si="31"/>
        <v>November</v>
      </c>
      <c r="N702" s="6">
        <f t="shared" si="32"/>
        <v>2003</v>
      </c>
    </row>
    <row r="703" spans="1:14">
      <c r="A703" s="2" t="s">
        <v>192</v>
      </c>
      <c r="B703" s="3">
        <v>10184</v>
      </c>
      <c r="C703" s="3">
        <v>46</v>
      </c>
      <c r="D703" s="13">
        <v>100</v>
      </c>
      <c r="E703" s="5">
        <v>37939</v>
      </c>
      <c r="F703" s="2" t="s">
        <v>13</v>
      </c>
      <c r="G703" s="2" t="s">
        <v>187</v>
      </c>
      <c r="H703" s="3">
        <v>4</v>
      </c>
      <c r="I703" s="6">
        <v>2003</v>
      </c>
      <c r="J703" s="2" t="s">
        <v>22</v>
      </c>
      <c r="K703" s="2" t="s">
        <v>193</v>
      </c>
      <c r="L703" s="7">
        <f t="shared" si="30"/>
        <v>4600</v>
      </c>
      <c r="M703" s="2" t="str">
        <f t="shared" si="31"/>
        <v>November</v>
      </c>
      <c r="N703" s="6">
        <f t="shared" si="32"/>
        <v>2003</v>
      </c>
    </row>
    <row r="704" spans="1:14">
      <c r="A704" s="2" t="s">
        <v>120</v>
      </c>
      <c r="B704" s="3">
        <v>10195</v>
      </c>
      <c r="C704" s="3">
        <v>35</v>
      </c>
      <c r="D704" s="13">
        <v>100</v>
      </c>
      <c r="E704" s="5">
        <v>37950</v>
      </c>
      <c r="F704" s="2" t="s">
        <v>13</v>
      </c>
      <c r="G704" s="2" t="s">
        <v>187</v>
      </c>
      <c r="H704" s="3">
        <v>4</v>
      </c>
      <c r="I704" s="6">
        <v>2003</v>
      </c>
      <c r="J704" s="2" t="s">
        <v>22</v>
      </c>
      <c r="K704" s="2" t="s">
        <v>121</v>
      </c>
      <c r="L704" s="7">
        <f t="shared" si="30"/>
        <v>3500</v>
      </c>
      <c r="M704" s="2" t="str">
        <f t="shared" si="31"/>
        <v>November</v>
      </c>
      <c r="N704" s="6">
        <f t="shared" si="32"/>
        <v>2003</v>
      </c>
    </row>
    <row r="705" spans="1:14">
      <c r="A705" s="2" t="s">
        <v>157</v>
      </c>
      <c r="B705" s="3">
        <v>10207</v>
      </c>
      <c r="C705" s="3">
        <v>43</v>
      </c>
      <c r="D705" s="13">
        <v>100</v>
      </c>
      <c r="E705" s="5">
        <v>37964</v>
      </c>
      <c r="F705" s="2" t="s">
        <v>13</v>
      </c>
      <c r="G705" s="2" t="s">
        <v>187</v>
      </c>
      <c r="H705" s="3">
        <v>4</v>
      </c>
      <c r="I705" s="6">
        <v>2003</v>
      </c>
      <c r="J705" s="2" t="s">
        <v>22</v>
      </c>
      <c r="K705" s="2" t="s">
        <v>158</v>
      </c>
      <c r="L705" s="7">
        <f t="shared" si="30"/>
        <v>4300</v>
      </c>
      <c r="M705" s="2" t="str">
        <f t="shared" si="31"/>
        <v>December</v>
      </c>
      <c r="N705" s="6">
        <f t="shared" si="32"/>
        <v>2003</v>
      </c>
    </row>
    <row r="706" spans="1:14">
      <c r="A706" s="2" t="s">
        <v>103</v>
      </c>
      <c r="B706" s="3">
        <v>10229</v>
      </c>
      <c r="C706" s="3">
        <v>26</v>
      </c>
      <c r="D706" s="13">
        <v>100</v>
      </c>
      <c r="E706" s="5">
        <v>38057</v>
      </c>
      <c r="F706" s="2" t="s">
        <v>13</v>
      </c>
      <c r="G706" s="2" t="s">
        <v>187</v>
      </c>
      <c r="H706" s="3">
        <v>1</v>
      </c>
      <c r="I706" s="6">
        <v>2004</v>
      </c>
      <c r="J706" s="2" t="s">
        <v>22</v>
      </c>
      <c r="K706" s="2" t="s">
        <v>104</v>
      </c>
      <c r="L706" s="7">
        <f t="shared" ref="L706:L769" si="33">PRODUCT(C706,D706)</f>
        <v>2600</v>
      </c>
      <c r="M706" s="2" t="str">
        <f t="shared" ref="M706:M769" si="34">TEXT(E706,"MMMM")</f>
        <v>March</v>
      </c>
      <c r="N706" s="6">
        <f t="shared" ref="N706:N769" si="35">YEAR(E706)</f>
        <v>2004</v>
      </c>
    </row>
    <row r="707" spans="1:14">
      <c r="A707" s="2" t="s">
        <v>69</v>
      </c>
      <c r="B707" s="3">
        <v>10246</v>
      </c>
      <c r="C707" s="3">
        <v>22</v>
      </c>
      <c r="D707" s="13">
        <v>98.18</v>
      </c>
      <c r="E707" s="5">
        <v>38112</v>
      </c>
      <c r="F707" s="2" t="s">
        <v>13</v>
      </c>
      <c r="G707" s="2" t="s">
        <v>187</v>
      </c>
      <c r="H707" s="3">
        <v>2</v>
      </c>
      <c r="I707" s="6">
        <v>2004</v>
      </c>
      <c r="J707" s="2" t="s">
        <v>15</v>
      </c>
      <c r="K707" s="2" t="s">
        <v>71</v>
      </c>
      <c r="L707" s="7">
        <f t="shared" si="33"/>
        <v>2159.96</v>
      </c>
      <c r="M707" s="2" t="str">
        <f t="shared" si="34"/>
        <v>May</v>
      </c>
      <c r="N707" s="6">
        <f t="shared" si="35"/>
        <v>2004</v>
      </c>
    </row>
    <row r="708" spans="1:14">
      <c r="A708" s="2" t="s">
        <v>159</v>
      </c>
      <c r="B708" s="3">
        <v>10259</v>
      </c>
      <c r="C708" s="3">
        <v>34</v>
      </c>
      <c r="D708" s="13">
        <v>99.41</v>
      </c>
      <c r="E708" s="5">
        <v>38153</v>
      </c>
      <c r="F708" s="2" t="s">
        <v>13</v>
      </c>
      <c r="G708" s="2" t="s">
        <v>187</v>
      </c>
      <c r="H708" s="3">
        <v>2</v>
      </c>
      <c r="I708" s="6">
        <v>2004</v>
      </c>
      <c r="J708" s="2" t="s">
        <v>22</v>
      </c>
      <c r="K708" s="2" t="s">
        <v>160</v>
      </c>
      <c r="L708" s="7">
        <f t="shared" si="33"/>
        <v>3379.94</v>
      </c>
      <c r="M708" s="2" t="str">
        <f t="shared" si="34"/>
        <v>June</v>
      </c>
      <c r="N708" s="6">
        <f t="shared" si="35"/>
        <v>2004</v>
      </c>
    </row>
    <row r="709" spans="1:14">
      <c r="A709" s="2" t="s">
        <v>103</v>
      </c>
      <c r="B709" s="3">
        <v>10271</v>
      </c>
      <c r="C709" s="3">
        <v>50</v>
      </c>
      <c r="D709" s="13">
        <v>100</v>
      </c>
      <c r="E709" s="5">
        <v>38188</v>
      </c>
      <c r="F709" s="2" t="s">
        <v>13</v>
      </c>
      <c r="G709" s="2" t="s">
        <v>187</v>
      </c>
      <c r="H709" s="3">
        <v>3</v>
      </c>
      <c r="I709" s="6">
        <v>2004</v>
      </c>
      <c r="J709" s="2" t="s">
        <v>22</v>
      </c>
      <c r="K709" s="2" t="s">
        <v>104</v>
      </c>
      <c r="L709" s="7">
        <f t="shared" si="33"/>
        <v>5000</v>
      </c>
      <c r="M709" s="2" t="str">
        <f t="shared" si="34"/>
        <v>July</v>
      </c>
      <c r="N709" s="6">
        <f t="shared" si="35"/>
        <v>2004</v>
      </c>
    </row>
    <row r="710" spans="1:14">
      <c r="A710" s="2" t="s">
        <v>58</v>
      </c>
      <c r="B710" s="3">
        <v>10281</v>
      </c>
      <c r="C710" s="3">
        <v>48</v>
      </c>
      <c r="D710" s="13">
        <v>100</v>
      </c>
      <c r="E710" s="5">
        <v>38218</v>
      </c>
      <c r="F710" s="2" t="s">
        <v>13</v>
      </c>
      <c r="G710" s="2" t="s">
        <v>187</v>
      </c>
      <c r="H710" s="3">
        <v>3</v>
      </c>
      <c r="I710" s="6">
        <v>2004</v>
      </c>
      <c r="J710" s="2" t="s">
        <v>22</v>
      </c>
      <c r="K710" s="2" t="s">
        <v>59</v>
      </c>
      <c r="L710" s="7">
        <f t="shared" si="33"/>
        <v>4800</v>
      </c>
      <c r="M710" s="2" t="str">
        <f t="shared" si="34"/>
        <v>August</v>
      </c>
      <c r="N710" s="6">
        <f t="shared" si="35"/>
        <v>2004</v>
      </c>
    </row>
    <row r="711" spans="1:14">
      <c r="A711" s="2" t="s">
        <v>12</v>
      </c>
      <c r="B711" s="3">
        <v>10292</v>
      </c>
      <c r="C711" s="3">
        <v>41</v>
      </c>
      <c r="D711" s="13">
        <v>100</v>
      </c>
      <c r="E711" s="5">
        <v>38238</v>
      </c>
      <c r="F711" s="2" t="s">
        <v>13</v>
      </c>
      <c r="G711" s="2" t="s">
        <v>187</v>
      </c>
      <c r="H711" s="3">
        <v>3</v>
      </c>
      <c r="I711" s="6">
        <v>2004</v>
      </c>
      <c r="J711" s="2" t="s">
        <v>22</v>
      </c>
      <c r="K711" s="2" t="s">
        <v>16</v>
      </c>
      <c r="L711" s="7">
        <f t="shared" si="33"/>
        <v>4100</v>
      </c>
      <c r="M711" s="2" t="str">
        <f t="shared" si="34"/>
        <v>September</v>
      </c>
      <c r="N711" s="6">
        <f t="shared" si="35"/>
        <v>2004</v>
      </c>
    </row>
    <row r="712" spans="1:14">
      <c r="A712" s="2" t="s">
        <v>52</v>
      </c>
      <c r="B712" s="3">
        <v>10305</v>
      </c>
      <c r="C712" s="3">
        <v>36</v>
      </c>
      <c r="D712" s="13">
        <v>100</v>
      </c>
      <c r="E712" s="5">
        <v>38273</v>
      </c>
      <c r="F712" s="2" t="s">
        <v>13</v>
      </c>
      <c r="G712" s="2" t="s">
        <v>187</v>
      </c>
      <c r="H712" s="3">
        <v>4</v>
      </c>
      <c r="I712" s="6">
        <v>2004</v>
      </c>
      <c r="J712" s="2" t="s">
        <v>22</v>
      </c>
      <c r="K712" s="2" t="s">
        <v>53</v>
      </c>
      <c r="L712" s="7">
        <f t="shared" si="33"/>
        <v>3600</v>
      </c>
      <c r="M712" s="2" t="str">
        <f t="shared" si="34"/>
        <v>October</v>
      </c>
      <c r="N712" s="6">
        <f t="shared" si="35"/>
        <v>2004</v>
      </c>
    </row>
    <row r="713" spans="1:14">
      <c r="A713" s="2" t="s">
        <v>87</v>
      </c>
      <c r="B713" s="3">
        <v>10313</v>
      </c>
      <c r="C713" s="3">
        <v>29</v>
      </c>
      <c r="D713" s="13">
        <v>100</v>
      </c>
      <c r="E713" s="5">
        <v>38282</v>
      </c>
      <c r="F713" s="2" t="s">
        <v>13</v>
      </c>
      <c r="G713" s="2" t="s">
        <v>187</v>
      </c>
      <c r="H713" s="3">
        <v>4</v>
      </c>
      <c r="I713" s="6">
        <v>2004</v>
      </c>
      <c r="J713" s="2" t="s">
        <v>22</v>
      </c>
      <c r="K713" s="2" t="s">
        <v>88</v>
      </c>
      <c r="L713" s="7">
        <f t="shared" si="33"/>
        <v>2900</v>
      </c>
      <c r="M713" s="2" t="str">
        <f t="shared" si="34"/>
        <v>October</v>
      </c>
      <c r="N713" s="6">
        <f t="shared" si="35"/>
        <v>2004</v>
      </c>
    </row>
    <row r="714" spans="1:14">
      <c r="A714" s="2" t="s">
        <v>44</v>
      </c>
      <c r="B714" s="3">
        <v>10324</v>
      </c>
      <c r="C714" s="3">
        <v>33</v>
      </c>
      <c r="D714" s="13">
        <v>37.48</v>
      </c>
      <c r="E714" s="5">
        <v>38296</v>
      </c>
      <c r="F714" s="2" t="s">
        <v>13</v>
      </c>
      <c r="G714" s="2" t="s">
        <v>187</v>
      </c>
      <c r="H714" s="3">
        <v>4</v>
      </c>
      <c r="I714" s="6">
        <v>2004</v>
      </c>
      <c r="J714" s="2" t="s">
        <v>15</v>
      </c>
      <c r="K714" s="2" t="s">
        <v>45</v>
      </c>
      <c r="L714" s="7">
        <f t="shared" si="33"/>
        <v>1236.84</v>
      </c>
      <c r="M714" s="2" t="str">
        <f t="shared" si="34"/>
        <v>November</v>
      </c>
      <c r="N714" s="6">
        <f t="shared" si="35"/>
        <v>2004</v>
      </c>
    </row>
    <row r="715" spans="1:14">
      <c r="A715" s="2" t="s">
        <v>73</v>
      </c>
      <c r="B715" s="3">
        <v>10334</v>
      </c>
      <c r="C715" s="3">
        <v>46</v>
      </c>
      <c r="D715" s="13">
        <v>100</v>
      </c>
      <c r="E715" s="5">
        <v>38310</v>
      </c>
      <c r="F715" s="2" t="s">
        <v>151</v>
      </c>
      <c r="G715" s="2" t="s">
        <v>187</v>
      </c>
      <c r="H715" s="3">
        <v>4</v>
      </c>
      <c r="I715" s="6">
        <v>2004</v>
      </c>
      <c r="J715" s="2" t="s">
        <v>22</v>
      </c>
      <c r="K715" s="2" t="s">
        <v>74</v>
      </c>
      <c r="L715" s="7">
        <f t="shared" si="33"/>
        <v>4600</v>
      </c>
      <c r="M715" s="2" t="str">
        <f t="shared" si="34"/>
        <v>November</v>
      </c>
      <c r="N715" s="6">
        <f t="shared" si="35"/>
        <v>2004</v>
      </c>
    </row>
    <row r="716" spans="1:14">
      <c r="A716" s="2" t="s">
        <v>177</v>
      </c>
      <c r="B716" s="3">
        <v>10349</v>
      </c>
      <c r="C716" s="3">
        <v>38</v>
      </c>
      <c r="D716" s="13">
        <v>100</v>
      </c>
      <c r="E716" s="5">
        <v>38322</v>
      </c>
      <c r="F716" s="2" t="s">
        <v>13</v>
      </c>
      <c r="G716" s="2" t="s">
        <v>187</v>
      </c>
      <c r="H716" s="3">
        <v>4</v>
      </c>
      <c r="I716" s="6">
        <v>2004</v>
      </c>
      <c r="J716" s="2" t="s">
        <v>22</v>
      </c>
      <c r="K716" s="2" t="s">
        <v>178</v>
      </c>
      <c r="L716" s="7">
        <f t="shared" si="33"/>
        <v>3800</v>
      </c>
      <c r="M716" s="2" t="str">
        <f t="shared" si="34"/>
        <v>December</v>
      </c>
      <c r="N716" s="6">
        <f t="shared" si="35"/>
        <v>2004</v>
      </c>
    </row>
    <row r="717" spans="1:14">
      <c r="A717" s="2" t="s">
        <v>69</v>
      </c>
      <c r="B717" s="3">
        <v>10358</v>
      </c>
      <c r="C717" s="3">
        <v>20</v>
      </c>
      <c r="D717" s="13">
        <v>36.42</v>
      </c>
      <c r="E717" s="5">
        <v>38331</v>
      </c>
      <c r="F717" s="2" t="s">
        <v>13</v>
      </c>
      <c r="G717" s="2" t="s">
        <v>187</v>
      </c>
      <c r="H717" s="3">
        <v>4</v>
      </c>
      <c r="I717" s="6">
        <v>2004</v>
      </c>
      <c r="J717" s="2" t="s">
        <v>15</v>
      </c>
      <c r="K717" s="2" t="s">
        <v>71</v>
      </c>
      <c r="L717" s="7">
        <f t="shared" si="33"/>
        <v>728.4</v>
      </c>
      <c r="M717" s="2" t="str">
        <f t="shared" si="34"/>
        <v>December</v>
      </c>
      <c r="N717" s="6">
        <f t="shared" si="35"/>
        <v>2004</v>
      </c>
    </row>
    <row r="718" spans="1:14">
      <c r="A718" s="2" t="s">
        <v>109</v>
      </c>
      <c r="B718" s="3">
        <v>10370</v>
      </c>
      <c r="C718" s="3">
        <v>22</v>
      </c>
      <c r="D718" s="13">
        <v>100</v>
      </c>
      <c r="E718" s="5">
        <v>38372</v>
      </c>
      <c r="F718" s="2" t="s">
        <v>13</v>
      </c>
      <c r="G718" s="2" t="s">
        <v>187</v>
      </c>
      <c r="H718" s="3">
        <v>1</v>
      </c>
      <c r="I718" s="6">
        <v>2005</v>
      </c>
      <c r="J718" s="2" t="s">
        <v>22</v>
      </c>
      <c r="K718" s="2" t="s">
        <v>110</v>
      </c>
      <c r="L718" s="7">
        <f t="shared" si="33"/>
        <v>2200</v>
      </c>
      <c r="M718" s="2" t="str">
        <f t="shared" si="34"/>
        <v>January</v>
      </c>
      <c r="N718" s="6">
        <f t="shared" si="35"/>
        <v>2005</v>
      </c>
    </row>
    <row r="719" spans="1:14">
      <c r="A719" s="2" t="s">
        <v>69</v>
      </c>
      <c r="B719" s="3">
        <v>10383</v>
      </c>
      <c r="C719" s="3">
        <v>27</v>
      </c>
      <c r="D719" s="13">
        <v>100</v>
      </c>
      <c r="E719" s="5">
        <v>38405</v>
      </c>
      <c r="F719" s="2" t="s">
        <v>13</v>
      </c>
      <c r="G719" s="2" t="s">
        <v>187</v>
      </c>
      <c r="H719" s="3">
        <v>1</v>
      </c>
      <c r="I719" s="6">
        <v>2005</v>
      </c>
      <c r="J719" s="2" t="s">
        <v>22</v>
      </c>
      <c r="K719" s="2" t="s">
        <v>71</v>
      </c>
      <c r="L719" s="7">
        <f t="shared" si="33"/>
        <v>2700</v>
      </c>
      <c r="M719" s="2" t="str">
        <f t="shared" si="34"/>
        <v>February</v>
      </c>
      <c r="N719" s="6">
        <f t="shared" si="35"/>
        <v>2005</v>
      </c>
    </row>
    <row r="720" spans="1:14">
      <c r="A720" s="2" t="s">
        <v>69</v>
      </c>
      <c r="B720" s="3">
        <v>10412</v>
      </c>
      <c r="C720" s="3">
        <v>56</v>
      </c>
      <c r="D720" s="13">
        <v>98.18</v>
      </c>
      <c r="E720" s="5">
        <v>38475</v>
      </c>
      <c r="F720" s="2" t="s">
        <v>13</v>
      </c>
      <c r="G720" s="2" t="s">
        <v>187</v>
      </c>
      <c r="H720" s="3">
        <v>2</v>
      </c>
      <c r="I720" s="6">
        <v>2005</v>
      </c>
      <c r="J720" s="2" t="s">
        <v>22</v>
      </c>
      <c r="K720" s="2" t="s">
        <v>71</v>
      </c>
      <c r="L720" s="7">
        <f t="shared" si="33"/>
        <v>5498.08</v>
      </c>
      <c r="M720" s="2" t="str">
        <f t="shared" si="34"/>
        <v>May</v>
      </c>
      <c r="N720" s="6">
        <f t="shared" si="35"/>
        <v>2005</v>
      </c>
    </row>
    <row r="721" spans="1:14">
      <c r="A721" s="2" t="s">
        <v>50</v>
      </c>
      <c r="B721" s="3">
        <v>10425</v>
      </c>
      <c r="C721" s="3">
        <v>38</v>
      </c>
      <c r="D721" s="13">
        <v>99.41</v>
      </c>
      <c r="E721" s="5">
        <v>38503</v>
      </c>
      <c r="F721" s="2" t="s">
        <v>113</v>
      </c>
      <c r="G721" s="2" t="s">
        <v>187</v>
      </c>
      <c r="H721" s="3">
        <v>2</v>
      </c>
      <c r="I721" s="6">
        <v>2005</v>
      </c>
      <c r="J721" s="2" t="s">
        <v>22</v>
      </c>
      <c r="K721" s="2" t="s">
        <v>51</v>
      </c>
      <c r="L721" s="7">
        <f t="shared" si="33"/>
        <v>3777.58</v>
      </c>
      <c r="M721" s="2" t="str">
        <f t="shared" si="34"/>
        <v>May</v>
      </c>
      <c r="N721" s="6">
        <f t="shared" si="35"/>
        <v>2005</v>
      </c>
    </row>
    <row r="722" spans="1:14">
      <c r="A722" s="2" t="s">
        <v>173</v>
      </c>
      <c r="B722" s="3">
        <v>10101</v>
      </c>
      <c r="C722" s="3">
        <v>25</v>
      </c>
      <c r="D722" s="13">
        <v>100</v>
      </c>
      <c r="E722" s="5">
        <v>37630</v>
      </c>
      <c r="F722" s="2" t="s">
        <v>13</v>
      </c>
      <c r="G722" s="2" t="s">
        <v>202</v>
      </c>
      <c r="H722" s="3">
        <v>1</v>
      </c>
      <c r="I722" s="6">
        <v>2003</v>
      </c>
      <c r="J722" s="2" t="s">
        <v>22</v>
      </c>
      <c r="K722" s="2" t="s">
        <v>174</v>
      </c>
      <c r="L722" s="7">
        <f t="shared" si="33"/>
        <v>2500</v>
      </c>
      <c r="M722" s="2" t="str">
        <f t="shared" si="34"/>
        <v>January</v>
      </c>
      <c r="N722" s="6">
        <f t="shared" si="35"/>
        <v>2003</v>
      </c>
    </row>
    <row r="723" spans="1:14">
      <c r="A723" s="2" t="s">
        <v>183</v>
      </c>
      <c r="B723" s="3">
        <v>10110</v>
      </c>
      <c r="C723" s="3">
        <v>33</v>
      </c>
      <c r="D723" s="13">
        <v>100</v>
      </c>
      <c r="E723" s="5">
        <v>37698</v>
      </c>
      <c r="F723" s="2" t="s">
        <v>13</v>
      </c>
      <c r="G723" s="2" t="s">
        <v>202</v>
      </c>
      <c r="H723" s="3">
        <v>1</v>
      </c>
      <c r="I723" s="6">
        <v>2003</v>
      </c>
      <c r="J723" s="2" t="s">
        <v>22</v>
      </c>
      <c r="K723" s="2" t="s">
        <v>184</v>
      </c>
      <c r="L723" s="7">
        <f t="shared" si="33"/>
        <v>3300</v>
      </c>
      <c r="M723" s="2" t="str">
        <f t="shared" si="34"/>
        <v>March</v>
      </c>
      <c r="N723" s="6">
        <f t="shared" si="35"/>
        <v>2003</v>
      </c>
    </row>
    <row r="724" spans="1:14">
      <c r="A724" s="2" t="s">
        <v>198</v>
      </c>
      <c r="B724" s="3">
        <v>10124</v>
      </c>
      <c r="C724" s="3">
        <v>42</v>
      </c>
      <c r="D724" s="13">
        <v>100</v>
      </c>
      <c r="E724" s="5">
        <v>37762</v>
      </c>
      <c r="F724" s="2" t="s">
        <v>13</v>
      </c>
      <c r="G724" s="2" t="s">
        <v>202</v>
      </c>
      <c r="H724" s="3">
        <v>2</v>
      </c>
      <c r="I724" s="6">
        <v>2003</v>
      </c>
      <c r="J724" s="2" t="s">
        <v>22</v>
      </c>
      <c r="K724" s="2" t="s">
        <v>199</v>
      </c>
      <c r="L724" s="7">
        <f t="shared" si="33"/>
        <v>4200</v>
      </c>
      <c r="M724" s="2" t="str">
        <f t="shared" si="34"/>
        <v>May</v>
      </c>
      <c r="N724" s="6">
        <f t="shared" si="35"/>
        <v>2003</v>
      </c>
    </row>
    <row r="725" spans="1:14">
      <c r="A725" s="2" t="s">
        <v>194</v>
      </c>
      <c r="B725" s="3">
        <v>10149</v>
      </c>
      <c r="C725" s="3">
        <v>33</v>
      </c>
      <c r="D725" s="13">
        <v>100</v>
      </c>
      <c r="E725" s="5">
        <v>37876</v>
      </c>
      <c r="F725" s="2" t="s">
        <v>13</v>
      </c>
      <c r="G725" s="2" t="s">
        <v>202</v>
      </c>
      <c r="H725" s="3">
        <v>3</v>
      </c>
      <c r="I725" s="6">
        <v>2003</v>
      </c>
      <c r="J725" s="2" t="s">
        <v>22</v>
      </c>
      <c r="K725" s="2" t="s">
        <v>195</v>
      </c>
      <c r="L725" s="7">
        <f t="shared" si="33"/>
        <v>3300</v>
      </c>
      <c r="M725" s="2" t="str">
        <f t="shared" si="34"/>
        <v>September</v>
      </c>
      <c r="N725" s="6">
        <f t="shared" si="35"/>
        <v>2003</v>
      </c>
    </row>
    <row r="726" spans="1:14">
      <c r="A726" s="2" t="s">
        <v>28</v>
      </c>
      <c r="B726" s="3">
        <v>10162</v>
      </c>
      <c r="C726" s="3">
        <v>38</v>
      </c>
      <c r="D726" s="13">
        <v>100</v>
      </c>
      <c r="E726" s="5">
        <v>37912</v>
      </c>
      <c r="F726" s="2" t="s">
        <v>13</v>
      </c>
      <c r="G726" s="2" t="s">
        <v>202</v>
      </c>
      <c r="H726" s="3">
        <v>4</v>
      </c>
      <c r="I726" s="6">
        <v>2003</v>
      </c>
      <c r="J726" s="2" t="s">
        <v>22</v>
      </c>
      <c r="K726" s="2" t="s">
        <v>29</v>
      </c>
      <c r="L726" s="7">
        <f t="shared" si="33"/>
        <v>3800</v>
      </c>
      <c r="M726" s="2" t="str">
        <f t="shared" si="34"/>
        <v>October</v>
      </c>
      <c r="N726" s="6">
        <f t="shared" si="35"/>
        <v>2003</v>
      </c>
    </row>
    <row r="727" spans="1:14">
      <c r="A727" s="2" t="s">
        <v>203</v>
      </c>
      <c r="B727" s="3">
        <v>10173</v>
      </c>
      <c r="C727" s="3">
        <v>31</v>
      </c>
      <c r="D727" s="13">
        <v>100</v>
      </c>
      <c r="E727" s="5">
        <v>37930</v>
      </c>
      <c r="F727" s="2" t="s">
        <v>13</v>
      </c>
      <c r="G727" s="2" t="s">
        <v>202</v>
      </c>
      <c r="H727" s="3">
        <v>4</v>
      </c>
      <c r="I727" s="6">
        <v>2003</v>
      </c>
      <c r="J727" s="2" t="s">
        <v>22</v>
      </c>
      <c r="K727" s="2" t="s">
        <v>204</v>
      </c>
      <c r="L727" s="7">
        <f t="shared" si="33"/>
        <v>3100</v>
      </c>
      <c r="M727" s="2" t="str">
        <f t="shared" si="34"/>
        <v>November</v>
      </c>
      <c r="N727" s="6">
        <f t="shared" si="35"/>
        <v>2003</v>
      </c>
    </row>
    <row r="728" spans="1:14">
      <c r="A728" s="2" t="s">
        <v>103</v>
      </c>
      <c r="B728" s="3">
        <v>10182</v>
      </c>
      <c r="C728" s="3">
        <v>20</v>
      </c>
      <c r="D728" s="13">
        <v>100</v>
      </c>
      <c r="E728" s="5">
        <v>37937</v>
      </c>
      <c r="F728" s="2" t="s">
        <v>13</v>
      </c>
      <c r="G728" s="2" t="s">
        <v>202</v>
      </c>
      <c r="H728" s="3">
        <v>4</v>
      </c>
      <c r="I728" s="6">
        <v>2003</v>
      </c>
      <c r="J728" s="2" t="s">
        <v>15</v>
      </c>
      <c r="K728" s="2" t="s">
        <v>104</v>
      </c>
      <c r="L728" s="7">
        <f t="shared" si="33"/>
        <v>2000</v>
      </c>
      <c r="M728" s="2" t="str">
        <f t="shared" si="34"/>
        <v>November</v>
      </c>
      <c r="N728" s="6">
        <f t="shared" si="35"/>
        <v>2003</v>
      </c>
    </row>
    <row r="729" spans="1:14">
      <c r="A729" s="2" t="s">
        <v>205</v>
      </c>
      <c r="B729" s="3">
        <v>10193</v>
      </c>
      <c r="C729" s="3">
        <v>44</v>
      </c>
      <c r="D729" s="13">
        <v>100</v>
      </c>
      <c r="E729" s="5">
        <v>37946</v>
      </c>
      <c r="F729" s="2" t="s">
        <v>13</v>
      </c>
      <c r="G729" s="2" t="s">
        <v>202</v>
      </c>
      <c r="H729" s="3">
        <v>4</v>
      </c>
      <c r="I729" s="6">
        <v>2003</v>
      </c>
      <c r="J729" s="2" t="s">
        <v>22</v>
      </c>
      <c r="K729" s="2" t="s">
        <v>206</v>
      </c>
      <c r="L729" s="7">
        <f t="shared" si="33"/>
        <v>4400</v>
      </c>
      <c r="M729" s="2" t="str">
        <f t="shared" si="34"/>
        <v>November</v>
      </c>
      <c r="N729" s="6">
        <f t="shared" si="35"/>
        <v>2003</v>
      </c>
    </row>
    <row r="730" spans="1:14">
      <c r="A730" s="2" t="s">
        <v>177</v>
      </c>
      <c r="B730" s="3">
        <v>10204</v>
      </c>
      <c r="C730" s="3">
        <v>26</v>
      </c>
      <c r="D730" s="13">
        <v>100</v>
      </c>
      <c r="E730" s="5">
        <v>37957</v>
      </c>
      <c r="F730" s="2" t="s">
        <v>13</v>
      </c>
      <c r="G730" s="2" t="s">
        <v>202</v>
      </c>
      <c r="H730" s="3">
        <v>4</v>
      </c>
      <c r="I730" s="6">
        <v>2003</v>
      </c>
      <c r="J730" s="2" t="s">
        <v>22</v>
      </c>
      <c r="K730" s="2" t="s">
        <v>178</v>
      </c>
      <c r="L730" s="7">
        <f t="shared" si="33"/>
        <v>2600</v>
      </c>
      <c r="M730" s="2" t="str">
        <f t="shared" si="34"/>
        <v>December</v>
      </c>
      <c r="N730" s="6">
        <f t="shared" si="35"/>
        <v>2003</v>
      </c>
    </row>
    <row r="731" spans="1:14">
      <c r="A731" s="2" t="s">
        <v>75</v>
      </c>
      <c r="B731" s="3">
        <v>10214</v>
      </c>
      <c r="C731" s="3">
        <v>27</v>
      </c>
      <c r="D731" s="13">
        <v>100</v>
      </c>
      <c r="E731" s="5">
        <v>38012</v>
      </c>
      <c r="F731" s="2" t="s">
        <v>13</v>
      </c>
      <c r="G731" s="2" t="s">
        <v>202</v>
      </c>
      <c r="H731" s="3">
        <v>1</v>
      </c>
      <c r="I731" s="6">
        <v>2004</v>
      </c>
      <c r="J731" s="2" t="s">
        <v>22</v>
      </c>
      <c r="K731" s="2" t="s">
        <v>76</v>
      </c>
      <c r="L731" s="7">
        <f t="shared" si="33"/>
        <v>2700</v>
      </c>
      <c r="M731" s="2" t="str">
        <f t="shared" si="34"/>
        <v>January</v>
      </c>
      <c r="N731" s="6">
        <f t="shared" si="35"/>
        <v>2004</v>
      </c>
    </row>
    <row r="732" spans="1:14">
      <c r="A732" s="2" t="s">
        <v>85</v>
      </c>
      <c r="B732" s="3">
        <v>10227</v>
      </c>
      <c r="C732" s="3">
        <v>46</v>
      </c>
      <c r="D732" s="13">
        <v>100</v>
      </c>
      <c r="E732" s="5">
        <v>38048</v>
      </c>
      <c r="F732" s="2" t="s">
        <v>13</v>
      </c>
      <c r="G732" s="2" t="s">
        <v>202</v>
      </c>
      <c r="H732" s="3">
        <v>1</v>
      </c>
      <c r="I732" s="6">
        <v>2004</v>
      </c>
      <c r="J732" s="2" t="s">
        <v>61</v>
      </c>
      <c r="K732" s="2" t="s">
        <v>86</v>
      </c>
      <c r="L732" s="7">
        <f t="shared" si="33"/>
        <v>4600</v>
      </c>
      <c r="M732" s="2" t="str">
        <f t="shared" si="34"/>
        <v>March</v>
      </c>
      <c r="N732" s="6">
        <f t="shared" si="35"/>
        <v>2004</v>
      </c>
    </row>
    <row r="733" spans="1:14">
      <c r="A733" s="2" t="s">
        <v>157</v>
      </c>
      <c r="B733" s="3">
        <v>10243</v>
      </c>
      <c r="C733" s="3">
        <v>47</v>
      </c>
      <c r="D733" s="13">
        <v>100</v>
      </c>
      <c r="E733" s="5">
        <v>38103</v>
      </c>
      <c r="F733" s="2" t="s">
        <v>13</v>
      </c>
      <c r="G733" s="2" t="s">
        <v>202</v>
      </c>
      <c r="H733" s="3">
        <v>2</v>
      </c>
      <c r="I733" s="6">
        <v>2004</v>
      </c>
      <c r="J733" s="2" t="s">
        <v>22</v>
      </c>
      <c r="K733" s="2" t="s">
        <v>158</v>
      </c>
      <c r="L733" s="7">
        <f t="shared" si="33"/>
        <v>4700</v>
      </c>
      <c r="M733" s="2" t="str">
        <f t="shared" si="34"/>
        <v>April</v>
      </c>
      <c r="N733" s="6">
        <f t="shared" si="35"/>
        <v>2004</v>
      </c>
    </row>
    <row r="734" spans="1:14">
      <c r="A734" s="2" t="s">
        <v>97</v>
      </c>
      <c r="B734" s="3">
        <v>10280</v>
      </c>
      <c r="C734" s="3">
        <v>37</v>
      </c>
      <c r="D734" s="13">
        <v>100</v>
      </c>
      <c r="E734" s="5">
        <v>38216</v>
      </c>
      <c r="F734" s="2" t="s">
        <v>13</v>
      </c>
      <c r="G734" s="2" t="s">
        <v>202</v>
      </c>
      <c r="H734" s="3">
        <v>3</v>
      </c>
      <c r="I734" s="6">
        <v>2004</v>
      </c>
      <c r="J734" s="2" t="s">
        <v>22</v>
      </c>
      <c r="K734" s="2" t="s">
        <v>98</v>
      </c>
      <c r="L734" s="7">
        <f t="shared" si="33"/>
        <v>3700</v>
      </c>
      <c r="M734" s="2" t="str">
        <f t="shared" si="34"/>
        <v>August</v>
      </c>
      <c r="N734" s="6">
        <f t="shared" si="35"/>
        <v>2004</v>
      </c>
    </row>
    <row r="735" spans="1:14">
      <c r="A735" s="2" t="s">
        <v>159</v>
      </c>
      <c r="B735" s="3">
        <v>10288</v>
      </c>
      <c r="C735" s="3">
        <v>31</v>
      </c>
      <c r="D735" s="13">
        <v>100</v>
      </c>
      <c r="E735" s="5">
        <v>38231</v>
      </c>
      <c r="F735" s="2" t="s">
        <v>13</v>
      </c>
      <c r="G735" s="2" t="s">
        <v>202</v>
      </c>
      <c r="H735" s="3">
        <v>3</v>
      </c>
      <c r="I735" s="6">
        <v>2004</v>
      </c>
      <c r="J735" s="2" t="s">
        <v>22</v>
      </c>
      <c r="K735" s="2" t="s">
        <v>160</v>
      </c>
      <c r="L735" s="7">
        <f t="shared" si="33"/>
        <v>3100</v>
      </c>
      <c r="M735" s="2" t="str">
        <f t="shared" si="34"/>
        <v>September</v>
      </c>
      <c r="N735" s="6">
        <f t="shared" si="35"/>
        <v>2004</v>
      </c>
    </row>
    <row r="736" spans="1:14">
      <c r="A736" s="2" t="s">
        <v>101</v>
      </c>
      <c r="B736" s="3">
        <v>10304</v>
      </c>
      <c r="C736" s="3">
        <v>24</v>
      </c>
      <c r="D736" s="13">
        <v>100</v>
      </c>
      <c r="E736" s="5">
        <v>38271</v>
      </c>
      <c r="F736" s="2" t="s">
        <v>13</v>
      </c>
      <c r="G736" s="2" t="s">
        <v>202</v>
      </c>
      <c r="H736" s="3">
        <v>4</v>
      </c>
      <c r="I736" s="6">
        <v>2004</v>
      </c>
      <c r="J736" s="2" t="s">
        <v>15</v>
      </c>
      <c r="K736" s="2" t="s">
        <v>102</v>
      </c>
      <c r="L736" s="7">
        <f t="shared" si="33"/>
        <v>2400</v>
      </c>
      <c r="M736" s="2" t="str">
        <f t="shared" si="34"/>
        <v>October</v>
      </c>
      <c r="N736" s="6">
        <f t="shared" si="35"/>
        <v>2004</v>
      </c>
    </row>
    <row r="737" spans="1:14">
      <c r="A737" s="2" t="s">
        <v>103</v>
      </c>
      <c r="B737" s="3">
        <v>10312</v>
      </c>
      <c r="C737" s="3">
        <v>31</v>
      </c>
      <c r="D737" s="13">
        <v>100</v>
      </c>
      <c r="E737" s="5">
        <v>38281</v>
      </c>
      <c r="F737" s="2" t="s">
        <v>13</v>
      </c>
      <c r="G737" s="2" t="s">
        <v>202</v>
      </c>
      <c r="H737" s="3">
        <v>4</v>
      </c>
      <c r="I737" s="6">
        <v>2004</v>
      </c>
      <c r="J737" s="2" t="s">
        <v>22</v>
      </c>
      <c r="K737" s="2" t="s">
        <v>104</v>
      </c>
      <c r="L737" s="7">
        <f t="shared" si="33"/>
        <v>3100</v>
      </c>
      <c r="M737" s="2" t="str">
        <f t="shared" si="34"/>
        <v>October</v>
      </c>
      <c r="N737" s="6">
        <f t="shared" si="35"/>
        <v>2004</v>
      </c>
    </row>
    <row r="738" spans="1:14">
      <c r="A738" s="2" t="s">
        <v>105</v>
      </c>
      <c r="B738" s="3">
        <v>10322</v>
      </c>
      <c r="C738" s="3">
        <v>50</v>
      </c>
      <c r="D738" s="13">
        <v>100</v>
      </c>
      <c r="E738" s="5">
        <v>38295</v>
      </c>
      <c r="F738" s="2" t="s">
        <v>13</v>
      </c>
      <c r="G738" s="2" t="s">
        <v>202</v>
      </c>
      <c r="H738" s="3">
        <v>4</v>
      </c>
      <c r="I738" s="6">
        <v>2004</v>
      </c>
      <c r="J738" s="2" t="s">
        <v>61</v>
      </c>
      <c r="K738" s="2" t="s">
        <v>106</v>
      </c>
      <c r="L738" s="7">
        <f t="shared" si="33"/>
        <v>5000</v>
      </c>
      <c r="M738" s="2" t="str">
        <f t="shared" si="34"/>
        <v>November</v>
      </c>
      <c r="N738" s="6">
        <f t="shared" si="35"/>
        <v>2004</v>
      </c>
    </row>
    <row r="739" spans="1:14">
      <c r="A739" s="2" t="s">
        <v>183</v>
      </c>
      <c r="B739" s="3">
        <v>10332</v>
      </c>
      <c r="C739" s="3">
        <v>35</v>
      </c>
      <c r="D739" s="13">
        <v>64.69</v>
      </c>
      <c r="E739" s="5">
        <v>38308</v>
      </c>
      <c r="F739" s="2" t="s">
        <v>13</v>
      </c>
      <c r="G739" s="2" t="s">
        <v>202</v>
      </c>
      <c r="H739" s="3">
        <v>4</v>
      </c>
      <c r="I739" s="6">
        <v>2004</v>
      </c>
      <c r="J739" s="2" t="s">
        <v>15</v>
      </c>
      <c r="K739" s="2" t="s">
        <v>184</v>
      </c>
      <c r="L739" s="7">
        <f t="shared" si="33"/>
        <v>2264.15</v>
      </c>
      <c r="M739" s="2" t="str">
        <f t="shared" si="34"/>
        <v>November</v>
      </c>
      <c r="N739" s="6">
        <f t="shared" si="35"/>
        <v>2004</v>
      </c>
    </row>
    <row r="740" spans="1:14">
      <c r="A740" s="2" t="s">
        <v>163</v>
      </c>
      <c r="B740" s="3">
        <v>10344</v>
      </c>
      <c r="C740" s="3">
        <v>30</v>
      </c>
      <c r="D740" s="13">
        <v>100</v>
      </c>
      <c r="E740" s="5">
        <v>38316</v>
      </c>
      <c r="F740" s="2" t="s">
        <v>13</v>
      </c>
      <c r="G740" s="2" t="s">
        <v>202</v>
      </c>
      <c r="H740" s="3">
        <v>4</v>
      </c>
      <c r="I740" s="6">
        <v>2004</v>
      </c>
      <c r="J740" s="2" t="s">
        <v>22</v>
      </c>
      <c r="K740" s="2" t="s">
        <v>164</v>
      </c>
      <c r="L740" s="7">
        <f t="shared" si="33"/>
        <v>3000</v>
      </c>
      <c r="M740" s="2" t="str">
        <f t="shared" si="34"/>
        <v>November</v>
      </c>
      <c r="N740" s="6">
        <f t="shared" si="35"/>
        <v>2004</v>
      </c>
    </row>
    <row r="741" spans="1:14">
      <c r="A741" s="2" t="s">
        <v>21</v>
      </c>
      <c r="B741" s="3">
        <v>10356</v>
      </c>
      <c r="C741" s="3">
        <v>29</v>
      </c>
      <c r="D741" s="13">
        <v>100</v>
      </c>
      <c r="E741" s="5">
        <v>38330</v>
      </c>
      <c r="F741" s="2" t="s">
        <v>13</v>
      </c>
      <c r="G741" s="2" t="s">
        <v>202</v>
      </c>
      <c r="H741" s="3">
        <v>4</v>
      </c>
      <c r="I741" s="6">
        <v>2004</v>
      </c>
      <c r="J741" s="2" t="s">
        <v>22</v>
      </c>
      <c r="K741" s="2" t="s">
        <v>23</v>
      </c>
      <c r="L741" s="7">
        <f t="shared" si="33"/>
        <v>2900</v>
      </c>
      <c r="M741" s="2" t="str">
        <f t="shared" si="34"/>
        <v>December</v>
      </c>
      <c r="N741" s="6">
        <f t="shared" si="35"/>
        <v>2004</v>
      </c>
    </row>
    <row r="742" spans="1:14">
      <c r="A742" s="2" t="s">
        <v>25</v>
      </c>
      <c r="B742" s="3">
        <v>10367</v>
      </c>
      <c r="C742" s="3">
        <v>27</v>
      </c>
      <c r="D742" s="13">
        <v>100</v>
      </c>
      <c r="E742" s="5">
        <v>38364</v>
      </c>
      <c r="F742" s="2" t="s">
        <v>155</v>
      </c>
      <c r="G742" s="2" t="s">
        <v>202</v>
      </c>
      <c r="H742" s="3">
        <v>1</v>
      </c>
      <c r="I742" s="6">
        <v>2005</v>
      </c>
      <c r="J742" s="2" t="s">
        <v>22</v>
      </c>
      <c r="K742" s="2" t="s">
        <v>26</v>
      </c>
      <c r="L742" s="7">
        <f t="shared" si="33"/>
        <v>2700</v>
      </c>
      <c r="M742" s="2" t="str">
        <f t="shared" si="34"/>
        <v>January</v>
      </c>
      <c r="N742" s="6">
        <f t="shared" si="35"/>
        <v>2005</v>
      </c>
    </row>
    <row r="743" spans="1:14">
      <c r="A743" s="2" t="s">
        <v>69</v>
      </c>
      <c r="B743" s="3">
        <v>10380</v>
      </c>
      <c r="C743" s="3">
        <v>40</v>
      </c>
      <c r="D743" s="13">
        <v>100</v>
      </c>
      <c r="E743" s="5">
        <v>38399</v>
      </c>
      <c r="F743" s="2" t="s">
        <v>13</v>
      </c>
      <c r="G743" s="2" t="s">
        <v>202</v>
      </c>
      <c r="H743" s="3">
        <v>1</v>
      </c>
      <c r="I743" s="6">
        <v>2005</v>
      </c>
      <c r="J743" s="2" t="s">
        <v>22</v>
      </c>
      <c r="K743" s="2" t="s">
        <v>71</v>
      </c>
      <c r="L743" s="7">
        <f t="shared" si="33"/>
        <v>4000</v>
      </c>
      <c r="M743" s="2" t="str">
        <f t="shared" si="34"/>
        <v>February</v>
      </c>
      <c r="N743" s="6">
        <f t="shared" si="35"/>
        <v>2005</v>
      </c>
    </row>
    <row r="744" spans="1:14">
      <c r="A744" s="2" t="s">
        <v>103</v>
      </c>
      <c r="B744" s="3">
        <v>10390</v>
      </c>
      <c r="C744" s="3">
        <v>31</v>
      </c>
      <c r="D744" s="13">
        <v>98.99</v>
      </c>
      <c r="E744" s="5">
        <v>38415</v>
      </c>
      <c r="F744" s="2" t="s">
        <v>13</v>
      </c>
      <c r="G744" s="2" t="s">
        <v>202</v>
      </c>
      <c r="H744" s="3">
        <v>1</v>
      </c>
      <c r="I744" s="6">
        <v>2005</v>
      </c>
      <c r="J744" s="2" t="s">
        <v>22</v>
      </c>
      <c r="K744" s="2" t="s">
        <v>104</v>
      </c>
      <c r="L744" s="7">
        <f t="shared" si="33"/>
        <v>3068.69</v>
      </c>
      <c r="M744" s="2" t="str">
        <f t="shared" si="34"/>
        <v>March</v>
      </c>
      <c r="N744" s="6">
        <f t="shared" si="35"/>
        <v>2005</v>
      </c>
    </row>
    <row r="745" spans="1:14">
      <c r="A745" s="2" t="s">
        <v>159</v>
      </c>
      <c r="B745" s="3">
        <v>10409</v>
      </c>
      <c r="C745" s="3">
        <v>6</v>
      </c>
      <c r="D745" s="13">
        <v>100</v>
      </c>
      <c r="E745" s="5">
        <v>38465</v>
      </c>
      <c r="F745" s="2" t="s">
        <v>13</v>
      </c>
      <c r="G745" s="2" t="s">
        <v>202</v>
      </c>
      <c r="H745" s="3">
        <v>2</v>
      </c>
      <c r="I745" s="6">
        <v>2005</v>
      </c>
      <c r="J745" s="2" t="s">
        <v>15</v>
      </c>
      <c r="K745" s="2" t="s">
        <v>160</v>
      </c>
      <c r="L745" s="7">
        <f t="shared" si="33"/>
        <v>600</v>
      </c>
      <c r="M745" s="2" t="str">
        <f t="shared" si="34"/>
        <v>April</v>
      </c>
      <c r="N745" s="6">
        <f t="shared" si="35"/>
        <v>2005</v>
      </c>
    </row>
    <row r="746" spans="1:14">
      <c r="A746" s="2" t="s">
        <v>63</v>
      </c>
      <c r="B746" s="3">
        <v>10420</v>
      </c>
      <c r="C746" s="3">
        <v>45</v>
      </c>
      <c r="D746" s="13">
        <v>100</v>
      </c>
      <c r="E746" s="5">
        <v>38501</v>
      </c>
      <c r="F746" s="2" t="s">
        <v>113</v>
      </c>
      <c r="G746" s="2" t="s">
        <v>202</v>
      </c>
      <c r="H746" s="3">
        <v>2</v>
      </c>
      <c r="I746" s="6">
        <v>2005</v>
      </c>
      <c r="J746" s="2" t="s">
        <v>22</v>
      </c>
      <c r="K746" s="2" t="s">
        <v>64</v>
      </c>
      <c r="L746" s="7">
        <f t="shared" si="33"/>
        <v>4500</v>
      </c>
      <c r="M746" s="2" t="str">
        <f t="shared" si="34"/>
        <v>May</v>
      </c>
      <c r="N746" s="6">
        <f t="shared" si="35"/>
        <v>2005</v>
      </c>
    </row>
    <row r="747" spans="1:14">
      <c r="A747" s="2" t="s">
        <v>56</v>
      </c>
      <c r="B747" s="3">
        <v>10103</v>
      </c>
      <c r="C747" s="3">
        <v>22</v>
      </c>
      <c r="D747" s="13">
        <v>54.09</v>
      </c>
      <c r="E747" s="5">
        <v>37650</v>
      </c>
      <c r="F747" s="2" t="s">
        <v>13</v>
      </c>
      <c r="G747" s="2" t="s">
        <v>187</v>
      </c>
      <c r="H747" s="3">
        <v>1</v>
      </c>
      <c r="I747" s="6">
        <v>2003</v>
      </c>
      <c r="J747" s="2" t="s">
        <v>15</v>
      </c>
      <c r="K747" s="2" t="s">
        <v>57</v>
      </c>
      <c r="L747" s="7">
        <f t="shared" si="33"/>
        <v>1189.98</v>
      </c>
      <c r="M747" s="2" t="str">
        <f t="shared" si="34"/>
        <v>January</v>
      </c>
      <c r="N747" s="6">
        <f t="shared" si="35"/>
        <v>2003</v>
      </c>
    </row>
    <row r="748" spans="1:14">
      <c r="A748" s="2" t="s">
        <v>152</v>
      </c>
      <c r="B748" s="3">
        <v>10114</v>
      </c>
      <c r="C748" s="3">
        <v>45</v>
      </c>
      <c r="D748" s="13">
        <v>68.67</v>
      </c>
      <c r="E748" s="5">
        <v>37712</v>
      </c>
      <c r="F748" s="2" t="s">
        <v>13</v>
      </c>
      <c r="G748" s="2" t="s">
        <v>187</v>
      </c>
      <c r="H748" s="3">
        <v>2</v>
      </c>
      <c r="I748" s="6">
        <v>2003</v>
      </c>
      <c r="J748" s="2" t="s">
        <v>22</v>
      </c>
      <c r="K748" s="2" t="s">
        <v>153</v>
      </c>
      <c r="L748" s="7">
        <f t="shared" si="33"/>
        <v>3090.15</v>
      </c>
      <c r="M748" s="2" t="str">
        <f t="shared" si="34"/>
        <v>April</v>
      </c>
      <c r="N748" s="6">
        <f t="shared" si="35"/>
        <v>2003</v>
      </c>
    </row>
    <row r="749" spans="1:14">
      <c r="A749" s="2" t="s">
        <v>75</v>
      </c>
      <c r="B749" s="3">
        <v>10126</v>
      </c>
      <c r="C749" s="3">
        <v>43</v>
      </c>
      <c r="D749" s="13">
        <v>65.02</v>
      </c>
      <c r="E749" s="5">
        <v>37769</v>
      </c>
      <c r="F749" s="2" t="s">
        <v>13</v>
      </c>
      <c r="G749" s="2" t="s">
        <v>187</v>
      </c>
      <c r="H749" s="3">
        <v>2</v>
      </c>
      <c r="I749" s="6">
        <v>2003</v>
      </c>
      <c r="J749" s="2" t="s">
        <v>15</v>
      </c>
      <c r="K749" s="2" t="s">
        <v>76</v>
      </c>
      <c r="L749" s="7">
        <f t="shared" si="33"/>
        <v>2795.86</v>
      </c>
      <c r="M749" s="2" t="str">
        <f t="shared" si="34"/>
        <v>May</v>
      </c>
      <c r="N749" s="6">
        <f t="shared" si="35"/>
        <v>2003</v>
      </c>
    </row>
    <row r="750" spans="1:14">
      <c r="A750" s="2" t="s">
        <v>31</v>
      </c>
      <c r="B750" s="3">
        <v>10140</v>
      </c>
      <c r="C750" s="3">
        <v>46</v>
      </c>
      <c r="D750" s="13">
        <v>61.99</v>
      </c>
      <c r="E750" s="5">
        <v>37826</v>
      </c>
      <c r="F750" s="2" t="s">
        <v>13</v>
      </c>
      <c r="G750" s="2" t="s">
        <v>187</v>
      </c>
      <c r="H750" s="3">
        <v>3</v>
      </c>
      <c r="I750" s="6">
        <v>2003</v>
      </c>
      <c r="J750" s="2" t="s">
        <v>15</v>
      </c>
      <c r="K750" s="2" t="s">
        <v>32</v>
      </c>
      <c r="L750" s="7">
        <f t="shared" si="33"/>
        <v>2851.54</v>
      </c>
      <c r="M750" s="2" t="str">
        <f t="shared" si="34"/>
        <v>July</v>
      </c>
      <c r="N750" s="6">
        <f t="shared" si="35"/>
        <v>2003</v>
      </c>
    </row>
    <row r="751" spans="1:14">
      <c r="A751" s="2" t="s">
        <v>147</v>
      </c>
      <c r="B751" s="3">
        <v>10151</v>
      </c>
      <c r="C751" s="3">
        <v>39</v>
      </c>
      <c r="D751" s="13">
        <v>69.28</v>
      </c>
      <c r="E751" s="5">
        <v>37885</v>
      </c>
      <c r="F751" s="2" t="s">
        <v>13</v>
      </c>
      <c r="G751" s="2" t="s">
        <v>187</v>
      </c>
      <c r="H751" s="3">
        <v>3</v>
      </c>
      <c r="I751" s="6">
        <v>2003</v>
      </c>
      <c r="J751" s="2" t="s">
        <v>15</v>
      </c>
      <c r="K751" s="2" t="s">
        <v>148</v>
      </c>
      <c r="L751" s="7">
        <f t="shared" si="33"/>
        <v>2701.92</v>
      </c>
      <c r="M751" s="2" t="str">
        <f t="shared" si="34"/>
        <v>September</v>
      </c>
      <c r="N751" s="6">
        <f t="shared" si="35"/>
        <v>2003</v>
      </c>
    </row>
    <row r="752" spans="1:14">
      <c r="A752" s="2" t="s">
        <v>77</v>
      </c>
      <c r="B752" s="3">
        <v>10165</v>
      </c>
      <c r="C752" s="3">
        <v>31</v>
      </c>
      <c r="D752" s="13">
        <v>71.1</v>
      </c>
      <c r="E752" s="5">
        <v>37916</v>
      </c>
      <c r="F752" s="2" t="s">
        <v>13</v>
      </c>
      <c r="G752" s="2" t="s">
        <v>187</v>
      </c>
      <c r="H752" s="3">
        <v>4</v>
      </c>
      <c r="I752" s="6">
        <v>2003</v>
      </c>
      <c r="J752" s="2" t="s">
        <v>15</v>
      </c>
      <c r="K752" s="2" t="s">
        <v>78</v>
      </c>
      <c r="L752" s="7">
        <f t="shared" si="33"/>
        <v>2204.1</v>
      </c>
      <c r="M752" s="2" t="str">
        <f t="shared" si="34"/>
        <v>October</v>
      </c>
      <c r="N752" s="6">
        <f t="shared" si="35"/>
        <v>2003</v>
      </c>
    </row>
    <row r="753" spans="1:14">
      <c r="A753" s="2" t="s">
        <v>124</v>
      </c>
      <c r="B753" s="3">
        <v>10175</v>
      </c>
      <c r="C753" s="3">
        <v>41</v>
      </c>
      <c r="D753" s="13">
        <v>69.28</v>
      </c>
      <c r="E753" s="5">
        <v>37931</v>
      </c>
      <c r="F753" s="2" t="s">
        <v>13</v>
      </c>
      <c r="G753" s="2" t="s">
        <v>187</v>
      </c>
      <c r="H753" s="3">
        <v>4</v>
      </c>
      <c r="I753" s="6">
        <v>2003</v>
      </c>
      <c r="J753" s="2" t="s">
        <v>15</v>
      </c>
      <c r="K753" s="2" t="s">
        <v>125</v>
      </c>
      <c r="L753" s="7">
        <f t="shared" si="33"/>
        <v>2840.48</v>
      </c>
      <c r="M753" s="2" t="str">
        <f t="shared" si="34"/>
        <v>November</v>
      </c>
      <c r="N753" s="6">
        <f t="shared" si="35"/>
        <v>2003</v>
      </c>
    </row>
    <row r="754" spans="1:14">
      <c r="A754" s="2" t="s">
        <v>192</v>
      </c>
      <c r="B754" s="3">
        <v>10184</v>
      </c>
      <c r="C754" s="3">
        <v>44</v>
      </c>
      <c r="D754" s="13">
        <v>60.16</v>
      </c>
      <c r="E754" s="5">
        <v>37939</v>
      </c>
      <c r="F754" s="2" t="s">
        <v>13</v>
      </c>
      <c r="G754" s="2" t="s">
        <v>187</v>
      </c>
      <c r="H754" s="3">
        <v>4</v>
      </c>
      <c r="I754" s="6">
        <v>2003</v>
      </c>
      <c r="J754" s="2" t="s">
        <v>15</v>
      </c>
      <c r="K754" s="2" t="s">
        <v>193</v>
      </c>
      <c r="L754" s="7">
        <f t="shared" si="33"/>
        <v>2647.04</v>
      </c>
      <c r="M754" s="2" t="str">
        <f t="shared" si="34"/>
        <v>November</v>
      </c>
      <c r="N754" s="6">
        <f t="shared" si="35"/>
        <v>2003</v>
      </c>
    </row>
    <row r="755" spans="1:14">
      <c r="A755" s="2" t="s">
        <v>85</v>
      </c>
      <c r="B755" s="3">
        <v>10194</v>
      </c>
      <c r="C755" s="3">
        <v>45</v>
      </c>
      <c r="D755" s="13">
        <v>70.49</v>
      </c>
      <c r="E755" s="5">
        <v>37950</v>
      </c>
      <c r="F755" s="2" t="s">
        <v>13</v>
      </c>
      <c r="G755" s="2" t="s">
        <v>187</v>
      </c>
      <c r="H755" s="3">
        <v>4</v>
      </c>
      <c r="I755" s="6">
        <v>2003</v>
      </c>
      <c r="J755" s="2" t="s">
        <v>22</v>
      </c>
      <c r="K755" s="2" t="s">
        <v>86</v>
      </c>
      <c r="L755" s="7">
        <f t="shared" si="33"/>
        <v>3172.05</v>
      </c>
      <c r="M755" s="2" t="str">
        <f t="shared" si="34"/>
        <v>November</v>
      </c>
      <c r="N755" s="6">
        <f t="shared" si="35"/>
        <v>2003</v>
      </c>
    </row>
    <row r="756" spans="1:14">
      <c r="A756" s="2" t="s">
        <v>157</v>
      </c>
      <c r="B756" s="3">
        <v>10207</v>
      </c>
      <c r="C756" s="3">
        <v>37</v>
      </c>
      <c r="D756" s="13">
        <v>69.89</v>
      </c>
      <c r="E756" s="5">
        <v>37964</v>
      </c>
      <c r="F756" s="2" t="s">
        <v>13</v>
      </c>
      <c r="G756" s="2" t="s">
        <v>187</v>
      </c>
      <c r="H756" s="3">
        <v>4</v>
      </c>
      <c r="I756" s="6">
        <v>2003</v>
      </c>
      <c r="J756" s="2" t="s">
        <v>15</v>
      </c>
      <c r="K756" s="2" t="s">
        <v>158</v>
      </c>
      <c r="L756" s="7">
        <f t="shared" si="33"/>
        <v>2585.93</v>
      </c>
      <c r="M756" s="2" t="str">
        <f t="shared" si="34"/>
        <v>December</v>
      </c>
      <c r="N756" s="6">
        <f t="shared" si="35"/>
        <v>2003</v>
      </c>
    </row>
    <row r="757" spans="1:14">
      <c r="A757" s="2" t="s">
        <v>159</v>
      </c>
      <c r="B757" s="3">
        <v>10217</v>
      </c>
      <c r="C757" s="3">
        <v>35</v>
      </c>
      <c r="D757" s="13">
        <v>61.38</v>
      </c>
      <c r="E757" s="5">
        <v>38021</v>
      </c>
      <c r="F757" s="2" t="s">
        <v>13</v>
      </c>
      <c r="G757" s="2" t="s">
        <v>187</v>
      </c>
      <c r="H757" s="3">
        <v>1</v>
      </c>
      <c r="I757" s="6">
        <v>2004</v>
      </c>
      <c r="J757" s="2" t="s">
        <v>15</v>
      </c>
      <c r="K757" s="2" t="s">
        <v>160</v>
      </c>
      <c r="L757" s="7">
        <f t="shared" si="33"/>
        <v>2148.3</v>
      </c>
      <c r="M757" s="2" t="str">
        <f t="shared" si="34"/>
        <v>February</v>
      </c>
      <c r="N757" s="6">
        <f t="shared" si="35"/>
        <v>2004</v>
      </c>
    </row>
    <row r="758" spans="1:14">
      <c r="A758" s="2" t="s">
        <v>103</v>
      </c>
      <c r="B758" s="3">
        <v>10229</v>
      </c>
      <c r="C758" s="3">
        <v>28</v>
      </c>
      <c r="D758" s="13">
        <v>59.55</v>
      </c>
      <c r="E758" s="5">
        <v>38057</v>
      </c>
      <c r="F758" s="2" t="s">
        <v>13</v>
      </c>
      <c r="G758" s="2" t="s">
        <v>187</v>
      </c>
      <c r="H758" s="3">
        <v>1</v>
      </c>
      <c r="I758" s="6">
        <v>2004</v>
      </c>
      <c r="J758" s="2" t="s">
        <v>15</v>
      </c>
      <c r="K758" s="2" t="s">
        <v>104</v>
      </c>
      <c r="L758" s="7">
        <f t="shared" si="33"/>
        <v>1667.4</v>
      </c>
      <c r="M758" s="2" t="str">
        <f t="shared" si="34"/>
        <v>March</v>
      </c>
      <c r="N758" s="6">
        <f t="shared" si="35"/>
        <v>2004</v>
      </c>
    </row>
    <row r="759" spans="1:14">
      <c r="A759" s="2" t="s">
        <v>69</v>
      </c>
      <c r="B759" s="3">
        <v>10246</v>
      </c>
      <c r="C759" s="3">
        <v>30</v>
      </c>
      <c r="D759" s="13">
        <v>61.99</v>
      </c>
      <c r="E759" s="5">
        <v>38112</v>
      </c>
      <c r="F759" s="2" t="s">
        <v>13</v>
      </c>
      <c r="G759" s="2" t="s">
        <v>187</v>
      </c>
      <c r="H759" s="3">
        <v>2</v>
      </c>
      <c r="I759" s="6">
        <v>2004</v>
      </c>
      <c r="J759" s="2" t="s">
        <v>15</v>
      </c>
      <c r="K759" s="2" t="s">
        <v>71</v>
      </c>
      <c r="L759" s="7">
        <f t="shared" si="33"/>
        <v>1859.7</v>
      </c>
      <c r="M759" s="2" t="str">
        <f t="shared" si="34"/>
        <v>May</v>
      </c>
      <c r="N759" s="6">
        <f t="shared" si="35"/>
        <v>2004</v>
      </c>
    </row>
    <row r="760" spans="1:14">
      <c r="A760" s="2" t="s">
        <v>159</v>
      </c>
      <c r="B760" s="3">
        <v>10259</v>
      </c>
      <c r="C760" s="3">
        <v>30</v>
      </c>
      <c r="D760" s="13">
        <v>49.22</v>
      </c>
      <c r="E760" s="5">
        <v>38153</v>
      </c>
      <c r="F760" s="2" t="s">
        <v>13</v>
      </c>
      <c r="G760" s="2" t="s">
        <v>187</v>
      </c>
      <c r="H760" s="3">
        <v>2</v>
      </c>
      <c r="I760" s="6">
        <v>2004</v>
      </c>
      <c r="J760" s="2" t="s">
        <v>15</v>
      </c>
      <c r="K760" s="2" t="s">
        <v>160</v>
      </c>
      <c r="L760" s="7">
        <f t="shared" si="33"/>
        <v>1476.6</v>
      </c>
      <c r="M760" s="2" t="str">
        <f t="shared" si="34"/>
        <v>June</v>
      </c>
      <c r="N760" s="6">
        <f t="shared" si="35"/>
        <v>2004</v>
      </c>
    </row>
    <row r="761" spans="1:14">
      <c r="A761" s="2" t="s">
        <v>103</v>
      </c>
      <c r="B761" s="3">
        <v>10271</v>
      </c>
      <c r="C761" s="3">
        <v>25</v>
      </c>
      <c r="D761" s="13">
        <v>69.28</v>
      </c>
      <c r="E761" s="5">
        <v>38188</v>
      </c>
      <c r="F761" s="2" t="s">
        <v>13</v>
      </c>
      <c r="G761" s="2" t="s">
        <v>187</v>
      </c>
      <c r="H761" s="3">
        <v>3</v>
      </c>
      <c r="I761" s="6">
        <v>2004</v>
      </c>
      <c r="J761" s="2" t="s">
        <v>15</v>
      </c>
      <c r="K761" s="2" t="s">
        <v>104</v>
      </c>
      <c r="L761" s="7">
        <f t="shared" si="33"/>
        <v>1732</v>
      </c>
      <c r="M761" s="2" t="str">
        <f t="shared" si="34"/>
        <v>July</v>
      </c>
      <c r="N761" s="6">
        <f t="shared" si="35"/>
        <v>2004</v>
      </c>
    </row>
    <row r="762" spans="1:14">
      <c r="A762" s="2" t="s">
        <v>58</v>
      </c>
      <c r="B762" s="3">
        <v>10281</v>
      </c>
      <c r="C762" s="3">
        <v>29</v>
      </c>
      <c r="D762" s="13">
        <v>57.73</v>
      </c>
      <c r="E762" s="5">
        <v>38218</v>
      </c>
      <c r="F762" s="2" t="s">
        <v>13</v>
      </c>
      <c r="G762" s="2" t="s">
        <v>187</v>
      </c>
      <c r="H762" s="3">
        <v>3</v>
      </c>
      <c r="I762" s="6">
        <v>2004</v>
      </c>
      <c r="J762" s="2" t="s">
        <v>15</v>
      </c>
      <c r="K762" s="2" t="s">
        <v>59</v>
      </c>
      <c r="L762" s="7">
        <f t="shared" si="33"/>
        <v>1674.17</v>
      </c>
      <c r="M762" s="2" t="str">
        <f t="shared" si="34"/>
        <v>August</v>
      </c>
      <c r="N762" s="6">
        <f t="shared" si="35"/>
        <v>2004</v>
      </c>
    </row>
    <row r="763" spans="1:14">
      <c r="A763" s="2" t="s">
        <v>99</v>
      </c>
      <c r="B763" s="3">
        <v>10291</v>
      </c>
      <c r="C763" s="3">
        <v>26</v>
      </c>
      <c r="D763" s="13">
        <v>57.73</v>
      </c>
      <c r="E763" s="5">
        <v>38238</v>
      </c>
      <c r="F763" s="2" t="s">
        <v>13</v>
      </c>
      <c r="G763" s="2" t="s">
        <v>187</v>
      </c>
      <c r="H763" s="3">
        <v>3</v>
      </c>
      <c r="I763" s="6">
        <v>2004</v>
      </c>
      <c r="J763" s="2" t="s">
        <v>15</v>
      </c>
      <c r="K763" s="2" t="s">
        <v>100</v>
      </c>
      <c r="L763" s="7">
        <f t="shared" si="33"/>
        <v>1500.98</v>
      </c>
      <c r="M763" s="2" t="str">
        <f t="shared" si="34"/>
        <v>September</v>
      </c>
      <c r="N763" s="6">
        <f t="shared" si="35"/>
        <v>2004</v>
      </c>
    </row>
    <row r="764" spans="1:14">
      <c r="A764" s="2" t="s">
        <v>52</v>
      </c>
      <c r="B764" s="3">
        <v>10305</v>
      </c>
      <c r="C764" s="3">
        <v>41</v>
      </c>
      <c r="D764" s="13">
        <v>53.48</v>
      </c>
      <c r="E764" s="5">
        <v>38273</v>
      </c>
      <c r="F764" s="2" t="s">
        <v>13</v>
      </c>
      <c r="G764" s="2" t="s">
        <v>187</v>
      </c>
      <c r="H764" s="3">
        <v>4</v>
      </c>
      <c r="I764" s="6">
        <v>2004</v>
      </c>
      <c r="J764" s="2" t="s">
        <v>15</v>
      </c>
      <c r="K764" s="2" t="s">
        <v>53</v>
      </c>
      <c r="L764" s="7">
        <f t="shared" si="33"/>
        <v>2192.68</v>
      </c>
      <c r="M764" s="2" t="str">
        <f t="shared" si="34"/>
        <v>October</v>
      </c>
      <c r="N764" s="6">
        <f t="shared" si="35"/>
        <v>2004</v>
      </c>
    </row>
    <row r="765" spans="1:14">
      <c r="A765" s="2" t="s">
        <v>87</v>
      </c>
      <c r="B765" s="3">
        <v>10313</v>
      </c>
      <c r="C765" s="3">
        <v>34</v>
      </c>
      <c r="D765" s="13">
        <v>52.87</v>
      </c>
      <c r="E765" s="5">
        <v>38282</v>
      </c>
      <c r="F765" s="2" t="s">
        <v>13</v>
      </c>
      <c r="G765" s="2" t="s">
        <v>187</v>
      </c>
      <c r="H765" s="3">
        <v>4</v>
      </c>
      <c r="I765" s="6">
        <v>2004</v>
      </c>
      <c r="J765" s="2" t="s">
        <v>15</v>
      </c>
      <c r="K765" s="2" t="s">
        <v>88</v>
      </c>
      <c r="L765" s="7">
        <f t="shared" si="33"/>
        <v>1797.58</v>
      </c>
      <c r="M765" s="2" t="str">
        <f t="shared" si="34"/>
        <v>October</v>
      </c>
      <c r="N765" s="6">
        <f t="shared" si="35"/>
        <v>2004</v>
      </c>
    </row>
    <row r="766" spans="1:14">
      <c r="A766" s="2" t="s">
        <v>105</v>
      </c>
      <c r="B766" s="3">
        <v>10322</v>
      </c>
      <c r="C766" s="3">
        <v>35</v>
      </c>
      <c r="D766" s="13">
        <v>61.21</v>
      </c>
      <c r="E766" s="5">
        <v>38295</v>
      </c>
      <c r="F766" s="2" t="s">
        <v>13</v>
      </c>
      <c r="G766" s="2" t="s">
        <v>187</v>
      </c>
      <c r="H766" s="3">
        <v>4</v>
      </c>
      <c r="I766" s="6">
        <v>2004</v>
      </c>
      <c r="J766" s="2" t="s">
        <v>15</v>
      </c>
      <c r="K766" s="2" t="s">
        <v>106</v>
      </c>
      <c r="L766" s="7">
        <f t="shared" si="33"/>
        <v>2142.35</v>
      </c>
      <c r="M766" s="2" t="str">
        <f t="shared" si="34"/>
        <v>November</v>
      </c>
      <c r="N766" s="6">
        <f t="shared" si="35"/>
        <v>2004</v>
      </c>
    </row>
    <row r="767" spans="1:14">
      <c r="A767" s="2" t="s">
        <v>73</v>
      </c>
      <c r="B767" s="3">
        <v>10334</v>
      </c>
      <c r="C767" s="3">
        <v>34</v>
      </c>
      <c r="D767" s="13">
        <v>61.38</v>
      </c>
      <c r="E767" s="5">
        <v>38310</v>
      </c>
      <c r="F767" s="2" t="s">
        <v>151</v>
      </c>
      <c r="G767" s="2" t="s">
        <v>187</v>
      </c>
      <c r="H767" s="3">
        <v>4</v>
      </c>
      <c r="I767" s="6">
        <v>2004</v>
      </c>
      <c r="J767" s="2" t="s">
        <v>15</v>
      </c>
      <c r="K767" s="2" t="s">
        <v>74</v>
      </c>
      <c r="L767" s="7">
        <f t="shared" si="33"/>
        <v>2086.92</v>
      </c>
      <c r="M767" s="2" t="str">
        <f t="shared" si="34"/>
        <v>November</v>
      </c>
      <c r="N767" s="6">
        <f t="shared" si="35"/>
        <v>2004</v>
      </c>
    </row>
    <row r="768" spans="1:14">
      <c r="A768" s="2" t="s">
        <v>42</v>
      </c>
      <c r="B768" s="3">
        <v>10347</v>
      </c>
      <c r="C768" s="3">
        <v>50</v>
      </c>
      <c r="D768" s="13">
        <v>100</v>
      </c>
      <c r="E768" s="5">
        <v>38320</v>
      </c>
      <c r="F768" s="2" t="s">
        <v>13</v>
      </c>
      <c r="G768" s="2" t="s">
        <v>187</v>
      </c>
      <c r="H768" s="3">
        <v>4</v>
      </c>
      <c r="I768" s="6">
        <v>2004</v>
      </c>
      <c r="J768" s="2" t="s">
        <v>22</v>
      </c>
      <c r="K768" s="2" t="s">
        <v>43</v>
      </c>
      <c r="L768" s="7">
        <f t="shared" si="33"/>
        <v>5000</v>
      </c>
      <c r="M768" s="2" t="str">
        <f t="shared" si="34"/>
        <v>November</v>
      </c>
      <c r="N768" s="6">
        <f t="shared" si="35"/>
        <v>2004</v>
      </c>
    </row>
    <row r="769" spans="1:14">
      <c r="A769" s="2" t="s">
        <v>103</v>
      </c>
      <c r="B769" s="3">
        <v>10357</v>
      </c>
      <c r="C769" s="3">
        <v>41</v>
      </c>
      <c r="D769" s="13">
        <v>61.99</v>
      </c>
      <c r="E769" s="5">
        <v>38331</v>
      </c>
      <c r="F769" s="2" t="s">
        <v>13</v>
      </c>
      <c r="G769" s="2" t="s">
        <v>187</v>
      </c>
      <c r="H769" s="3">
        <v>4</v>
      </c>
      <c r="I769" s="6">
        <v>2004</v>
      </c>
      <c r="J769" s="2" t="s">
        <v>15</v>
      </c>
      <c r="K769" s="2" t="s">
        <v>104</v>
      </c>
      <c r="L769" s="7">
        <f t="shared" si="33"/>
        <v>2541.59</v>
      </c>
      <c r="M769" s="2" t="str">
        <f t="shared" si="34"/>
        <v>December</v>
      </c>
      <c r="N769" s="6">
        <f t="shared" si="35"/>
        <v>2004</v>
      </c>
    </row>
    <row r="770" spans="1:14">
      <c r="A770" s="2" t="s">
        <v>109</v>
      </c>
      <c r="B770" s="3">
        <v>10370</v>
      </c>
      <c r="C770" s="3">
        <v>22</v>
      </c>
      <c r="D770" s="13">
        <v>96.86</v>
      </c>
      <c r="E770" s="5">
        <v>38372</v>
      </c>
      <c r="F770" s="2" t="s">
        <v>13</v>
      </c>
      <c r="G770" s="2" t="s">
        <v>187</v>
      </c>
      <c r="H770" s="3">
        <v>1</v>
      </c>
      <c r="I770" s="6">
        <v>2005</v>
      </c>
      <c r="J770" s="2" t="s">
        <v>15</v>
      </c>
      <c r="K770" s="2" t="s">
        <v>110</v>
      </c>
      <c r="L770" s="7">
        <f t="shared" ref="L770:L833" si="36">PRODUCT(C770,D770)</f>
        <v>2130.92</v>
      </c>
      <c r="M770" s="2" t="str">
        <f t="shared" ref="M770:M833" si="37">TEXT(E770,"MMMM")</f>
        <v>January</v>
      </c>
      <c r="N770" s="6">
        <f t="shared" ref="N770:N833" si="38">YEAR(E770)</f>
        <v>2005</v>
      </c>
    </row>
    <row r="771" spans="1:14">
      <c r="A771" s="2" t="s">
        <v>28</v>
      </c>
      <c r="B771" s="3">
        <v>10381</v>
      </c>
      <c r="C771" s="3">
        <v>35</v>
      </c>
      <c r="D771" s="13">
        <v>48.62</v>
      </c>
      <c r="E771" s="5">
        <v>38400</v>
      </c>
      <c r="F771" s="2" t="s">
        <v>13</v>
      </c>
      <c r="G771" s="2" t="s">
        <v>187</v>
      </c>
      <c r="H771" s="3">
        <v>1</v>
      </c>
      <c r="I771" s="6">
        <v>2005</v>
      </c>
      <c r="J771" s="2" t="s">
        <v>15</v>
      </c>
      <c r="K771" s="2" t="s">
        <v>29</v>
      </c>
      <c r="L771" s="7">
        <f t="shared" si="36"/>
        <v>1701.7</v>
      </c>
      <c r="M771" s="2" t="str">
        <f t="shared" si="37"/>
        <v>February</v>
      </c>
      <c r="N771" s="6">
        <f t="shared" si="38"/>
        <v>2005</v>
      </c>
    </row>
    <row r="772" spans="1:14">
      <c r="A772" s="2" t="s">
        <v>109</v>
      </c>
      <c r="B772" s="3">
        <v>10391</v>
      </c>
      <c r="C772" s="3">
        <v>44</v>
      </c>
      <c r="D772" s="13">
        <v>38.5</v>
      </c>
      <c r="E772" s="5">
        <v>38420</v>
      </c>
      <c r="F772" s="2" t="s">
        <v>13</v>
      </c>
      <c r="G772" s="2" t="s">
        <v>187</v>
      </c>
      <c r="H772" s="3">
        <v>1</v>
      </c>
      <c r="I772" s="6">
        <v>2005</v>
      </c>
      <c r="J772" s="2" t="s">
        <v>15</v>
      </c>
      <c r="K772" s="2" t="s">
        <v>110</v>
      </c>
      <c r="L772" s="7">
        <f t="shared" si="36"/>
        <v>1694</v>
      </c>
      <c r="M772" s="2" t="str">
        <f t="shared" si="37"/>
        <v>March</v>
      </c>
      <c r="N772" s="6">
        <f t="shared" si="38"/>
        <v>2005</v>
      </c>
    </row>
    <row r="773" spans="1:14">
      <c r="A773" s="2" t="s">
        <v>69</v>
      </c>
      <c r="B773" s="3">
        <v>10412</v>
      </c>
      <c r="C773" s="3">
        <v>47</v>
      </c>
      <c r="D773" s="13">
        <v>61.99</v>
      </c>
      <c r="E773" s="5">
        <v>38475</v>
      </c>
      <c r="F773" s="2" t="s">
        <v>13</v>
      </c>
      <c r="G773" s="2" t="s">
        <v>187</v>
      </c>
      <c r="H773" s="3">
        <v>2</v>
      </c>
      <c r="I773" s="6">
        <v>2005</v>
      </c>
      <c r="J773" s="2" t="s">
        <v>15</v>
      </c>
      <c r="K773" s="2" t="s">
        <v>71</v>
      </c>
      <c r="L773" s="7">
        <f t="shared" si="36"/>
        <v>2913.53</v>
      </c>
      <c r="M773" s="2" t="str">
        <f t="shared" si="37"/>
        <v>May</v>
      </c>
      <c r="N773" s="6">
        <f t="shared" si="38"/>
        <v>2005</v>
      </c>
    </row>
    <row r="774" spans="1:14">
      <c r="A774" s="2" t="s">
        <v>50</v>
      </c>
      <c r="B774" s="3">
        <v>10425</v>
      </c>
      <c r="C774" s="3">
        <v>19</v>
      </c>
      <c r="D774" s="13">
        <v>49.22</v>
      </c>
      <c r="E774" s="5">
        <v>38503</v>
      </c>
      <c r="F774" s="2" t="s">
        <v>113</v>
      </c>
      <c r="G774" s="2" t="s">
        <v>187</v>
      </c>
      <c r="H774" s="3">
        <v>2</v>
      </c>
      <c r="I774" s="6">
        <v>2005</v>
      </c>
      <c r="J774" s="2" t="s">
        <v>15</v>
      </c>
      <c r="K774" s="2" t="s">
        <v>51</v>
      </c>
      <c r="L774" s="7">
        <f t="shared" si="36"/>
        <v>935.18</v>
      </c>
      <c r="M774" s="2" t="str">
        <f t="shared" si="37"/>
        <v>May</v>
      </c>
      <c r="N774" s="6">
        <f t="shared" si="38"/>
        <v>2005</v>
      </c>
    </row>
    <row r="775" spans="1:14">
      <c r="A775" s="2" t="s">
        <v>203</v>
      </c>
      <c r="B775" s="3">
        <v>10106</v>
      </c>
      <c r="C775" s="3">
        <v>34</v>
      </c>
      <c r="D775" s="13">
        <v>90.39</v>
      </c>
      <c r="E775" s="5">
        <v>37669</v>
      </c>
      <c r="F775" s="2" t="s">
        <v>13</v>
      </c>
      <c r="G775" s="2" t="s">
        <v>207</v>
      </c>
      <c r="H775" s="3">
        <v>1</v>
      </c>
      <c r="I775" s="6">
        <v>2003</v>
      </c>
      <c r="J775" s="2" t="s">
        <v>22</v>
      </c>
      <c r="K775" s="2" t="s">
        <v>204</v>
      </c>
      <c r="L775" s="7">
        <f t="shared" si="36"/>
        <v>3073.26</v>
      </c>
      <c r="M775" s="2" t="str">
        <f t="shared" si="37"/>
        <v>February</v>
      </c>
      <c r="N775" s="6">
        <f t="shared" si="38"/>
        <v>2003</v>
      </c>
    </row>
    <row r="776" spans="1:14">
      <c r="A776" s="2" t="s">
        <v>42</v>
      </c>
      <c r="B776" s="3">
        <v>10120</v>
      </c>
      <c r="C776" s="3">
        <v>29</v>
      </c>
      <c r="D776" s="13">
        <v>71.81</v>
      </c>
      <c r="E776" s="5">
        <v>37740</v>
      </c>
      <c r="F776" s="2" t="s">
        <v>13</v>
      </c>
      <c r="G776" s="2" t="s">
        <v>207</v>
      </c>
      <c r="H776" s="3">
        <v>2</v>
      </c>
      <c r="I776" s="6">
        <v>2003</v>
      </c>
      <c r="J776" s="2" t="s">
        <v>15</v>
      </c>
      <c r="K776" s="2" t="s">
        <v>43</v>
      </c>
      <c r="L776" s="7">
        <f t="shared" si="36"/>
        <v>2082.49</v>
      </c>
      <c r="M776" s="2" t="str">
        <f t="shared" si="37"/>
        <v>April</v>
      </c>
      <c r="N776" s="6">
        <f t="shared" si="38"/>
        <v>2003</v>
      </c>
    </row>
    <row r="777" spans="1:14">
      <c r="A777" s="2" t="s">
        <v>69</v>
      </c>
      <c r="B777" s="3">
        <v>10133</v>
      </c>
      <c r="C777" s="3">
        <v>49</v>
      </c>
      <c r="D777" s="13">
        <v>69.27</v>
      </c>
      <c r="E777" s="5">
        <v>37799</v>
      </c>
      <c r="F777" s="2" t="s">
        <v>13</v>
      </c>
      <c r="G777" s="2" t="s">
        <v>207</v>
      </c>
      <c r="H777" s="3">
        <v>2</v>
      </c>
      <c r="I777" s="6">
        <v>2003</v>
      </c>
      <c r="J777" s="2" t="s">
        <v>22</v>
      </c>
      <c r="K777" s="2" t="s">
        <v>71</v>
      </c>
      <c r="L777" s="7">
        <f t="shared" si="36"/>
        <v>3394.23</v>
      </c>
      <c r="M777" s="2" t="str">
        <f t="shared" si="37"/>
        <v>June</v>
      </c>
      <c r="N777" s="6">
        <f t="shared" si="38"/>
        <v>2003</v>
      </c>
    </row>
    <row r="778" spans="1:14">
      <c r="A778" s="2" t="s">
        <v>25</v>
      </c>
      <c r="B778" s="3">
        <v>10145</v>
      </c>
      <c r="C778" s="3">
        <v>30</v>
      </c>
      <c r="D778" s="13">
        <v>85.32</v>
      </c>
      <c r="E778" s="5">
        <v>37858</v>
      </c>
      <c r="F778" s="2" t="s">
        <v>13</v>
      </c>
      <c r="G778" s="2" t="s">
        <v>207</v>
      </c>
      <c r="H778" s="3">
        <v>3</v>
      </c>
      <c r="I778" s="6">
        <v>2003</v>
      </c>
      <c r="J778" s="2" t="s">
        <v>15</v>
      </c>
      <c r="K778" s="2" t="s">
        <v>26</v>
      </c>
      <c r="L778" s="7">
        <f t="shared" si="36"/>
        <v>2559.6</v>
      </c>
      <c r="M778" s="2" t="str">
        <f t="shared" si="37"/>
        <v>August</v>
      </c>
      <c r="N778" s="6">
        <f t="shared" si="38"/>
        <v>2003</v>
      </c>
    </row>
    <row r="779" spans="1:14">
      <c r="A779" s="2" t="s">
        <v>31</v>
      </c>
      <c r="B779" s="3">
        <v>10168</v>
      </c>
      <c r="C779" s="3">
        <v>21</v>
      </c>
      <c r="D779" s="13">
        <v>70.96</v>
      </c>
      <c r="E779" s="5">
        <v>37922</v>
      </c>
      <c r="F779" s="2" t="s">
        <v>13</v>
      </c>
      <c r="G779" s="2" t="s">
        <v>207</v>
      </c>
      <c r="H779" s="3">
        <v>4</v>
      </c>
      <c r="I779" s="6">
        <v>2003</v>
      </c>
      <c r="J779" s="2" t="s">
        <v>15</v>
      </c>
      <c r="K779" s="2" t="s">
        <v>32</v>
      </c>
      <c r="L779" s="7">
        <f t="shared" si="36"/>
        <v>1490.16</v>
      </c>
      <c r="M779" s="2" t="str">
        <f t="shared" si="37"/>
        <v>October</v>
      </c>
      <c r="N779" s="6">
        <f t="shared" si="38"/>
        <v>2003</v>
      </c>
    </row>
    <row r="780" spans="1:14">
      <c r="A780" s="2" t="s">
        <v>114</v>
      </c>
      <c r="B780" s="3">
        <v>10210</v>
      </c>
      <c r="C780" s="3">
        <v>50</v>
      </c>
      <c r="D780" s="13">
        <v>76.88</v>
      </c>
      <c r="E780" s="5">
        <v>37998</v>
      </c>
      <c r="F780" s="2" t="s">
        <v>13</v>
      </c>
      <c r="G780" s="2" t="s">
        <v>207</v>
      </c>
      <c r="H780" s="3">
        <v>1</v>
      </c>
      <c r="I780" s="6">
        <v>2004</v>
      </c>
      <c r="J780" s="2" t="s">
        <v>22</v>
      </c>
      <c r="K780" s="2" t="s">
        <v>115</v>
      </c>
      <c r="L780" s="7">
        <f t="shared" si="36"/>
        <v>3844</v>
      </c>
      <c r="M780" s="2" t="str">
        <f t="shared" si="37"/>
        <v>January</v>
      </c>
      <c r="N780" s="6">
        <f t="shared" si="38"/>
        <v>2004</v>
      </c>
    </row>
    <row r="781" spans="1:14">
      <c r="A781" s="2" t="s">
        <v>42</v>
      </c>
      <c r="B781" s="3">
        <v>10223</v>
      </c>
      <c r="C781" s="3">
        <v>47</v>
      </c>
      <c r="D781" s="13">
        <v>100</v>
      </c>
      <c r="E781" s="5">
        <v>38037</v>
      </c>
      <c r="F781" s="2" t="s">
        <v>13</v>
      </c>
      <c r="G781" s="2" t="s">
        <v>207</v>
      </c>
      <c r="H781" s="3">
        <v>1</v>
      </c>
      <c r="I781" s="6">
        <v>2004</v>
      </c>
      <c r="J781" s="2" t="s">
        <v>22</v>
      </c>
      <c r="K781" s="2" t="s">
        <v>43</v>
      </c>
      <c r="L781" s="7">
        <f t="shared" si="36"/>
        <v>4700</v>
      </c>
      <c r="M781" s="2" t="str">
        <f t="shared" si="37"/>
        <v>February</v>
      </c>
      <c r="N781" s="6">
        <f t="shared" si="38"/>
        <v>2004</v>
      </c>
    </row>
    <row r="782" spans="1:14">
      <c r="A782" s="2" t="s">
        <v>141</v>
      </c>
      <c r="B782" s="3">
        <v>10235</v>
      </c>
      <c r="C782" s="3">
        <v>24</v>
      </c>
      <c r="D782" s="13">
        <v>76.03</v>
      </c>
      <c r="E782" s="5">
        <v>38079</v>
      </c>
      <c r="F782" s="2" t="s">
        <v>13</v>
      </c>
      <c r="G782" s="2" t="s">
        <v>207</v>
      </c>
      <c r="H782" s="3">
        <v>2</v>
      </c>
      <c r="I782" s="6">
        <v>2004</v>
      </c>
      <c r="J782" s="2" t="s">
        <v>15</v>
      </c>
      <c r="K782" s="2" t="s">
        <v>142</v>
      </c>
      <c r="L782" s="7">
        <f t="shared" si="36"/>
        <v>1824.72</v>
      </c>
      <c r="M782" s="2" t="str">
        <f t="shared" si="37"/>
        <v>April</v>
      </c>
      <c r="N782" s="6">
        <f t="shared" si="38"/>
        <v>2004</v>
      </c>
    </row>
    <row r="783" spans="1:14">
      <c r="A783" s="2" t="s">
        <v>149</v>
      </c>
      <c r="B783" s="3">
        <v>10250</v>
      </c>
      <c r="C783" s="3">
        <v>27</v>
      </c>
      <c r="D783" s="13">
        <v>98.84</v>
      </c>
      <c r="E783" s="5">
        <v>38118</v>
      </c>
      <c r="F783" s="2" t="s">
        <v>13</v>
      </c>
      <c r="G783" s="2" t="s">
        <v>207</v>
      </c>
      <c r="H783" s="3">
        <v>2</v>
      </c>
      <c r="I783" s="6">
        <v>2004</v>
      </c>
      <c r="J783" s="2" t="s">
        <v>15</v>
      </c>
      <c r="K783" s="2" t="s">
        <v>150</v>
      </c>
      <c r="L783" s="7">
        <f t="shared" si="36"/>
        <v>2668.68</v>
      </c>
      <c r="M783" s="2" t="str">
        <f t="shared" si="37"/>
        <v>May</v>
      </c>
      <c r="N783" s="6">
        <f t="shared" si="38"/>
        <v>2004</v>
      </c>
    </row>
    <row r="784" spans="1:14">
      <c r="A784" s="2" t="s">
        <v>48</v>
      </c>
      <c r="B784" s="3">
        <v>10263</v>
      </c>
      <c r="C784" s="3">
        <v>33</v>
      </c>
      <c r="D784" s="13">
        <v>86.17</v>
      </c>
      <c r="E784" s="5">
        <v>38166</v>
      </c>
      <c r="F784" s="2" t="s">
        <v>13</v>
      </c>
      <c r="G784" s="2" t="s">
        <v>207</v>
      </c>
      <c r="H784" s="3">
        <v>2</v>
      </c>
      <c r="I784" s="6">
        <v>2004</v>
      </c>
      <c r="J784" s="2" t="s">
        <v>15</v>
      </c>
      <c r="K784" s="2" t="s">
        <v>49</v>
      </c>
      <c r="L784" s="7">
        <f t="shared" si="36"/>
        <v>2843.61</v>
      </c>
      <c r="M784" s="2" t="str">
        <f t="shared" si="37"/>
        <v>June</v>
      </c>
      <c r="N784" s="6">
        <f t="shared" si="38"/>
        <v>2004</v>
      </c>
    </row>
    <row r="785" spans="1:14">
      <c r="A785" s="2" t="s">
        <v>50</v>
      </c>
      <c r="B785" s="3">
        <v>10275</v>
      </c>
      <c r="C785" s="3">
        <v>35</v>
      </c>
      <c r="D785" s="13">
        <v>90.39</v>
      </c>
      <c r="E785" s="5">
        <v>38191</v>
      </c>
      <c r="F785" s="2" t="s">
        <v>13</v>
      </c>
      <c r="G785" s="2" t="s">
        <v>207</v>
      </c>
      <c r="H785" s="3">
        <v>3</v>
      </c>
      <c r="I785" s="6">
        <v>2004</v>
      </c>
      <c r="J785" s="2" t="s">
        <v>22</v>
      </c>
      <c r="K785" s="2" t="s">
        <v>51</v>
      </c>
      <c r="L785" s="7">
        <f t="shared" si="36"/>
        <v>3163.65</v>
      </c>
      <c r="M785" s="2" t="str">
        <f t="shared" si="37"/>
        <v>July</v>
      </c>
      <c r="N785" s="6">
        <f t="shared" si="38"/>
        <v>2004</v>
      </c>
    </row>
    <row r="786" spans="1:14">
      <c r="A786" s="2" t="s">
        <v>200</v>
      </c>
      <c r="B786" s="3">
        <v>10284</v>
      </c>
      <c r="C786" s="3">
        <v>31</v>
      </c>
      <c r="D786" s="13">
        <v>71.81</v>
      </c>
      <c r="E786" s="5">
        <v>38220</v>
      </c>
      <c r="F786" s="2" t="s">
        <v>13</v>
      </c>
      <c r="G786" s="2" t="s">
        <v>207</v>
      </c>
      <c r="H786" s="3">
        <v>3</v>
      </c>
      <c r="I786" s="6">
        <v>2004</v>
      </c>
      <c r="J786" s="2" t="s">
        <v>15</v>
      </c>
      <c r="K786" s="2" t="s">
        <v>201</v>
      </c>
      <c r="L786" s="7">
        <f t="shared" si="36"/>
        <v>2226.11</v>
      </c>
      <c r="M786" s="2" t="str">
        <f t="shared" si="37"/>
        <v>August</v>
      </c>
      <c r="N786" s="6">
        <f t="shared" si="38"/>
        <v>2004</v>
      </c>
    </row>
    <row r="787" spans="1:14">
      <c r="A787" s="2" t="s">
        <v>179</v>
      </c>
      <c r="B787" s="3">
        <v>10297</v>
      </c>
      <c r="C787" s="3">
        <v>25</v>
      </c>
      <c r="D787" s="13">
        <v>82.79</v>
      </c>
      <c r="E787" s="5">
        <v>38246</v>
      </c>
      <c r="F787" s="2" t="s">
        <v>13</v>
      </c>
      <c r="G787" s="2" t="s">
        <v>207</v>
      </c>
      <c r="H787" s="3">
        <v>3</v>
      </c>
      <c r="I787" s="6">
        <v>2004</v>
      </c>
      <c r="J787" s="2" t="s">
        <v>15</v>
      </c>
      <c r="K787" s="2" t="s">
        <v>180</v>
      </c>
      <c r="L787" s="7">
        <f t="shared" si="36"/>
        <v>2069.75</v>
      </c>
      <c r="M787" s="2" t="str">
        <f t="shared" si="37"/>
        <v>September</v>
      </c>
      <c r="N787" s="6">
        <f t="shared" si="38"/>
        <v>2004</v>
      </c>
    </row>
    <row r="788" spans="1:14">
      <c r="A788" s="2" t="s">
        <v>120</v>
      </c>
      <c r="B788" s="3">
        <v>10308</v>
      </c>
      <c r="C788" s="3">
        <v>27</v>
      </c>
      <c r="D788" s="13">
        <v>82.79</v>
      </c>
      <c r="E788" s="5">
        <v>38275</v>
      </c>
      <c r="F788" s="2" t="s">
        <v>13</v>
      </c>
      <c r="G788" s="2" t="s">
        <v>207</v>
      </c>
      <c r="H788" s="3">
        <v>4</v>
      </c>
      <c r="I788" s="6">
        <v>2004</v>
      </c>
      <c r="J788" s="2" t="s">
        <v>15</v>
      </c>
      <c r="K788" s="2" t="s">
        <v>121</v>
      </c>
      <c r="L788" s="7">
        <f t="shared" si="36"/>
        <v>2235.33</v>
      </c>
      <c r="M788" s="2" t="str">
        <f t="shared" si="37"/>
        <v>October</v>
      </c>
      <c r="N788" s="6">
        <f t="shared" si="38"/>
        <v>2004</v>
      </c>
    </row>
    <row r="789" spans="1:14">
      <c r="A789" s="2" t="s">
        <v>58</v>
      </c>
      <c r="B789" s="3">
        <v>10318</v>
      </c>
      <c r="C789" s="3">
        <v>31</v>
      </c>
      <c r="D789" s="13">
        <v>100</v>
      </c>
      <c r="E789" s="5">
        <v>38293</v>
      </c>
      <c r="F789" s="2" t="s">
        <v>13</v>
      </c>
      <c r="G789" s="2" t="s">
        <v>207</v>
      </c>
      <c r="H789" s="3">
        <v>4</v>
      </c>
      <c r="I789" s="6">
        <v>2004</v>
      </c>
      <c r="J789" s="2" t="s">
        <v>22</v>
      </c>
      <c r="K789" s="2" t="s">
        <v>59</v>
      </c>
      <c r="L789" s="7">
        <f t="shared" si="36"/>
        <v>3100</v>
      </c>
      <c r="M789" s="2" t="str">
        <f t="shared" si="37"/>
        <v>November</v>
      </c>
      <c r="N789" s="6">
        <f t="shared" si="38"/>
        <v>2004</v>
      </c>
    </row>
    <row r="790" spans="1:14">
      <c r="A790" s="2" t="s">
        <v>122</v>
      </c>
      <c r="B790" s="3">
        <v>10327</v>
      </c>
      <c r="C790" s="3">
        <v>45</v>
      </c>
      <c r="D790" s="13">
        <v>100</v>
      </c>
      <c r="E790" s="5">
        <v>38301</v>
      </c>
      <c r="F790" s="2" t="s">
        <v>155</v>
      </c>
      <c r="G790" s="2" t="s">
        <v>207</v>
      </c>
      <c r="H790" s="3">
        <v>4</v>
      </c>
      <c r="I790" s="6">
        <v>2004</v>
      </c>
      <c r="J790" s="2" t="s">
        <v>22</v>
      </c>
      <c r="K790" s="2" t="s">
        <v>123</v>
      </c>
      <c r="L790" s="7">
        <f t="shared" si="36"/>
        <v>4500</v>
      </c>
      <c r="M790" s="2" t="str">
        <f t="shared" si="37"/>
        <v>November</v>
      </c>
      <c r="N790" s="6">
        <f t="shared" si="38"/>
        <v>2004</v>
      </c>
    </row>
    <row r="791" spans="1:14">
      <c r="A791" s="2" t="s">
        <v>95</v>
      </c>
      <c r="B791" s="3">
        <v>10339</v>
      </c>
      <c r="C791" s="3">
        <v>27</v>
      </c>
      <c r="D791" s="13">
        <v>100</v>
      </c>
      <c r="E791" s="5">
        <v>38314</v>
      </c>
      <c r="F791" s="2" t="s">
        <v>13</v>
      </c>
      <c r="G791" s="2" t="s">
        <v>207</v>
      </c>
      <c r="H791" s="3">
        <v>4</v>
      </c>
      <c r="I791" s="6">
        <v>2004</v>
      </c>
      <c r="J791" s="2" t="s">
        <v>15</v>
      </c>
      <c r="K791" s="2" t="s">
        <v>96</v>
      </c>
      <c r="L791" s="7">
        <f t="shared" si="36"/>
        <v>2700</v>
      </c>
      <c r="M791" s="2" t="str">
        <f t="shared" si="37"/>
        <v>November</v>
      </c>
      <c r="N791" s="6">
        <f t="shared" si="38"/>
        <v>2004</v>
      </c>
    </row>
    <row r="792" spans="1:14">
      <c r="A792" s="2" t="s">
        <v>208</v>
      </c>
      <c r="B792" s="3">
        <v>10353</v>
      </c>
      <c r="C792" s="3">
        <v>27</v>
      </c>
      <c r="D792" s="13">
        <v>100</v>
      </c>
      <c r="E792" s="5">
        <v>38325</v>
      </c>
      <c r="F792" s="2" t="s">
        <v>13</v>
      </c>
      <c r="G792" s="2" t="s">
        <v>207</v>
      </c>
      <c r="H792" s="3">
        <v>4</v>
      </c>
      <c r="I792" s="6">
        <v>2004</v>
      </c>
      <c r="J792" s="2" t="s">
        <v>22</v>
      </c>
      <c r="K792" s="2" t="s">
        <v>209</v>
      </c>
      <c r="L792" s="7">
        <f t="shared" si="36"/>
        <v>2700</v>
      </c>
      <c r="M792" s="2" t="str">
        <f t="shared" si="37"/>
        <v>December</v>
      </c>
      <c r="N792" s="6">
        <f t="shared" si="38"/>
        <v>2004</v>
      </c>
    </row>
    <row r="793" spans="1:14">
      <c r="A793" s="2" t="s">
        <v>81</v>
      </c>
      <c r="B793" s="3">
        <v>10374</v>
      </c>
      <c r="C793" s="3">
        <v>42</v>
      </c>
      <c r="D793" s="13">
        <v>69.27</v>
      </c>
      <c r="E793" s="5">
        <v>38385</v>
      </c>
      <c r="F793" s="2" t="s">
        <v>13</v>
      </c>
      <c r="G793" s="2" t="s">
        <v>207</v>
      </c>
      <c r="H793" s="3">
        <v>1</v>
      </c>
      <c r="I793" s="6">
        <v>2005</v>
      </c>
      <c r="J793" s="2" t="s">
        <v>15</v>
      </c>
      <c r="K793" s="2" t="s">
        <v>82</v>
      </c>
      <c r="L793" s="7">
        <f t="shared" si="36"/>
        <v>2909.34</v>
      </c>
      <c r="M793" s="2" t="str">
        <f t="shared" si="37"/>
        <v>February</v>
      </c>
      <c r="N793" s="6">
        <f t="shared" si="38"/>
        <v>2005</v>
      </c>
    </row>
    <row r="794" spans="1:14">
      <c r="A794" s="2" t="s">
        <v>69</v>
      </c>
      <c r="B794" s="3">
        <v>10386</v>
      </c>
      <c r="C794" s="3">
        <v>21</v>
      </c>
      <c r="D794" s="13">
        <v>74.77</v>
      </c>
      <c r="E794" s="5">
        <v>38412</v>
      </c>
      <c r="F794" s="2" t="s">
        <v>155</v>
      </c>
      <c r="G794" s="2" t="s">
        <v>207</v>
      </c>
      <c r="H794" s="3">
        <v>1</v>
      </c>
      <c r="I794" s="6">
        <v>2005</v>
      </c>
      <c r="J794" s="2" t="s">
        <v>15</v>
      </c>
      <c r="K794" s="2" t="s">
        <v>71</v>
      </c>
      <c r="L794" s="7">
        <f t="shared" si="36"/>
        <v>1570.17</v>
      </c>
      <c r="M794" s="2" t="str">
        <f t="shared" si="37"/>
        <v>March</v>
      </c>
      <c r="N794" s="6">
        <f t="shared" si="38"/>
        <v>2005</v>
      </c>
    </row>
    <row r="795" spans="1:14">
      <c r="A795" s="2" t="s">
        <v>18</v>
      </c>
      <c r="B795" s="3">
        <v>10398</v>
      </c>
      <c r="C795" s="3">
        <v>34</v>
      </c>
      <c r="D795" s="13">
        <v>76.88</v>
      </c>
      <c r="E795" s="5">
        <v>38441</v>
      </c>
      <c r="F795" s="2" t="s">
        <v>13</v>
      </c>
      <c r="G795" s="2" t="s">
        <v>207</v>
      </c>
      <c r="H795" s="3">
        <v>1</v>
      </c>
      <c r="I795" s="6">
        <v>2005</v>
      </c>
      <c r="J795" s="2" t="s">
        <v>15</v>
      </c>
      <c r="K795" s="2" t="s">
        <v>19</v>
      </c>
      <c r="L795" s="7">
        <f t="shared" si="36"/>
        <v>2613.92</v>
      </c>
      <c r="M795" s="2" t="str">
        <f t="shared" si="37"/>
        <v>March</v>
      </c>
      <c r="N795" s="6">
        <f t="shared" si="38"/>
        <v>2005</v>
      </c>
    </row>
    <row r="796" spans="1:14">
      <c r="A796" s="2" t="s">
        <v>46</v>
      </c>
      <c r="B796" s="3">
        <v>10401</v>
      </c>
      <c r="C796" s="3">
        <v>42</v>
      </c>
      <c r="D796" s="13">
        <v>76.03</v>
      </c>
      <c r="E796" s="5">
        <v>38445</v>
      </c>
      <c r="F796" s="2" t="s">
        <v>151</v>
      </c>
      <c r="G796" s="2" t="s">
        <v>207</v>
      </c>
      <c r="H796" s="3">
        <v>2</v>
      </c>
      <c r="I796" s="6">
        <v>2005</v>
      </c>
      <c r="J796" s="2" t="s">
        <v>22</v>
      </c>
      <c r="K796" s="2" t="s">
        <v>47</v>
      </c>
      <c r="L796" s="7">
        <f t="shared" si="36"/>
        <v>3193.26</v>
      </c>
      <c r="M796" s="2" t="str">
        <f t="shared" si="37"/>
        <v>April</v>
      </c>
      <c r="N796" s="6">
        <f t="shared" si="38"/>
        <v>2005</v>
      </c>
    </row>
    <row r="797" spans="1:14">
      <c r="A797" s="2" t="s">
        <v>169</v>
      </c>
      <c r="B797" s="3">
        <v>10416</v>
      </c>
      <c r="C797" s="3">
        <v>15</v>
      </c>
      <c r="D797" s="13">
        <v>98.84</v>
      </c>
      <c r="E797" s="5">
        <v>38482</v>
      </c>
      <c r="F797" s="2" t="s">
        <v>13</v>
      </c>
      <c r="G797" s="2" t="s">
        <v>207</v>
      </c>
      <c r="H797" s="3">
        <v>2</v>
      </c>
      <c r="I797" s="6">
        <v>2005</v>
      </c>
      <c r="J797" s="2" t="s">
        <v>15</v>
      </c>
      <c r="K797" s="2" t="s">
        <v>170</v>
      </c>
      <c r="L797" s="7">
        <f t="shared" si="36"/>
        <v>1482.6</v>
      </c>
      <c r="M797" s="2" t="str">
        <f t="shared" si="37"/>
        <v>May</v>
      </c>
      <c r="N797" s="6">
        <f t="shared" si="38"/>
        <v>2005</v>
      </c>
    </row>
    <row r="798" spans="1:14">
      <c r="A798" s="2" t="s">
        <v>12</v>
      </c>
      <c r="B798" s="3">
        <v>10107</v>
      </c>
      <c r="C798" s="3">
        <v>29</v>
      </c>
      <c r="D798" s="13">
        <v>70.87</v>
      </c>
      <c r="E798" s="5">
        <v>37676</v>
      </c>
      <c r="F798" s="2" t="s">
        <v>13</v>
      </c>
      <c r="G798" s="2" t="s">
        <v>14</v>
      </c>
      <c r="H798" s="3">
        <v>1</v>
      </c>
      <c r="I798" s="6">
        <v>2003</v>
      </c>
      <c r="J798" s="2" t="s">
        <v>15</v>
      </c>
      <c r="K798" s="2" t="s">
        <v>16</v>
      </c>
      <c r="L798" s="7">
        <f t="shared" si="36"/>
        <v>2055.23</v>
      </c>
      <c r="M798" s="2" t="str">
        <f t="shared" si="37"/>
        <v>February</v>
      </c>
      <c r="N798" s="6">
        <f t="shared" si="38"/>
        <v>2003</v>
      </c>
    </row>
    <row r="799" spans="1:14">
      <c r="A799" s="2" t="s">
        <v>42</v>
      </c>
      <c r="B799" s="3">
        <v>10120</v>
      </c>
      <c r="C799" s="3">
        <v>46</v>
      </c>
      <c r="D799" s="13">
        <v>58.15</v>
      </c>
      <c r="E799" s="5">
        <v>37740</v>
      </c>
      <c r="F799" s="2" t="s">
        <v>13</v>
      </c>
      <c r="G799" s="2" t="s">
        <v>14</v>
      </c>
      <c r="H799" s="3">
        <v>2</v>
      </c>
      <c r="I799" s="6">
        <v>2003</v>
      </c>
      <c r="J799" s="2" t="s">
        <v>15</v>
      </c>
      <c r="K799" s="2" t="s">
        <v>43</v>
      </c>
      <c r="L799" s="7">
        <f t="shared" si="36"/>
        <v>2674.9</v>
      </c>
      <c r="M799" s="2" t="str">
        <f t="shared" si="37"/>
        <v>April</v>
      </c>
      <c r="N799" s="6">
        <f t="shared" si="38"/>
        <v>2003</v>
      </c>
    </row>
    <row r="800" spans="1:14">
      <c r="A800" s="2" t="s">
        <v>21</v>
      </c>
      <c r="B800" s="3">
        <v>10134</v>
      </c>
      <c r="C800" s="3">
        <v>30</v>
      </c>
      <c r="D800" s="13">
        <v>61.78</v>
      </c>
      <c r="E800" s="5">
        <v>37803</v>
      </c>
      <c r="F800" s="2" t="s">
        <v>13</v>
      </c>
      <c r="G800" s="2" t="s">
        <v>14</v>
      </c>
      <c r="H800" s="3">
        <v>3</v>
      </c>
      <c r="I800" s="6">
        <v>2003</v>
      </c>
      <c r="J800" s="2" t="s">
        <v>15</v>
      </c>
      <c r="K800" s="2" t="s">
        <v>23</v>
      </c>
      <c r="L800" s="7">
        <f t="shared" si="36"/>
        <v>1853.4</v>
      </c>
      <c r="M800" s="2" t="str">
        <f t="shared" si="37"/>
        <v>July</v>
      </c>
      <c r="N800" s="6">
        <f t="shared" si="38"/>
        <v>2003</v>
      </c>
    </row>
    <row r="801" spans="1:14">
      <c r="A801" s="2" t="s">
        <v>25</v>
      </c>
      <c r="B801" s="3">
        <v>10145</v>
      </c>
      <c r="C801" s="3">
        <v>30</v>
      </c>
      <c r="D801" s="13">
        <v>49.67</v>
      </c>
      <c r="E801" s="5">
        <v>37858</v>
      </c>
      <c r="F801" s="2" t="s">
        <v>13</v>
      </c>
      <c r="G801" s="2" t="s">
        <v>14</v>
      </c>
      <c r="H801" s="3">
        <v>3</v>
      </c>
      <c r="I801" s="6">
        <v>2003</v>
      </c>
      <c r="J801" s="2" t="s">
        <v>15</v>
      </c>
      <c r="K801" s="2" t="s">
        <v>26</v>
      </c>
      <c r="L801" s="7">
        <f t="shared" si="36"/>
        <v>1490.1</v>
      </c>
      <c r="M801" s="2" t="str">
        <f t="shared" si="37"/>
        <v>August</v>
      </c>
      <c r="N801" s="6">
        <f t="shared" si="38"/>
        <v>2003</v>
      </c>
    </row>
    <row r="802" spans="1:14">
      <c r="A802" s="2" t="s">
        <v>28</v>
      </c>
      <c r="B802" s="3">
        <v>10159</v>
      </c>
      <c r="C802" s="3">
        <v>42</v>
      </c>
      <c r="D802" s="13">
        <v>51.48</v>
      </c>
      <c r="E802" s="5">
        <v>37904</v>
      </c>
      <c r="F802" s="2" t="s">
        <v>13</v>
      </c>
      <c r="G802" s="2" t="s">
        <v>14</v>
      </c>
      <c r="H802" s="3">
        <v>4</v>
      </c>
      <c r="I802" s="6">
        <v>2003</v>
      </c>
      <c r="J802" s="2" t="s">
        <v>15</v>
      </c>
      <c r="K802" s="2" t="s">
        <v>29</v>
      </c>
      <c r="L802" s="7">
        <f t="shared" si="36"/>
        <v>2162.16</v>
      </c>
      <c r="M802" s="2" t="str">
        <f t="shared" si="37"/>
        <v>October</v>
      </c>
      <c r="N802" s="6">
        <f t="shared" si="38"/>
        <v>2003</v>
      </c>
    </row>
    <row r="803" spans="1:14">
      <c r="A803" s="2" t="s">
        <v>31</v>
      </c>
      <c r="B803" s="3">
        <v>10168</v>
      </c>
      <c r="C803" s="3">
        <v>46</v>
      </c>
      <c r="D803" s="13">
        <v>61.18</v>
      </c>
      <c r="E803" s="5">
        <v>37922</v>
      </c>
      <c r="F803" s="2" t="s">
        <v>13</v>
      </c>
      <c r="G803" s="2" t="s">
        <v>14</v>
      </c>
      <c r="H803" s="3">
        <v>4</v>
      </c>
      <c r="I803" s="6">
        <v>2003</v>
      </c>
      <c r="J803" s="2" t="s">
        <v>15</v>
      </c>
      <c r="K803" s="2" t="s">
        <v>32</v>
      </c>
      <c r="L803" s="7">
        <f t="shared" si="36"/>
        <v>2814.28</v>
      </c>
      <c r="M803" s="2" t="str">
        <f t="shared" si="37"/>
        <v>October</v>
      </c>
      <c r="N803" s="6">
        <f t="shared" si="38"/>
        <v>2003</v>
      </c>
    </row>
    <row r="804" spans="1:14">
      <c r="A804" s="2" t="s">
        <v>34</v>
      </c>
      <c r="B804" s="3">
        <v>10180</v>
      </c>
      <c r="C804" s="3">
        <v>25</v>
      </c>
      <c r="D804" s="13">
        <v>64.2</v>
      </c>
      <c r="E804" s="5">
        <v>37936</v>
      </c>
      <c r="F804" s="2" t="s">
        <v>13</v>
      </c>
      <c r="G804" s="2" t="s">
        <v>14</v>
      </c>
      <c r="H804" s="3">
        <v>4</v>
      </c>
      <c r="I804" s="6">
        <v>2003</v>
      </c>
      <c r="J804" s="2" t="s">
        <v>15</v>
      </c>
      <c r="K804" s="2" t="s">
        <v>35</v>
      </c>
      <c r="L804" s="7">
        <f t="shared" si="36"/>
        <v>1605</v>
      </c>
      <c r="M804" s="2" t="str">
        <f t="shared" si="37"/>
        <v>November</v>
      </c>
      <c r="N804" s="6">
        <f t="shared" si="38"/>
        <v>2003</v>
      </c>
    </row>
    <row r="805" spans="1:14">
      <c r="A805" s="2" t="s">
        <v>36</v>
      </c>
      <c r="B805" s="3">
        <v>10188</v>
      </c>
      <c r="C805" s="3">
        <v>32</v>
      </c>
      <c r="D805" s="13">
        <v>65.42</v>
      </c>
      <c r="E805" s="5">
        <v>37943</v>
      </c>
      <c r="F805" s="2" t="s">
        <v>13</v>
      </c>
      <c r="G805" s="2" t="s">
        <v>14</v>
      </c>
      <c r="H805" s="3">
        <v>4</v>
      </c>
      <c r="I805" s="6">
        <v>2003</v>
      </c>
      <c r="J805" s="2" t="s">
        <v>15</v>
      </c>
      <c r="K805" s="2" t="s">
        <v>37</v>
      </c>
      <c r="L805" s="7">
        <f t="shared" si="36"/>
        <v>2093.44</v>
      </c>
      <c r="M805" s="2" t="str">
        <f t="shared" si="37"/>
        <v>November</v>
      </c>
      <c r="N805" s="6">
        <f t="shared" si="38"/>
        <v>2003</v>
      </c>
    </row>
    <row r="806" spans="1:14">
      <c r="A806" s="2" t="s">
        <v>38</v>
      </c>
      <c r="B806" s="3">
        <v>10201</v>
      </c>
      <c r="C806" s="3">
        <v>30</v>
      </c>
      <c r="D806" s="13">
        <v>64.81</v>
      </c>
      <c r="E806" s="5">
        <v>37956</v>
      </c>
      <c r="F806" s="2" t="s">
        <v>13</v>
      </c>
      <c r="G806" s="2" t="s">
        <v>14</v>
      </c>
      <c r="H806" s="3">
        <v>4</v>
      </c>
      <c r="I806" s="6">
        <v>2003</v>
      </c>
      <c r="J806" s="2" t="s">
        <v>15</v>
      </c>
      <c r="K806" s="2" t="s">
        <v>39</v>
      </c>
      <c r="L806" s="7">
        <f t="shared" si="36"/>
        <v>1944.3</v>
      </c>
      <c r="M806" s="2" t="str">
        <f t="shared" si="37"/>
        <v>December</v>
      </c>
      <c r="N806" s="6">
        <f t="shared" si="38"/>
        <v>2003</v>
      </c>
    </row>
    <row r="807" spans="1:14">
      <c r="A807" s="2" t="s">
        <v>114</v>
      </c>
      <c r="B807" s="3">
        <v>10210</v>
      </c>
      <c r="C807" s="3">
        <v>40</v>
      </c>
      <c r="D807" s="13">
        <v>49.67</v>
      </c>
      <c r="E807" s="5">
        <v>37998</v>
      </c>
      <c r="F807" s="2" t="s">
        <v>13</v>
      </c>
      <c r="G807" s="2" t="s">
        <v>14</v>
      </c>
      <c r="H807" s="3">
        <v>1</v>
      </c>
      <c r="I807" s="6">
        <v>2004</v>
      </c>
      <c r="J807" s="2" t="s">
        <v>15</v>
      </c>
      <c r="K807" s="2" t="s">
        <v>115</v>
      </c>
      <c r="L807" s="7">
        <f t="shared" si="36"/>
        <v>1986.8</v>
      </c>
      <c r="M807" s="2" t="str">
        <f t="shared" si="37"/>
        <v>January</v>
      </c>
      <c r="N807" s="6">
        <f t="shared" si="38"/>
        <v>2004</v>
      </c>
    </row>
    <row r="808" spans="1:14">
      <c r="A808" s="2" t="s">
        <v>42</v>
      </c>
      <c r="B808" s="3">
        <v>10223</v>
      </c>
      <c r="C808" s="3">
        <v>28</v>
      </c>
      <c r="D808" s="13">
        <v>60.57</v>
      </c>
      <c r="E808" s="5">
        <v>38037</v>
      </c>
      <c r="F808" s="2" t="s">
        <v>13</v>
      </c>
      <c r="G808" s="2" t="s">
        <v>14</v>
      </c>
      <c r="H808" s="3">
        <v>1</v>
      </c>
      <c r="I808" s="6">
        <v>2004</v>
      </c>
      <c r="J808" s="2" t="s">
        <v>15</v>
      </c>
      <c r="K808" s="2" t="s">
        <v>43</v>
      </c>
      <c r="L808" s="7">
        <f t="shared" si="36"/>
        <v>1695.96</v>
      </c>
      <c r="M808" s="2" t="str">
        <f t="shared" si="37"/>
        <v>February</v>
      </c>
      <c r="N808" s="6">
        <f t="shared" si="38"/>
        <v>2004</v>
      </c>
    </row>
    <row r="809" spans="1:14">
      <c r="A809" s="2" t="s">
        <v>116</v>
      </c>
      <c r="B809" s="3">
        <v>10236</v>
      </c>
      <c r="C809" s="3">
        <v>23</v>
      </c>
      <c r="D809" s="13">
        <v>55.72</v>
      </c>
      <c r="E809" s="5">
        <v>38080</v>
      </c>
      <c r="F809" s="2" t="s">
        <v>13</v>
      </c>
      <c r="G809" s="2" t="s">
        <v>14</v>
      </c>
      <c r="H809" s="3">
        <v>2</v>
      </c>
      <c r="I809" s="6">
        <v>2004</v>
      </c>
      <c r="J809" s="2" t="s">
        <v>15</v>
      </c>
      <c r="K809" s="2" t="s">
        <v>117</v>
      </c>
      <c r="L809" s="7">
        <f t="shared" si="36"/>
        <v>1281.56</v>
      </c>
      <c r="M809" s="2" t="str">
        <f t="shared" si="37"/>
        <v>April</v>
      </c>
      <c r="N809" s="6">
        <f t="shared" si="38"/>
        <v>2004</v>
      </c>
    </row>
    <row r="810" spans="1:14">
      <c r="A810" s="2" t="s">
        <v>46</v>
      </c>
      <c r="B810" s="3">
        <v>10251</v>
      </c>
      <c r="C810" s="3">
        <v>29</v>
      </c>
      <c r="D810" s="13">
        <v>61.18</v>
      </c>
      <c r="E810" s="5">
        <v>38125</v>
      </c>
      <c r="F810" s="2" t="s">
        <v>13</v>
      </c>
      <c r="G810" s="2" t="s">
        <v>14</v>
      </c>
      <c r="H810" s="3">
        <v>2</v>
      </c>
      <c r="I810" s="6">
        <v>2004</v>
      </c>
      <c r="J810" s="2" t="s">
        <v>15</v>
      </c>
      <c r="K810" s="2" t="s">
        <v>47</v>
      </c>
      <c r="L810" s="7">
        <f t="shared" si="36"/>
        <v>1774.22</v>
      </c>
      <c r="M810" s="2" t="str">
        <f t="shared" si="37"/>
        <v>May</v>
      </c>
      <c r="N810" s="6">
        <f t="shared" si="38"/>
        <v>2004</v>
      </c>
    </row>
    <row r="811" spans="1:14">
      <c r="A811" s="2" t="s">
        <v>48</v>
      </c>
      <c r="B811" s="3">
        <v>10263</v>
      </c>
      <c r="C811" s="3">
        <v>34</v>
      </c>
      <c r="D811" s="13">
        <v>58.75</v>
      </c>
      <c r="E811" s="5">
        <v>38166</v>
      </c>
      <c r="F811" s="2" t="s">
        <v>13</v>
      </c>
      <c r="G811" s="2" t="s">
        <v>14</v>
      </c>
      <c r="H811" s="3">
        <v>2</v>
      </c>
      <c r="I811" s="6">
        <v>2004</v>
      </c>
      <c r="J811" s="2" t="s">
        <v>15</v>
      </c>
      <c r="K811" s="2" t="s">
        <v>49</v>
      </c>
      <c r="L811" s="7">
        <f t="shared" si="36"/>
        <v>1997.5</v>
      </c>
      <c r="M811" s="2" t="str">
        <f t="shared" si="37"/>
        <v>June</v>
      </c>
      <c r="N811" s="6">
        <f t="shared" si="38"/>
        <v>2004</v>
      </c>
    </row>
    <row r="812" spans="1:14">
      <c r="A812" s="2" t="s">
        <v>50</v>
      </c>
      <c r="B812" s="3">
        <v>10275</v>
      </c>
      <c r="C812" s="3">
        <v>37</v>
      </c>
      <c r="D812" s="13">
        <v>63.6</v>
      </c>
      <c r="E812" s="5">
        <v>38191</v>
      </c>
      <c r="F812" s="2" t="s">
        <v>13</v>
      </c>
      <c r="G812" s="2" t="s">
        <v>14</v>
      </c>
      <c r="H812" s="3">
        <v>3</v>
      </c>
      <c r="I812" s="6">
        <v>2004</v>
      </c>
      <c r="J812" s="2" t="s">
        <v>15</v>
      </c>
      <c r="K812" s="2" t="s">
        <v>51</v>
      </c>
      <c r="L812" s="7">
        <f t="shared" si="36"/>
        <v>2353.2</v>
      </c>
      <c r="M812" s="2" t="str">
        <f t="shared" si="37"/>
        <v>July</v>
      </c>
      <c r="N812" s="6">
        <f t="shared" si="38"/>
        <v>2004</v>
      </c>
    </row>
    <row r="813" spans="1:14">
      <c r="A813" s="2" t="s">
        <v>52</v>
      </c>
      <c r="B813" s="3">
        <v>10285</v>
      </c>
      <c r="C813" s="3">
        <v>20</v>
      </c>
      <c r="D813" s="13">
        <v>49.06</v>
      </c>
      <c r="E813" s="5">
        <v>38226</v>
      </c>
      <c r="F813" s="2" t="s">
        <v>13</v>
      </c>
      <c r="G813" s="2" t="s">
        <v>14</v>
      </c>
      <c r="H813" s="3">
        <v>3</v>
      </c>
      <c r="I813" s="6">
        <v>2004</v>
      </c>
      <c r="J813" s="2" t="s">
        <v>15</v>
      </c>
      <c r="K813" s="2" t="s">
        <v>53</v>
      </c>
      <c r="L813" s="7">
        <f t="shared" si="36"/>
        <v>981.2</v>
      </c>
      <c r="M813" s="2" t="str">
        <f t="shared" si="37"/>
        <v>August</v>
      </c>
      <c r="N813" s="6">
        <f t="shared" si="38"/>
        <v>2004</v>
      </c>
    </row>
    <row r="814" spans="1:14">
      <c r="A814" s="2" t="s">
        <v>118</v>
      </c>
      <c r="B814" s="3">
        <v>10298</v>
      </c>
      <c r="C814" s="3">
        <v>32</v>
      </c>
      <c r="D814" s="13">
        <v>48.46</v>
      </c>
      <c r="E814" s="5">
        <v>38257</v>
      </c>
      <c r="F814" s="2" t="s">
        <v>13</v>
      </c>
      <c r="G814" s="2" t="s">
        <v>14</v>
      </c>
      <c r="H814" s="3">
        <v>3</v>
      </c>
      <c r="I814" s="6">
        <v>2004</v>
      </c>
      <c r="J814" s="2" t="s">
        <v>15</v>
      </c>
      <c r="K814" s="2" t="s">
        <v>119</v>
      </c>
      <c r="L814" s="7">
        <f t="shared" si="36"/>
        <v>1550.72</v>
      </c>
      <c r="M814" s="2" t="str">
        <f t="shared" si="37"/>
        <v>September</v>
      </c>
      <c r="N814" s="6">
        <f t="shared" si="38"/>
        <v>2004</v>
      </c>
    </row>
    <row r="815" spans="1:14">
      <c r="A815" s="2" t="s">
        <v>120</v>
      </c>
      <c r="B815" s="3">
        <v>10308</v>
      </c>
      <c r="C815" s="3">
        <v>34</v>
      </c>
      <c r="D815" s="13">
        <v>52.09</v>
      </c>
      <c r="E815" s="5">
        <v>38275</v>
      </c>
      <c r="F815" s="2" t="s">
        <v>13</v>
      </c>
      <c r="G815" s="2" t="s">
        <v>14</v>
      </c>
      <c r="H815" s="3">
        <v>4</v>
      </c>
      <c r="I815" s="6">
        <v>2004</v>
      </c>
      <c r="J815" s="2" t="s">
        <v>15</v>
      </c>
      <c r="K815" s="2" t="s">
        <v>121</v>
      </c>
      <c r="L815" s="7">
        <f t="shared" si="36"/>
        <v>1771.06</v>
      </c>
      <c r="M815" s="2" t="str">
        <f t="shared" si="37"/>
        <v>October</v>
      </c>
      <c r="N815" s="6">
        <f t="shared" si="38"/>
        <v>2004</v>
      </c>
    </row>
    <row r="816" spans="1:14">
      <c r="A816" s="2" t="s">
        <v>58</v>
      </c>
      <c r="B816" s="3">
        <v>10318</v>
      </c>
      <c r="C816" s="3">
        <v>42</v>
      </c>
      <c r="D816" s="13">
        <v>52.7</v>
      </c>
      <c r="E816" s="5">
        <v>38293</v>
      </c>
      <c r="F816" s="2" t="s">
        <v>13</v>
      </c>
      <c r="G816" s="2" t="s">
        <v>14</v>
      </c>
      <c r="H816" s="3">
        <v>4</v>
      </c>
      <c r="I816" s="6">
        <v>2004</v>
      </c>
      <c r="J816" s="2" t="s">
        <v>15</v>
      </c>
      <c r="K816" s="2" t="s">
        <v>59</v>
      </c>
      <c r="L816" s="7">
        <f t="shared" si="36"/>
        <v>2213.4</v>
      </c>
      <c r="M816" s="2" t="str">
        <f t="shared" si="37"/>
        <v>November</v>
      </c>
      <c r="N816" s="6">
        <f t="shared" si="38"/>
        <v>2004</v>
      </c>
    </row>
    <row r="817" spans="1:14">
      <c r="A817" s="2" t="s">
        <v>12</v>
      </c>
      <c r="B817" s="3">
        <v>10329</v>
      </c>
      <c r="C817" s="3">
        <v>38</v>
      </c>
      <c r="D817" s="13">
        <v>100</v>
      </c>
      <c r="E817" s="5">
        <v>38306</v>
      </c>
      <c r="F817" s="2" t="s">
        <v>13</v>
      </c>
      <c r="G817" s="2" t="s">
        <v>14</v>
      </c>
      <c r="H817" s="3">
        <v>4</v>
      </c>
      <c r="I817" s="6">
        <v>2004</v>
      </c>
      <c r="J817" s="2" t="s">
        <v>22</v>
      </c>
      <c r="K817" s="2" t="s">
        <v>16</v>
      </c>
      <c r="L817" s="7">
        <f t="shared" si="36"/>
        <v>3800</v>
      </c>
      <c r="M817" s="2" t="str">
        <f t="shared" si="37"/>
        <v>November</v>
      </c>
      <c r="N817" s="6">
        <f t="shared" si="38"/>
        <v>2004</v>
      </c>
    </row>
    <row r="818" spans="1:14">
      <c r="A818" s="2" t="s">
        <v>95</v>
      </c>
      <c r="B818" s="3">
        <v>10339</v>
      </c>
      <c r="C818" s="3">
        <v>30</v>
      </c>
      <c r="D818" s="13">
        <v>62.16</v>
      </c>
      <c r="E818" s="5">
        <v>38314</v>
      </c>
      <c r="F818" s="2" t="s">
        <v>13</v>
      </c>
      <c r="G818" s="2" t="s">
        <v>14</v>
      </c>
      <c r="H818" s="3">
        <v>4</v>
      </c>
      <c r="I818" s="6">
        <v>2004</v>
      </c>
      <c r="J818" s="2" t="s">
        <v>15</v>
      </c>
      <c r="K818" s="2" t="s">
        <v>96</v>
      </c>
      <c r="L818" s="7">
        <f t="shared" si="36"/>
        <v>1864.8</v>
      </c>
      <c r="M818" s="2" t="str">
        <f t="shared" si="37"/>
        <v>November</v>
      </c>
      <c r="N818" s="6">
        <f t="shared" si="38"/>
        <v>2004</v>
      </c>
    </row>
    <row r="819" spans="1:14">
      <c r="A819" s="2" t="s">
        <v>31</v>
      </c>
      <c r="B819" s="3">
        <v>10362</v>
      </c>
      <c r="C819" s="3">
        <v>23</v>
      </c>
      <c r="D819" s="13">
        <v>49.67</v>
      </c>
      <c r="E819" s="5">
        <v>38357</v>
      </c>
      <c r="F819" s="2" t="s">
        <v>13</v>
      </c>
      <c r="G819" s="2" t="s">
        <v>14</v>
      </c>
      <c r="H819" s="3">
        <v>1</v>
      </c>
      <c r="I819" s="6">
        <v>2005</v>
      </c>
      <c r="J819" s="2" t="s">
        <v>15</v>
      </c>
      <c r="K819" s="2" t="s">
        <v>32</v>
      </c>
      <c r="L819" s="7">
        <f t="shared" si="36"/>
        <v>1142.41</v>
      </c>
      <c r="M819" s="2" t="str">
        <f t="shared" si="37"/>
        <v>January</v>
      </c>
      <c r="N819" s="6">
        <f t="shared" si="38"/>
        <v>2005</v>
      </c>
    </row>
    <row r="820" spans="1:14">
      <c r="A820" s="2" t="s">
        <v>81</v>
      </c>
      <c r="B820" s="3">
        <v>10374</v>
      </c>
      <c r="C820" s="3">
        <v>22</v>
      </c>
      <c r="D820" s="13">
        <v>53.3</v>
      </c>
      <c r="E820" s="5">
        <v>38385</v>
      </c>
      <c r="F820" s="2" t="s">
        <v>13</v>
      </c>
      <c r="G820" s="2" t="s">
        <v>14</v>
      </c>
      <c r="H820" s="3">
        <v>1</v>
      </c>
      <c r="I820" s="6">
        <v>2005</v>
      </c>
      <c r="J820" s="2" t="s">
        <v>15</v>
      </c>
      <c r="K820" s="2" t="s">
        <v>82</v>
      </c>
      <c r="L820" s="7">
        <f t="shared" si="36"/>
        <v>1172.6</v>
      </c>
      <c r="M820" s="2" t="str">
        <f t="shared" si="37"/>
        <v>February</v>
      </c>
      <c r="N820" s="6">
        <f t="shared" si="38"/>
        <v>2005</v>
      </c>
    </row>
    <row r="821" spans="1:14">
      <c r="A821" s="2" t="s">
        <v>99</v>
      </c>
      <c r="B821" s="3">
        <v>10389</v>
      </c>
      <c r="C821" s="3">
        <v>39</v>
      </c>
      <c r="D821" s="13">
        <v>100</v>
      </c>
      <c r="E821" s="5">
        <v>38414</v>
      </c>
      <c r="F821" s="2" t="s">
        <v>13</v>
      </c>
      <c r="G821" s="2" t="s">
        <v>14</v>
      </c>
      <c r="H821" s="3">
        <v>1</v>
      </c>
      <c r="I821" s="6">
        <v>2005</v>
      </c>
      <c r="J821" s="2" t="s">
        <v>22</v>
      </c>
      <c r="K821" s="2" t="s">
        <v>100</v>
      </c>
      <c r="L821" s="7">
        <f t="shared" si="36"/>
        <v>3900</v>
      </c>
      <c r="M821" s="2" t="str">
        <f t="shared" si="37"/>
        <v>March</v>
      </c>
      <c r="N821" s="6">
        <f t="shared" si="38"/>
        <v>2005</v>
      </c>
    </row>
    <row r="822" spans="1:14">
      <c r="A822" s="2" t="s">
        <v>40</v>
      </c>
      <c r="B822" s="3">
        <v>10402</v>
      </c>
      <c r="C822" s="3">
        <v>55</v>
      </c>
      <c r="D822" s="13">
        <v>55.72</v>
      </c>
      <c r="E822" s="5">
        <v>38449</v>
      </c>
      <c r="F822" s="2" t="s">
        <v>13</v>
      </c>
      <c r="G822" s="2" t="s">
        <v>14</v>
      </c>
      <c r="H822" s="3">
        <v>2</v>
      </c>
      <c r="I822" s="6">
        <v>2005</v>
      </c>
      <c r="J822" s="2" t="s">
        <v>22</v>
      </c>
      <c r="K822" s="2" t="s">
        <v>41</v>
      </c>
      <c r="L822" s="7">
        <f t="shared" si="36"/>
        <v>3064.6</v>
      </c>
      <c r="M822" s="2" t="str">
        <f t="shared" si="37"/>
        <v>April</v>
      </c>
      <c r="N822" s="6">
        <f t="shared" si="38"/>
        <v>2005</v>
      </c>
    </row>
    <row r="823" spans="1:14">
      <c r="A823" s="2" t="s">
        <v>69</v>
      </c>
      <c r="B823" s="3">
        <v>10417</v>
      </c>
      <c r="C823" s="3">
        <v>36</v>
      </c>
      <c r="D823" s="13">
        <v>61.18</v>
      </c>
      <c r="E823" s="5">
        <v>38485</v>
      </c>
      <c r="F823" s="2" t="s">
        <v>70</v>
      </c>
      <c r="G823" s="2" t="s">
        <v>14</v>
      </c>
      <c r="H823" s="3">
        <v>2</v>
      </c>
      <c r="I823" s="6">
        <v>2005</v>
      </c>
      <c r="J823" s="2" t="s">
        <v>15</v>
      </c>
      <c r="K823" s="2" t="s">
        <v>71</v>
      </c>
      <c r="L823" s="7">
        <f t="shared" si="36"/>
        <v>2202.48</v>
      </c>
      <c r="M823" s="2" t="str">
        <f t="shared" si="37"/>
        <v>May</v>
      </c>
      <c r="N823" s="6">
        <f t="shared" si="38"/>
        <v>2005</v>
      </c>
    </row>
    <row r="824" spans="1:14">
      <c r="A824" s="2" t="s">
        <v>173</v>
      </c>
      <c r="B824" s="3">
        <v>10101</v>
      </c>
      <c r="C824" s="3">
        <v>26</v>
      </c>
      <c r="D824" s="13">
        <v>100</v>
      </c>
      <c r="E824" s="5">
        <v>37630</v>
      </c>
      <c r="F824" s="2" t="s">
        <v>13</v>
      </c>
      <c r="G824" s="2" t="s">
        <v>202</v>
      </c>
      <c r="H824" s="3">
        <v>1</v>
      </c>
      <c r="I824" s="6">
        <v>2003</v>
      </c>
      <c r="J824" s="2" t="s">
        <v>22</v>
      </c>
      <c r="K824" s="2" t="s">
        <v>174</v>
      </c>
      <c r="L824" s="7">
        <f t="shared" si="36"/>
        <v>2600</v>
      </c>
      <c r="M824" s="2" t="str">
        <f t="shared" si="37"/>
        <v>January</v>
      </c>
      <c r="N824" s="6">
        <f t="shared" si="38"/>
        <v>2003</v>
      </c>
    </row>
    <row r="825" spans="1:14">
      <c r="A825" s="2" t="s">
        <v>183</v>
      </c>
      <c r="B825" s="3">
        <v>10110</v>
      </c>
      <c r="C825" s="3">
        <v>31</v>
      </c>
      <c r="D825" s="13">
        <v>100</v>
      </c>
      <c r="E825" s="5">
        <v>37698</v>
      </c>
      <c r="F825" s="2" t="s">
        <v>13</v>
      </c>
      <c r="G825" s="2" t="s">
        <v>202</v>
      </c>
      <c r="H825" s="3">
        <v>1</v>
      </c>
      <c r="I825" s="6">
        <v>2003</v>
      </c>
      <c r="J825" s="2" t="s">
        <v>22</v>
      </c>
      <c r="K825" s="2" t="s">
        <v>184</v>
      </c>
      <c r="L825" s="7">
        <f t="shared" si="36"/>
        <v>3100</v>
      </c>
      <c r="M825" s="2" t="str">
        <f t="shared" si="37"/>
        <v>March</v>
      </c>
      <c r="N825" s="6">
        <f t="shared" si="38"/>
        <v>2003</v>
      </c>
    </row>
    <row r="826" spans="1:14">
      <c r="A826" s="2" t="s">
        <v>42</v>
      </c>
      <c r="B826" s="3">
        <v>10125</v>
      </c>
      <c r="C826" s="3">
        <v>34</v>
      </c>
      <c r="D826" s="13">
        <v>100</v>
      </c>
      <c r="E826" s="5">
        <v>37762</v>
      </c>
      <c r="F826" s="2" t="s">
        <v>13</v>
      </c>
      <c r="G826" s="2" t="s">
        <v>202</v>
      </c>
      <c r="H826" s="3">
        <v>2</v>
      </c>
      <c r="I826" s="6">
        <v>2003</v>
      </c>
      <c r="J826" s="2" t="s">
        <v>22</v>
      </c>
      <c r="K826" s="2" t="s">
        <v>43</v>
      </c>
      <c r="L826" s="7">
        <f t="shared" si="36"/>
        <v>3400</v>
      </c>
      <c r="M826" s="2" t="str">
        <f t="shared" si="37"/>
        <v>May</v>
      </c>
      <c r="N826" s="6">
        <f t="shared" si="38"/>
        <v>2003</v>
      </c>
    </row>
    <row r="827" spans="1:14">
      <c r="A827" s="2" t="s">
        <v>63</v>
      </c>
      <c r="B827" s="3">
        <v>10139</v>
      </c>
      <c r="C827" s="3">
        <v>41</v>
      </c>
      <c r="D827" s="13">
        <v>100</v>
      </c>
      <c r="E827" s="5">
        <v>37818</v>
      </c>
      <c r="F827" s="2" t="s">
        <v>13</v>
      </c>
      <c r="G827" s="2" t="s">
        <v>202</v>
      </c>
      <c r="H827" s="3">
        <v>3</v>
      </c>
      <c r="I827" s="6">
        <v>2003</v>
      </c>
      <c r="J827" s="2" t="s">
        <v>61</v>
      </c>
      <c r="K827" s="2" t="s">
        <v>64</v>
      </c>
      <c r="L827" s="7">
        <f t="shared" si="36"/>
        <v>4100</v>
      </c>
      <c r="M827" s="2" t="str">
        <f t="shared" si="37"/>
        <v>July</v>
      </c>
      <c r="N827" s="6">
        <f t="shared" si="38"/>
        <v>2003</v>
      </c>
    </row>
    <row r="828" spans="1:14">
      <c r="A828" s="2" t="s">
        <v>194</v>
      </c>
      <c r="B828" s="3">
        <v>10149</v>
      </c>
      <c r="C828" s="3">
        <v>23</v>
      </c>
      <c r="D828" s="13">
        <v>100</v>
      </c>
      <c r="E828" s="5">
        <v>37876</v>
      </c>
      <c r="F828" s="2" t="s">
        <v>13</v>
      </c>
      <c r="G828" s="2" t="s">
        <v>202</v>
      </c>
      <c r="H828" s="3">
        <v>3</v>
      </c>
      <c r="I828" s="6">
        <v>2003</v>
      </c>
      <c r="J828" s="2" t="s">
        <v>22</v>
      </c>
      <c r="K828" s="2" t="s">
        <v>195</v>
      </c>
      <c r="L828" s="7">
        <f t="shared" si="36"/>
        <v>2300</v>
      </c>
      <c r="M828" s="2" t="str">
        <f t="shared" si="37"/>
        <v>September</v>
      </c>
      <c r="N828" s="6">
        <f t="shared" si="38"/>
        <v>2003</v>
      </c>
    </row>
    <row r="829" spans="1:14">
      <c r="A829" s="2" t="s">
        <v>28</v>
      </c>
      <c r="B829" s="3">
        <v>10162</v>
      </c>
      <c r="C829" s="3">
        <v>48</v>
      </c>
      <c r="D829" s="13">
        <v>100</v>
      </c>
      <c r="E829" s="5">
        <v>37912</v>
      </c>
      <c r="F829" s="2" t="s">
        <v>13</v>
      </c>
      <c r="G829" s="2" t="s">
        <v>202</v>
      </c>
      <c r="H829" s="3">
        <v>4</v>
      </c>
      <c r="I829" s="6">
        <v>2003</v>
      </c>
      <c r="J829" s="2" t="s">
        <v>61</v>
      </c>
      <c r="K829" s="2" t="s">
        <v>29</v>
      </c>
      <c r="L829" s="7">
        <f t="shared" si="36"/>
        <v>4800</v>
      </c>
      <c r="M829" s="2" t="str">
        <f t="shared" si="37"/>
        <v>October</v>
      </c>
      <c r="N829" s="6">
        <f t="shared" si="38"/>
        <v>2003</v>
      </c>
    </row>
    <row r="830" spans="1:14">
      <c r="A830" s="2" t="s">
        <v>203</v>
      </c>
      <c r="B830" s="3">
        <v>10173</v>
      </c>
      <c r="C830" s="3">
        <v>22</v>
      </c>
      <c r="D830" s="13">
        <v>100</v>
      </c>
      <c r="E830" s="5">
        <v>37930</v>
      </c>
      <c r="F830" s="2" t="s">
        <v>13</v>
      </c>
      <c r="G830" s="2" t="s">
        <v>202</v>
      </c>
      <c r="H830" s="3">
        <v>4</v>
      </c>
      <c r="I830" s="6">
        <v>2003</v>
      </c>
      <c r="J830" s="2" t="s">
        <v>22</v>
      </c>
      <c r="K830" s="2" t="s">
        <v>204</v>
      </c>
      <c r="L830" s="7">
        <f t="shared" si="36"/>
        <v>2200</v>
      </c>
      <c r="M830" s="2" t="str">
        <f t="shared" si="37"/>
        <v>November</v>
      </c>
      <c r="N830" s="6">
        <f t="shared" si="38"/>
        <v>2003</v>
      </c>
    </row>
    <row r="831" spans="1:14">
      <c r="A831" s="2" t="s">
        <v>103</v>
      </c>
      <c r="B831" s="3">
        <v>10182</v>
      </c>
      <c r="C831" s="3">
        <v>21</v>
      </c>
      <c r="D831" s="13">
        <v>100</v>
      </c>
      <c r="E831" s="5">
        <v>37937</v>
      </c>
      <c r="F831" s="2" t="s">
        <v>13</v>
      </c>
      <c r="G831" s="2" t="s">
        <v>202</v>
      </c>
      <c r="H831" s="3">
        <v>4</v>
      </c>
      <c r="I831" s="6">
        <v>2003</v>
      </c>
      <c r="J831" s="2" t="s">
        <v>22</v>
      </c>
      <c r="K831" s="2" t="s">
        <v>104</v>
      </c>
      <c r="L831" s="7">
        <f t="shared" si="36"/>
        <v>2100</v>
      </c>
      <c r="M831" s="2" t="str">
        <f t="shared" si="37"/>
        <v>November</v>
      </c>
      <c r="N831" s="6">
        <f t="shared" si="38"/>
        <v>2003</v>
      </c>
    </row>
    <row r="832" spans="1:14">
      <c r="A832" s="2" t="s">
        <v>205</v>
      </c>
      <c r="B832" s="3">
        <v>10193</v>
      </c>
      <c r="C832" s="3">
        <v>22</v>
      </c>
      <c r="D832" s="13">
        <v>100</v>
      </c>
      <c r="E832" s="5">
        <v>37946</v>
      </c>
      <c r="F832" s="2" t="s">
        <v>13</v>
      </c>
      <c r="G832" s="2" t="s">
        <v>202</v>
      </c>
      <c r="H832" s="3">
        <v>4</v>
      </c>
      <c r="I832" s="6">
        <v>2003</v>
      </c>
      <c r="J832" s="2" t="s">
        <v>22</v>
      </c>
      <c r="K832" s="2" t="s">
        <v>206</v>
      </c>
      <c r="L832" s="7">
        <f t="shared" si="36"/>
        <v>2200</v>
      </c>
      <c r="M832" s="2" t="str">
        <f t="shared" si="37"/>
        <v>November</v>
      </c>
      <c r="N832" s="6">
        <f t="shared" si="38"/>
        <v>2003</v>
      </c>
    </row>
    <row r="833" spans="1:14">
      <c r="A833" s="2" t="s">
        <v>69</v>
      </c>
      <c r="B833" s="3">
        <v>10205</v>
      </c>
      <c r="C833" s="3">
        <v>40</v>
      </c>
      <c r="D833" s="13">
        <v>100</v>
      </c>
      <c r="E833" s="5">
        <v>37958</v>
      </c>
      <c r="F833" s="2" t="s">
        <v>13</v>
      </c>
      <c r="G833" s="2" t="s">
        <v>202</v>
      </c>
      <c r="H833" s="3">
        <v>4</v>
      </c>
      <c r="I833" s="6">
        <v>2003</v>
      </c>
      <c r="J833" s="2" t="s">
        <v>61</v>
      </c>
      <c r="K833" s="2" t="s">
        <v>71</v>
      </c>
      <c r="L833" s="7">
        <f t="shared" si="36"/>
        <v>4000</v>
      </c>
      <c r="M833" s="2" t="str">
        <f t="shared" si="37"/>
        <v>December</v>
      </c>
      <c r="N833" s="6">
        <f t="shared" si="38"/>
        <v>2003</v>
      </c>
    </row>
    <row r="834" spans="1:14">
      <c r="A834" s="2" t="s">
        <v>75</v>
      </c>
      <c r="B834" s="3">
        <v>10214</v>
      </c>
      <c r="C834" s="3">
        <v>50</v>
      </c>
      <c r="D834" s="13">
        <v>100</v>
      </c>
      <c r="E834" s="5">
        <v>38012</v>
      </c>
      <c r="F834" s="2" t="s">
        <v>13</v>
      </c>
      <c r="G834" s="2" t="s">
        <v>202</v>
      </c>
      <c r="H834" s="3">
        <v>1</v>
      </c>
      <c r="I834" s="6">
        <v>2004</v>
      </c>
      <c r="J834" s="2" t="s">
        <v>61</v>
      </c>
      <c r="K834" s="2" t="s">
        <v>76</v>
      </c>
      <c r="L834" s="7">
        <f t="shared" ref="L834:L897" si="39">PRODUCT(C834,D834)</f>
        <v>5000</v>
      </c>
      <c r="M834" s="2" t="str">
        <f t="shared" ref="M834:M897" si="40">TEXT(E834,"MMMM")</f>
        <v>January</v>
      </c>
      <c r="N834" s="6">
        <f t="shared" ref="N834:N897" si="41">YEAR(E834)</f>
        <v>2004</v>
      </c>
    </row>
    <row r="835" spans="1:14">
      <c r="A835" s="2" t="s">
        <v>85</v>
      </c>
      <c r="B835" s="3">
        <v>10227</v>
      </c>
      <c r="C835" s="3">
        <v>29</v>
      </c>
      <c r="D835" s="13">
        <v>100</v>
      </c>
      <c r="E835" s="5">
        <v>38048</v>
      </c>
      <c r="F835" s="2" t="s">
        <v>13</v>
      </c>
      <c r="G835" s="2" t="s">
        <v>202</v>
      </c>
      <c r="H835" s="3">
        <v>1</v>
      </c>
      <c r="I835" s="6">
        <v>2004</v>
      </c>
      <c r="J835" s="2" t="s">
        <v>22</v>
      </c>
      <c r="K835" s="2" t="s">
        <v>86</v>
      </c>
      <c r="L835" s="7">
        <f t="shared" si="39"/>
        <v>2900</v>
      </c>
      <c r="M835" s="2" t="str">
        <f t="shared" si="40"/>
        <v>March</v>
      </c>
      <c r="N835" s="6">
        <f t="shared" si="41"/>
        <v>2004</v>
      </c>
    </row>
    <row r="836" spans="1:14">
      <c r="A836" s="2" t="s">
        <v>69</v>
      </c>
      <c r="B836" s="3">
        <v>10244</v>
      </c>
      <c r="C836" s="3">
        <v>43</v>
      </c>
      <c r="D836" s="13">
        <v>100</v>
      </c>
      <c r="E836" s="5">
        <v>38106</v>
      </c>
      <c r="F836" s="2" t="s">
        <v>13</v>
      </c>
      <c r="G836" s="2" t="s">
        <v>202</v>
      </c>
      <c r="H836" s="3">
        <v>2</v>
      </c>
      <c r="I836" s="6">
        <v>2004</v>
      </c>
      <c r="J836" s="2" t="s">
        <v>22</v>
      </c>
      <c r="K836" s="2" t="s">
        <v>71</v>
      </c>
      <c r="L836" s="7">
        <f t="shared" si="39"/>
        <v>4300</v>
      </c>
      <c r="M836" s="2" t="str">
        <f t="shared" si="40"/>
        <v>April</v>
      </c>
      <c r="N836" s="6">
        <f t="shared" si="41"/>
        <v>2004</v>
      </c>
    </row>
    <row r="837" spans="1:14">
      <c r="A837" s="2" t="s">
        <v>196</v>
      </c>
      <c r="B837" s="3">
        <v>10255</v>
      </c>
      <c r="C837" s="3">
        <v>24</v>
      </c>
      <c r="D837" s="13">
        <v>100</v>
      </c>
      <c r="E837" s="5">
        <v>38142</v>
      </c>
      <c r="F837" s="2" t="s">
        <v>13</v>
      </c>
      <c r="G837" s="2" t="s">
        <v>202</v>
      </c>
      <c r="H837" s="3">
        <v>2</v>
      </c>
      <c r="I837" s="6">
        <v>2004</v>
      </c>
      <c r="J837" s="2" t="s">
        <v>22</v>
      </c>
      <c r="K837" s="2" t="s">
        <v>197</v>
      </c>
      <c r="L837" s="7">
        <f t="shared" si="39"/>
        <v>2400</v>
      </c>
      <c r="M837" s="2" t="str">
        <f t="shared" si="40"/>
        <v>June</v>
      </c>
      <c r="N837" s="6">
        <f t="shared" si="41"/>
        <v>2004</v>
      </c>
    </row>
    <row r="838" spans="1:14">
      <c r="A838" s="2" t="s">
        <v>97</v>
      </c>
      <c r="B838" s="3">
        <v>10280</v>
      </c>
      <c r="C838" s="3">
        <v>22</v>
      </c>
      <c r="D838" s="13">
        <v>100</v>
      </c>
      <c r="E838" s="5">
        <v>38216</v>
      </c>
      <c r="F838" s="2" t="s">
        <v>13</v>
      </c>
      <c r="G838" s="2" t="s">
        <v>202</v>
      </c>
      <c r="H838" s="3">
        <v>3</v>
      </c>
      <c r="I838" s="6">
        <v>2004</v>
      </c>
      <c r="J838" s="2" t="s">
        <v>22</v>
      </c>
      <c r="K838" s="2" t="s">
        <v>98</v>
      </c>
      <c r="L838" s="7">
        <f t="shared" si="39"/>
        <v>2200</v>
      </c>
      <c r="M838" s="2" t="str">
        <f t="shared" si="40"/>
        <v>August</v>
      </c>
      <c r="N838" s="6">
        <f t="shared" si="41"/>
        <v>2004</v>
      </c>
    </row>
    <row r="839" spans="1:14">
      <c r="A839" s="2" t="s">
        <v>36</v>
      </c>
      <c r="B839" s="3">
        <v>10289</v>
      </c>
      <c r="C839" s="3">
        <v>43</v>
      </c>
      <c r="D839" s="13">
        <v>100</v>
      </c>
      <c r="E839" s="5">
        <v>38233</v>
      </c>
      <c r="F839" s="2" t="s">
        <v>13</v>
      </c>
      <c r="G839" s="2" t="s">
        <v>202</v>
      </c>
      <c r="H839" s="3">
        <v>3</v>
      </c>
      <c r="I839" s="6">
        <v>2004</v>
      </c>
      <c r="J839" s="2" t="s">
        <v>61</v>
      </c>
      <c r="K839" s="2" t="s">
        <v>37</v>
      </c>
      <c r="L839" s="7">
        <f t="shared" si="39"/>
        <v>4300</v>
      </c>
      <c r="M839" s="2" t="str">
        <f t="shared" si="40"/>
        <v>September</v>
      </c>
      <c r="N839" s="6">
        <f t="shared" si="41"/>
        <v>2004</v>
      </c>
    </row>
    <row r="840" spans="1:14">
      <c r="A840" s="2" t="s">
        <v>101</v>
      </c>
      <c r="B840" s="3">
        <v>10304</v>
      </c>
      <c r="C840" s="3">
        <v>20</v>
      </c>
      <c r="D840" s="13">
        <v>100</v>
      </c>
      <c r="E840" s="5">
        <v>38271</v>
      </c>
      <c r="F840" s="2" t="s">
        <v>13</v>
      </c>
      <c r="G840" s="2" t="s">
        <v>202</v>
      </c>
      <c r="H840" s="3">
        <v>4</v>
      </c>
      <c r="I840" s="6">
        <v>2004</v>
      </c>
      <c r="J840" s="2" t="s">
        <v>22</v>
      </c>
      <c r="K840" s="2" t="s">
        <v>102</v>
      </c>
      <c r="L840" s="7">
        <f t="shared" si="39"/>
        <v>2000</v>
      </c>
      <c r="M840" s="2" t="str">
        <f t="shared" si="40"/>
        <v>October</v>
      </c>
      <c r="N840" s="6">
        <f t="shared" si="41"/>
        <v>2004</v>
      </c>
    </row>
    <row r="841" spans="1:14">
      <c r="A841" s="2" t="s">
        <v>103</v>
      </c>
      <c r="B841" s="3">
        <v>10312</v>
      </c>
      <c r="C841" s="3">
        <v>25</v>
      </c>
      <c r="D841" s="13">
        <v>100</v>
      </c>
      <c r="E841" s="5">
        <v>38281</v>
      </c>
      <c r="F841" s="2" t="s">
        <v>13</v>
      </c>
      <c r="G841" s="2" t="s">
        <v>202</v>
      </c>
      <c r="H841" s="3">
        <v>4</v>
      </c>
      <c r="I841" s="6">
        <v>2004</v>
      </c>
      <c r="J841" s="2" t="s">
        <v>22</v>
      </c>
      <c r="K841" s="2" t="s">
        <v>104</v>
      </c>
      <c r="L841" s="7">
        <f t="shared" si="39"/>
        <v>2500</v>
      </c>
      <c r="M841" s="2" t="str">
        <f t="shared" si="40"/>
        <v>October</v>
      </c>
      <c r="N841" s="6">
        <f t="shared" si="41"/>
        <v>2004</v>
      </c>
    </row>
    <row r="842" spans="1:14">
      <c r="A842" s="2" t="s">
        <v>105</v>
      </c>
      <c r="B842" s="3">
        <v>10322</v>
      </c>
      <c r="C842" s="3">
        <v>36</v>
      </c>
      <c r="D842" s="13">
        <v>100</v>
      </c>
      <c r="E842" s="5">
        <v>38295</v>
      </c>
      <c r="F842" s="2" t="s">
        <v>13</v>
      </c>
      <c r="G842" s="2" t="s">
        <v>202</v>
      </c>
      <c r="H842" s="3">
        <v>4</v>
      </c>
      <c r="I842" s="6">
        <v>2004</v>
      </c>
      <c r="J842" s="2" t="s">
        <v>22</v>
      </c>
      <c r="K842" s="2" t="s">
        <v>106</v>
      </c>
      <c r="L842" s="7">
        <f t="shared" si="39"/>
        <v>3600</v>
      </c>
      <c r="M842" s="2" t="str">
        <f t="shared" si="40"/>
        <v>November</v>
      </c>
      <c r="N842" s="6">
        <f t="shared" si="41"/>
        <v>2004</v>
      </c>
    </row>
    <row r="843" spans="1:14">
      <c r="A843" s="2" t="s">
        <v>183</v>
      </c>
      <c r="B843" s="3">
        <v>10332</v>
      </c>
      <c r="C843" s="3">
        <v>24</v>
      </c>
      <c r="D843" s="13">
        <v>52.67</v>
      </c>
      <c r="E843" s="5">
        <v>38308</v>
      </c>
      <c r="F843" s="2" t="s">
        <v>13</v>
      </c>
      <c r="G843" s="2" t="s">
        <v>202</v>
      </c>
      <c r="H843" s="3">
        <v>4</v>
      </c>
      <c r="I843" s="6">
        <v>2004</v>
      </c>
      <c r="J843" s="2" t="s">
        <v>15</v>
      </c>
      <c r="K843" s="2" t="s">
        <v>184</v>
      </c>
      <c r="L843" s="7">
        <f t="shared" si="39"/>
        <v>1264.08</v>
      </c>
      <c r="M843" s="2" t="str">
        <f t="shared" si="40"/>
        <v>November</v>
      </c>
      <c r="N843" s="6">
        <f t="shared" si="41"/>
        <v>2004</v>
      </c>
    </row>
    <row r="844" spans="1:14">
      <c r="A844" s="2" t="s">
        <v>42</v>
      </c>
      <c r="B844" s="3">
        <v>10347</v>
      </c>
      <c r="C844" s="3">
        <v>21</v>
      </c>
      <c r="D844" s="13">
        <v>100</v>
      </c>
      <c r="E844" s="5">
        <v>38320</v>
      </c>
      <c r="F844" s="2" t="s">
        <v>13</v>
      </c>
      <c r="G844" s="2" t="s">
        <v>202</v>
      </c>
      <c r="H844" s="3">
        <v>4</v>
      </c>
      <c r="I844" s="6">
        <v>2004</v>
      </c>
      <c r="J844" s="2" t="s">
        <v>22</v>
      </c>
      <c r="K844" s="2" t="s">
        <v>43</v>
      </c>
      <c r="L844" s="7">
        <f t="shared" si="39"/>
        <v>2100</v>
      </c>
      <c r="M844" s="2" t="str">
        <f t="shared" si="40"/>
        <v>November</v>
      </c>
      <c r="N844" s="6">
        <f t="shared" si="41"/>
        <v>2004</v>
      </c>
    </row>
    <row r="845" spans="1:14">
      <c r="A845" s="2" t="s">
        <v>21</v>
      </c>
      <c r="B845" s="3">
        <v>10356</v>
      </c>
      <c r="C845" s="3">
        <v>30</v>
      </c>
      <c r="D845" s="13">
        <v>100</v>
      </c>
      <c r="E845" s="5">
        <v>38330</v>
      </c>
      <c r="F845" s="2" t="s">
        <v>13</v>
      </c>
      <c r="G845" s="2" t="s">
        <v>202</v>
      </c>
      <c r="H845" s="3">
        <v>4</v>
      </c>
      <c r="I845" s="6">
        <v>2004</v>
      </c>
      <c r="J845" s="2" t="s">
        <v>22</v>
      </c>
      <c r="K845" s="2" t="s">
        <v>23</v>
      </c>
      <c r="L845" s="7">
        <f t="shared" si="39"/>
        <v>3000</v>
      </c>
      <c r="M845" s="2" t="str">
        <f t="shared" si="40"/>
        <v>December</v>
      </c>
      <c r="N845" s="6">
        <f t="shared" si="41"/>
        <v>2004</v>
      </c>
    </row>
    <row r="846" spans="1:14">
      <c r="A846" s="2" t="s">
        <v>25</v>
      </c>
      <c r="B846" s="3">
        <v>10367</v>
      </c>
      <c r="C846" s="3">
        <v>32</v>
      </c>
      <c r="D846" s="13">
        <v>94.79</v>
      </c>
      <c r="E846" s="5">
        <v>38364</v>
      </c>
      <c r="F846" s="2" t="s">
        <v>155</v>
      </c>
      <c r="G846" s="2" t="s">
        <v>202</v>
      </c>
      <c r="H846" s="3">
        <v>1</v>
      </c>
      <c r="I846" s="6">
        <v>2005</v>
      </c>
      <c r="J846" s="2" t="s">
        <v>22</v>
      </c>
      <c r="K846" s="2" t="s">
        <v>26</v>
      </c>
      <c r="L846" s="7">
        <f t="shared" si="39"/>
        <v>3033.28</v>
      </c>
      <c r="M846" s="2" t="str">
        <f t="shared" si="40"/>
        <v>January</v>
      </c>
      <c r="N846" s="6">
        <f t="shared" si="41"/>
        <v>2005</v>
      </c>
    </row>
    <row r="847" spans="1:14">
      <c r="A847" s="2" t="s">
        <v>69</v>
      </c>
      <c r="B847" s="3">
        <v>10380</v>
      </c>
      <c r="C847" s="3">
        <v>21</v>
      </c>
      <c r="D847" s="13">
        <v>47.18</v>
      </c>
      <c r="E847" s="5">
        <v>38399</v>
      </c>
      <c r="F847" s="2" t="s">
        <v>13</v>
      </c>
      <c r="G847" s="2" t="s">
        <v>202</v>
      </c>
      <c r="H847" s="3">
        <v>1</v>
      </c>
      <c r="I847" s="6">
        <v>2005</v>
      </c>
      <c r="J847" s="2" t="s">
        <v>15</v>
      </c>
      <c r="K847" s="2" t="s">
        <v>71</v>
      </c>
      <c r="L847" s="7">
        <f t="shared" si="39"/>
        <v>990.78</v>
      </c>
      <c r="M847" s="2" t="str">
        <f t="shared" si="40"/>
        <v>February</v>
      </c>
      <c r="N847" s="6">
        <f t="shared" si="41"/>
        <v>2005</v>
      </c>
    </row>
    <row r="848" spans="1:14">
      <c r="A848" s="2" t="s">
        <v>103</v>
      </c>
      <c r="B848" s="3">
        <v>10390</v>
      </c>
      <c r="C848" s="3">
        <v>26</v>
      </c>
      <c r="D848" s="13">
        <v>78.11</v>
      </c>
      <c r="E848" s="5">
        <v>38415</v>
      </c>
      <c r="F848" s="2" t="s">
        <v>13</v>
      </c>
      <c r="G848" s="2" t="s">
        <v>202</v>
      </c>
      <c r="H848" s="3">
        <v>1</v>
      </c>
      <c r="I848" s="6">
        <v>2005</v>
      </c>
      <c r="J848" s="2" t="s">
        <v>15</v>
      </c>
      <c r="K848" s="2" t="s">
        <v>104</v>
      </c>
      <c r="L848" s="7">
        <f t="shared" si="39"/>
        <v>2030.86</v>
      </c>
      <c r="M848" s="2" t="str">
        <f t="shared" si="40"/>
        <v>March</v>
      </c>
      <c r="N848" s="6">
        <f t="shared" si="41"/>
        <v>2005</v>
      </c>
    </row>
    <row r="849" spans="1:14">
      <c r="A849" s="2" t="s">
        <v>103</v>
      </c>
      <c r="B849" s="3">
        <v>10421</v>
      </c>
      <c r="C849" s="3">
        <v>35</v>
      </c>
      <c r="D849" s="13">
        <v>100</v>
      </c>
      <c r="E849" s="5">
        <v>38501</v>
      </c>
      <c r="F849" s="2" t="s">
        <v>113</v>
      </c>
      <c r="G849" s="2" t="s">
        <v>202</v>
      </c>
      <c r="H849" s="3">
        <v>2</v>
      </c>
      <c r="I849" s="6">
        <v>2005</v>
      </c>
      <c r="J849" s="2" t="s">
        <v>22</v>
      </c>
      <c r="K849" s="2" t="s">
        <v>104</v>
      </c>
      <c r="L849" s="7">
        <f t="shared" si="39"/>
        <v>3500</v>
      </c>
      <c r="M849" s="2" t="str">
        <f t="shared" si="40"/>
        <v>May</v>
      </c>
      <c r="N849" s="6">
        <f t="shared" si="41"/>
        <v>2005</v>
      </c>
    </row>
    <row r="850" spans="1:14">
      <c r="A850" s="2" t="s">
        <v>118</v>
      </c>
      <c r="B850" s="3">
        <v>10123</v>
      </c>
      <c r="C850" s="3">
        <v>46</v>
      </c>
      <c r="D850" s="13">
        <v>100</v>
      </c>
      <c r="E850" s="5">
        <v>37761</v>
      </c>
      <c r="F850" s="2" t="s">
        <v>13</v>
      </c>
      <c r="G850" s="2" t="s">
        <v>72</v>
      </c>
      <c r="H850" s="3">
        <v>2</v>
      </c>
      <c r="I850" s="6">
        <v>2003</v>
      </c>
      <c r="J850" s="2" t="s">
        <v>22</v>
      </c>
      <c r="K850" s="2" t="s">
        <v>119</v>
      </c>
      <c r="L850" s="7">
        <f t="shared" si="39"/>
        <v>4600</v>
      </c>
      <c r="M850" s="2" t="str">
        <f t="shared" si="40"/>
        <v>May</v>
      </c>
      <c r="N850" s="6">
        <f t="shared" si="41"/>
        <v>2003</v>
      </c>
    </row>
    <row r="851" spans="1:14">
      <c r="A851" s="2" t="s">
        <v>18</v>
      </c>
      <c r="B851" s="3">
        <v>10137</v>
      </c>
      <c r="C851" s="3">
        <v>37</v>
      </c>
      <c r="D851" s="13">
        <v>100</v>
      </c>
      <c r="E851" s="5">
        <v>37812</v>
      </c>
      <c r="F851" s="2" t="s">
        <v>13</v>
      </c>
      <c r="G851" s="2" t="s">
        <v>72</v>
      </c>
      <c r="H851" s="3">
        <v>3</v>
      </c>
      <c r="I851" s="6">
        <v>2003</v>
      </c>
      <c r="J851" s="2" t="s">
        <v>22</v>
      </c>
      <c r="K851" s="2" t="s">
        <v>19</v>
      </c>
      <c r="L851" s="7">
        <f t="shared" si="39"/>
        <v>3700</v>
      </c>
      <c r="M851" s="2" t="str">
        <f t="shared" si="40"/>
        <v>July</v>
      </c>
      <c r="N851" s="6">
        <f t="shared" si="41"/>
        <v>2003</v>
      </c>
    </row>
    <row r="852" spans="1:14">
      <c r="A852" s="2" t="s">
        <v>109</v>
      </c>
      <c r="B852" s="3">
        <v>10148</v>
      </c>
      <c r="C852" s="3">
        <v>27</v>
      </c>
      <c r="D852" s="13">
        <v>100</v>
      </c>
      <c r="E852" s="5">
        <v>37875</v>
      </c>
      <c r="F852" s="2" t="s">
        <v>13</v>
      </c>
      <c r="G852" s="2" t="s">
        <v>72</v>
      </c>
      <c r="H852" s="3">
        <v>3</v>
      </c>
      <c r="I852" s="6">
        <v>2003</v>
      </c>
      <c r="J852" s="2" t="s">
        <v>22</v>
      </c>
      <c r="K852" s="2" t="s">
        <v>110</v>
      </c>
      <c r="L852" s="7">
        <f t="shared" si="39"/>
        <v>2700</v>
      </c>
      <c r="M852" s="2" t="str">
        <f t="shared" si="40"/>
        <v>September</v>
      </c>
      <c r="N852" s="6">
        <f t="shared" si="41"/>
        <v>2003</v>
      </c>
    </row>
    <row r="853" spans="1:14">
      <c r="A853" s="2" t="s">
        <v>185</v>
      </c>
      <c r="B853" s="3">
        <v>10161</v>
      </c>
      <c r="C853" s="3">
        <v>23</v>
      </c>
      <c r="D853" s="13">
        <v>100</v>
      </c>
      <c r="E853" s="5">
        <v>37911</v>
      </c>
      <c r="F853" s="2" t="s">
        <v>13</v>
      </c>
      <c r="G853" s="2" t="s">
        <v>72</v>
      </c>
      <c r="H853" s="3">
        <v>4</v>
      </c>
      <c r="I853" s="6">
        <v>2003</v>
      </c>
      <c r="J853" s="2" t="s">
        <v>22</v>
      </c>
      <c r="K853" s="2" t="s">
        <v>186</v>
      </c>
      <c r="L853" s="7">
        <f t="shared" si="39"/>
        <v>2300</v>
      </c>
      <c r="M853" s="2" t="str">
        <f t="shared" si="40"/>
        <v>October</v>
      </c>
      <c r="N853" s="6">
        <f t="shared" si="41"/>
        <v>2003</v>
      </c>
    </row>
    <row r="854" spans="1:14">
      <c r="A854" s="2" t="s">
        <v>48</v>
      </c>
      <c r="B854" s="3">
        <v>10172</v>
      </c>
      <c r="C854" s="3">
        <v>39</v>
      </c>
      <c r="D854" s="13">
        <v>100</v>
      </c>
      <c r="E854" s="5">
        <v>37930</v>
      </c>
      <c r="F854" s="2" t="s">
        <v>13</v>
      </c>
      <c r="G854" s="2" t="s">
        <v>72</v>
      </c>
      <c r="H854" s="3">
        <v>4</v>
      </c>
      <c r="I854" s="6">
        <v>2003</v>
      </c>
      <c r="J854" s="2" t="s">
        <v>22</v>
      </c>
      <c r="K854" s="2" t="s">
        <v>49</v>
      </c>
      <c r="L854" s="7">
        <f t="shared" si="39"/>
        <v>3900</v>
      </c>
      <c r="M854" s="2" t="str">
        <f t="shared" si="40"/>
        <v>November</v>
      </c>
      <c r="N854" s="6">
        <f t="shared" si="41"/>
        <v>2003</v>
      </c>
    </row>
    <row r="855" spans="1:14">
      <c r="A855" s="2" t="s">
        <v>105</v>
      </c>
      <c r="B855" s="3">
        <v>10192</v>
      </c>
      <c r="C855" s="3">
        <v>38</v>
      </c>
      <c r="D855" s="13">
        <v>100</v>
      </c>
      <c r="E855" s="5">
        <v>37945</v>
      </c>
      <c r="F855" s="2" t="s">
        <v>13</v>
      </c>
      <c r="G855" s="2" t="s">
        <v>72</v>
      </c>
      <c r="H855" s="3">
        <v>4</v>
      </c>
      <c r="I855" s="6">
        <v>2003</v>
      </c>
      <c r="J855" s="2" t="s">
        <v>22</v>
      </c>
      <c r="K855" s="2" t="s">
        <v>106</v>
      </c>
      <c r="L855" s="7">
        <f t="shared" si="39"/>
        <v>3800</v>
      </c>
      <c r="M855" s="2" t="str">
        <f t="shared" si="40"/>
        <v>November</v>
      </c>
      <c r="N855" s="6">
        <f t="shared" si="41"/>
        <v>2003</v>
      </c>
    </row>
    <row r="856" spans="1:14">
      <c r="A856" s="2" t="s">
        <v>177</v>
      </c>
      <c r="B856" s="3">
        <v>10204</v>
      </c>
      <c r="C856" s="3">
        <v>27</v>
      </c>
      <c r="D856" s="13">
        <v>100</v>
      </c>
      <c r="E856" s="5">
        <v>37957</v>
      </c>
      <c r="F856" s="2" t="s">
        <v>13</v>
      </c>
      <c r="G856" s="2" t="s">
        <v>72</v>
      </c>
      <c r="H856" s="3">
        <v>4</v>
      </c>
      <c r="I856" s="6">
        <v>2003</v>
      </c>
      <c r="J856" s="2" t="s">
        <v>22</v>
      </c>
      <c r="K856" s="2" t="s">
        <v>178</v>
      </c>
      <c r="L856" s="7">
        <f t="shared" si="39"/>
        <v>2700</v>
      </c>
      <c r="M856" s="2" t="str">
        <f t="shared" si="40"/>
        <v>December</v>
      </c>
      <c r="N856" s="6">
        <f t="shared" si="41"/>
        <v>2003</v>
      </c>
    </row>
    <row r="857" spans="1:14">
      <c r="A857" s="2" t="s">
        <v>69</v>
      </c>
      <c r="B857" s="3">
        <v>10212</v>
      </c>
      <c r="C857" s="3">
        <v>40</v>
      </c>
      <c r="D857" s="13">
        <v>100</v>
      </c>
      <c r="E857" s="5">
        <v>38002</v>
      </c>
      <c r="F857" s="2" t="s">
        <v>13</v>
      </c>
      <c r="G857" s="2" t="s">
        <v>72</v>
      </c>
      <c r="H857" s="3">
        <v>1</v>
      </c>
      <c r="I857" s="6">
        <v>2004</v>
      </c>
      <c r="J857" s="2" t="s">
        <v>22</v>
      </c>
      <c r="K857" s="2" t="s">
        <v>71</v>
      </c>
      <c r="L857" s="7">
        <f t="shared" si="39"/>
        <v>4000</v>
      </c>
      <c r="M857" s="2" t="str">
        <f t="shared" si="40"/>
        <v>January</v>
      </c>
      <c r="N857" s="6">
        <f t="shared" si="41"/>
        <v>2004</v>
      </c>
    </row>
    <row r="858" spans="1:14">
      <c r="A858" s="2" t="s">
        <v>196</v>
      </c>
      <c r="B858" s="3">
        <v>10241</v>
      </c>
      <c r="C858" s="3">
        <v>44</v>
      </c>
      <c r="D858" s="13">
        <v>100</v>
      </c>
      <c r="E858" s="5">
        <v>38090</v>
      </c>
      <c r="F858" s="2" t="s">
        <v>13</v>
      </c>
      <c r="G858" s="2" t="s">
        <v>72</v>
      </c>
      <c r="H858" s="3">
        <v>2</v>
      </c>
      <c r="I858" s="6">
        <v>2004</v>
      </c>
      <c r="J858" s="2" t="s">
        <v>22</v>
      </c>
      <c r="K858" s="2" t="s">
        <v>197</v>
      </c>
      <c r="L858" s="7">
        <f t="shared" si="39"/>
        <v>4400</v>
      </c>
      <c r="M858" s="2" t="str">
        <f t="shared" si="40"/>
        <v>April</v>
      </c>
      <c r="N858" s="6">
        <f t="shared" si="41"/>
        <v>2004</v>
      </c>
    </row>
    <row r="859" spans="1:14">
      <c r="A859" s="2" t="s">
        <v>67</v>
      </c>
      <c r="B859" s="3">
        <v>10253</v>
      </c>
      <c r="C859" s="3">
        <v>37</v>
      </c>
      <c r="D859" s="13">
        <v>100</v>
      </c>
      <c r="E859" s="5">
        <v>38139</v>
      </c>
      <c r="F859" s="2" t="s">
        <v>128</v>
      </c>
      <c r="G859" s="2" t="s">
        <v>72</v>
      </c>
      <c r="H859" s="3">
        <v>2</v>
      </c>
      <c r="I859" s="6">
        <v>2004</v>
      </c>
      <c r="J859" s="2" t="s">
        <v>22</v>
      </c>
      <c r="K859" s="2" t="s">
        <v>68</v>
      </c>
      <c r="L859" s="7">
        <f t="shared" si="39"/>
        <v>3700</v>
      </c>
      <c r="M859" s="2" t="str">
        <f t="shared" si="40"/>
        <v>June</v>
      </c>
      <c r="N859" s="6">
        <f t="shared" si="41"/>
        <v>2004</v>
      </c>
    </row>
    <row r="860" spans="1:14">
      <c r="A860" s="2" t="s">
        <v>169</v>
      </c>
      <c r="B860" s="3">
        <v>10266</v>
      </c>
      <c r="C860" s="3">
        <v>20</v>
      </c>
      <c r="D860" s="13">
        <v>100</v>
      </c>
      <c r="E860" s="5">
        <v>38174</v>
      </c>
      <c r="F860" s="2" t="s">
        <v>13</v>
      </c>
      <c r="G860" s="2" t="s">
        <v>72</v>
      </c>
      <c r="H860" s="3">
        <v>3</v>
      </c>
      <c r="I860" s="6">
        <v>2004</v>
      </c>
      <c r="J860" s="2" t="s">
        <v>15</v>
      </c>
      <c r="K860" s="2" t="s">
        <v>170</v>
      </c>
      <c r="L860" s="7">
        <f t="shared" si="39"/>
        <v>2000</v>
      </c>
      <c r="M860" s="2" t="str">
        <f t="shared" si="40"/>
        <v>July</v>
      </c>
      <c r="N860" s="6">
        <f t="shared" si="41"/>
        <v>2004</v>
      </c>
    </row>
    <row r="861" spans="1:14">
      <c r="A861" s="2" t="s">
        <v>198</v>
      </c>
      <c r="B861" s="3">
        <v>10278</v>
      </c>
      <c r="C861" s="3">
        <v>39</v>
      </c>
      <c r="D861" s="13">
        <v>100</v>
      </c>
      <c r="E861" s="5">
        <v>38205</v>
      </c>
      <c r="F861" s="2" t="s">
        <v>13</v>
      </c>
      <c r="G861" s="2" t="s">
        <v>72</v>
      </c>
      <c r="H861" s="3">
        <v>3</v>
      </c>
      <c r="I861" s="6">
        <v>2004</v>
      </c>
      <c r="J861" s="2" t="s">
        <v>22</v>
      </c>
      <c r="K861" s="2" t="s">
        <v>199</v>
      </c>
      <c r="L861" s="7">
        <f t="shared" si="39"/>
        <v>3900</v>
      </c>
      <c r="M861" s="2" t="str">
        <f t="shared" si="40"/>
        <v>August</v>
      </c>
      <c r="N861" s="6">
        <f t="shared" si="41"/>
        <v>2004</v>
      </c>
    </row>
    <row r="862" spans="1:14">
      <c r="A862" s="2" t="s">
        <v>167</v>
      </c>
      <c r="B862" s="3">
        <v>10287</v>
      </c>
      <c r="C862" s="3">
        <v>44</v>
      </c>
      <c r="D862" s="13">
        <v>100</v>
      </c>
      <c r="E862" s="5">
        <v>38229</v>
      </c>
      <c r="F862" s="2" t="s">
        <v>13</v>
      </c>
      <c r="G862" s="2" t="s">
        <v>72</v>
      </c>
      <c r="H862" s="3">
        <v>3</v>
      </c>
      <c r="I862" s="6">
        <v>2004</v>
      </c>
      <c r="J862" s="2" t="s">
        <v>22</v>
      </c>
      <c r="K862" s="2" t="s">
        <v>168</v>
      </c>
      <c r="L862" s="7">
        <f t="shared" si="39"/>
        <v>4400</v>
      </c>
      <c r="M862" s="2" t="str">
        <f t="shared" si="40"/>
        <v>August</v>
      </c>
      <c r="N862" s="6">
        <f t="shared" si="41"/>
        <v>2004</v>
      </c>
    </row>
    <row r="863" spans="1:14">
      <c r="A863" s="2" t="s">
        <v>200</v>
      </c>
      <c r="B863" s="3">
        <v>10301</v>
      </c>
      <c r="C863" s="3">
        <v>22</v>
      </c>
      <c r="D863" s="13">
        <v>100</v>
      </c>
      <c r="E863" s="5">
        <v>37899</v>
      </c>
      <c r="F863" s="2" t="s">
        <v>13</v>
      </c>
      <c r="G863" s="2" t="s">
        <v>72</v>
      </c>
      <c r="H863" s="3">
        <v>4</v>
      </c>
      <c r="I863" s="6">
        <v>2003</v>
      </c>
      <c r="J863" s="2" t="s">
        <v>22</v>
      </c>
      <c r="K863" s="2" t="s">
        <v>201</v>
      </c>
      <c r="L863" s="7">
        <f t="shared" si="39"/>
        <v>2200</v>
      </c>
      <c r="M863" s="2" t="str">
        <f t="shared" si="40"/>
        <v>October</v>
      </c>
      <c r="N863" s="6">
        <f t="shared" si="41"/>
        <v>2003</v>
      </c>
    </row>
    <row r="864" spans="1:14">
      <c r="A864" s="2" t="s">
        <v>69</v>
      </c>
      <c r="B864" s="3">
        <v>10311</v>
      </c>
      <c r="C864" s="3">
        <v>43</v>
      </c>
      <c r="D864" s="13">
        <v>100</v>
      </c>
      <c r="E864" s="5">
        <v>38276</v>
      </c>
      <c r="F864" s="2" t="s">
        <v>13</v>
      </c>
      <c r="G864" s="2" t="s">
        <v>72</v>
      </c>
      <c r="H864" s="3">
        <v>4</v>
      </c>
      <c r="I864" s="6">
        <v>2004</v>
      </c>
      <c r="J864" s="2" t="s">
        <v>22</v>
      </c>
      <c r="K864" s="2" t="s">
        <v>71</v>
      </c>
      <c r="L864" s="7">
        <f t="shared" si="39"/>
        <v>4300</v>
      </c>
      <c r="M864" s="2" t="str">
        <f t="shared" si="40"/>
        <v>October</v>
      </c>
      <c r="N864" s="6">
        <f t="shared" si="41"/>
        <v>2004</v>
      </c>
    </row>
    <row r="865" spans="1:14">
      <c r="A865" s="2" t="s">
        <v>65</v>
      </c>
      <c r="B865" s="3">
        <v>10321</v>
      </c>
      <c r="C865" s="3">
        <v>27</v>
      </c>
      <c r="D865" s="13">
        <v>100</v>
      </c>
      <c r="E865" s="5">
        <v>38295</v>
      </c>
      <c r="F865" s="2" t="s">
        <v>13</v>
      </c>
      <c r="G865" s="2" t="s">
        <v>72</v>
      </c>
      <c r="H865" s="3">
        <v>4</v>
      </c>
      <c r="I865" s="6">
        <v>2004</v>
      </c>
      <c r="J865" s="2" t="s">
        <v>15</v>
      </c>
      <c r="K865" s="2" t="s">
        <v>66</v>
      </c>
      <c r="L865" s="7">
        <f t="shared" si="39"/>
        <v>2700</v>
      </c>
      <c r="M865" s="2" t="str">
        <f t="shared" si="40"/>
        <v>November</v>
      </c>
      <c r="N865" s="6">
        <f t="shared" si="41"/>
        <v>2004</v>
      </c>
    </row>
    <row r="866" spans="1:14">
      <c r="A866" s="2" t="s">
        <v>116</v>
      </c>
      <c r="B866" s="3">
        <v>10331</v>
      </c>
      <c r="C866" s="3">
        <v>26</v>
      </c>
      <c r="D866" s="13">
        <v>64.9</v>
      </c>
      <c r="E866" s="5">
        <v>38308</v>
      </c>
      <c r="F866" s="2" t="s">
        <v>13</v>
      </c>
      <c r="G866" s="2" t="s">
        <v>72</v>
      </c>
      <c r="H866" s="3">
        <v>4</v>
      </c>
      <c r="I866" s="6">
        <v>2004</v>
      </c>
      <c r="J866" s="2" t="s">
        <v>15</v>
      </c>
      <c r="K866" s="2" t="s">
        <v>117</v>
      </c>
      <c r="L866" s="7">
        <f t="shared" si="39"/>
        <v>1687.4</v>
      </c>
      <c r="M866" s="2" t="str">
        <f t="shared" si="40"/>
        <v>November</v>
      </c>
      <c r="N866" s="6">
        <f t="shared" si="41"/>
        <v>2004</v>
      </c>
    </row>
    <row r="867" spans="1:14">
      <c r="A867" s="2" t="s">
        <v>18</v>
      </c>
      <c r="B867" s="3">
        <v>10343</v>
      </c>
      <c r="C867" s="3">
        <v>25</v>
      </c>
      <c r="D867" s="13">
        <v>52.32</v>
      </c>
      <c r="E867" s="5">
        <v>38315</v>
      </c>
      <c r="F867" s="2" t="s">
        <v>13</v>
      </c>
      <c r="G867" s="2" t="s">
        <v>72</v>
      </c>
      <c r="H867" s="3">
        <v>4</v>
      </c>
      <c r="I867" s="6">
        <v>2004</v>
      </c>
      <c r="J867" s="2" t="s">
        <v>15</v>
      </c>
      <c r="K867" s="2" t="s">
        <v>19</v>
      </c>
      <c r="L867" s="7">
        <f t="shared" si="39"/>
        <v>1308</v>
      </c>
      <c r="M867" s="2" t="str">
        <f t="shared" si="40"/>
        <v>November</v>
      </c>
      <c r="N867" s="6">
        <f t="shared" si="41"/>
        <v>2004</v>
      </c>
    </row>
    <row r="868" spans="1:14">
      <c r="A868" s="2" t="s">
        <v>212</v>
      </c>
      <c r="B868" s="3">
        <v>10366</v>
      </c>
      <c r="C868" s="3">
        <v>49</v>
      </c>
      <c r="D868" s="13">
        <v>100</v>
      </c>
      <c r="E868" s="5">
        <v>38362</v>
      </c>
      <c r="F868" s="2" t="s">
        <v>13</v>
      </c>
      <c r="G868" s="2" t="s">
        <v>72</v>
      </c>
      <c r="H868" s="3">
        <v>1</v>
      </c>
      <c r="I868" s="6">
        <v>2005</v>
      </c>
      <c r="J868" s="2" t="s">
        <v>22</v>
      </c>
      <c r="K868" s="2" t="s">
        <v>213</v>
      </c>
      <c r="L868" s="7">
        <f t="shared" si="39"/>
        <v>4900</v>
      </c>
      <c r="M868" s="2" t="str">
        <f t="shared" si="40"/>
        <v>January</v>
      </c>
      <c r="N868" s="6">
        <f t="shared" si="41"/>
        <v>2005</v>
      </c>
    </row>
    <row r="869" spans="1:14">
      <c r="A869" s="2" t="s">
        <v>69</v>
      </c>
      <c r="B869" s="3">
        <v>10379</v>
      </c>
      <c r="C869" s="3">
        <v>29</v>
      </c>
      <c r="D869" s="13">
        <v>100</v>
      </c>
      <c r="E869" s="5">
        <v>38393</v>
      </c>
      <c r="F869" s="2" t="s">
        <v>13</v>
      </c>
      <c r="G869" s="2" t="s">
        <v>72</v>
      </c>
      <c r="H869" s="3">
        <v>1</v>
      </c>
      <c r="I869" s="6">
        <v>2005</v>
      </c>
      <c r="J869" s="2" t="s">
        <v>22</v>
      </c>
      <c r="K869" s="2" t="s">
        <v>71</v>
      </c>
      <c r="L869" s="7">
        <f t="shared" si="39"/>
        <v>2900</v>
      </c>
      <c r="M869" s="2" t="str">
        <f t="shared" si="40"/>
        <v>February</v>
      </c>
      <c r="N869" s="6">
        <f t="shared" si="41"/>
        <v>2005</v>
      </c>
    </row>
    <row r="870" spans="1:14">
      <c r="A870" s="2" t="s">
        <v>149</v>
      </c>
      <c r="B870" s="3">
        <v>10407</v>
      </c>
      <c r="C870" s="3">
        <v>41</v>
      </c>
      <c r="D870" s="13">
        <v>100</v>
      </c>
      <c r="E870" s="5">
        <v>38464</v>
      </c>
      <c r="F870" s="2" t="s">
        <v>151</v>
      </c>
      <c r="G870" s="2" t="s">
        <v>72</v>
      </c>
      <c r="H870" s="3">
        <v>2</v>
      </c>
      <c r="I870" s="6">
        <v>2005</v>
      </c>
      <c r="J870" s="2" t="s">
        <v>22</v>
      </c>
      <c r="K870" s="2" t="s">
        <v>150</v>
      </c>
      <c r="L870" s="7">
        <f t="shared" si="39"/>
        <v>4100</v>
      </c>
      <c r="M870" s="2" t="str">
        <f t="shared" si="40"/>
        <v>April</v>
      </c>
      <c r="N870" s="6">
        <f t="shared" si="41"/>
        <v>2005</v>
      </c>
    </row>
    <row r="871" spans="1:14">
      <c r="A871" s="2" t="s">
        <v>60</v>
      </c>
      <c r="B871" s="3">
        <v>10419</v>
      </c>
      <c r="C871" s="3">
        <v>55</v>
      </c>
      <c r="D871" s="13">
        <v>100</v>
      </c>
      <c r="E871" s="5">
        <v>38489</v>
      </c>
      <c r="F871" s="2" t="s">
        <v>13</v>
      </c>
      <c r="G871" s="2" t="s">
        <v>72</v>
      </c>
      <c r="H871" s="3">
        <v>2</v>
      </c>
      <c r="I871" s="6">
        <v>2005</v>
      </c>
      <c r="J871" s="2" t="s">
        <v>61</v>
      </c>
      <c r="K871" s="2" t="s">
        <v>62</v>
      </c>
      <c r="L871" s="7">
        <f t="shared" si="39"/>
        <v>5500</v>
      </c>
      <c r="M871" s="2" t="str">
        <f t="shared" si="40"/>
        <v>May</v>
      </c>
      <c r="N871" s="6">
        <f t="shared" si="41"/>
        <v>2005</v>
      </c>
    </row>
    <row r="872" spans="1:14">
      <c r="A872" s="2" t="s">
        <v>56</v>
      </c>
      <c r="B872" s="3">
        <v>10103</v>
      </c>
      <c r="C872" s="3">
        <v>27</v>
      </c>
      <c r="D872" s="13">
        <v>83.07</v>
      </c>
      <c r="E872" s="5">
        <v>37650</v>
      </c>
      <c r="F872" s="2" t="s">
        <v>13</v>
      </c>
      <c r="G872" s="2" t="s">
        <v>202</v>
      </c>
      <c r="H872" s="3">
        <v>1</v>
      </c>
      <c r="I872" s="6">
        <v>2003</v>
      </c>
      <c r="J872" s="2" t="s">
        <v>15</v>
      </c>
      <c r="K872" s="2" t="s">
        <v>57</v>
      </c>
      <c r="L872" s="7">
        <f t="shared" si="39"/>
        <v>2242.89</v>
      </c>
      <c r="M872" s="2" t="str">
        <f t="shared" si="40"/>
        <v>January</v>
      </c>
      <c r="N872" s="6">
        <f t="shared" si="41"/>
        <v>2003</v>
      </c>
    </row>
    <row r="873" spans="1:14">
      <c r="A873" s="2" t="s">
        <v>73</v>
      </c>
      <c r="B873" s="3">
        <v>10112</v>
      </c>
      <c r="C873" s="3">
        <v>23</v>
      </c>
      <c r="D873" s="13">
        <v>100</v>
      </c>
      <c r="E873" s="5">
        <v>37704</v>
      </c>
      <c r="F873" s="2" t="s">
        <v>13</v>
      </c>
      <c r="G873" s="2" t="s">
        <v>202</v>
      </c>
      <c r="H873" s="3">
        <v>1</v>
      </c>
      <c r="I873" s="6">
        <v>2003</v>
      </c>
      <c r="J873" s="2" t="s">
        <v>15</v>
      </c>
      <c r="K873" s="2" t="s">
        <v>74</v>
      </c>
      <c r="L873" s="7">
        <f t="shared" si="39"/>
        <v>2300</v>
      </c>
      <c r="M873" s="2" t="str">
        <f t="shared" si="40"/>
        <v>March</v>
      </c>
      <c r="N873" s="6">
        <f t="shared" si="41"/>
        <v>2003</v>
      </c>
    </row>
    <row r="874" spans="1:14">
      <c r="A874" s="2" t="s">
        <v>75</v>
      </c>
      <c r="B874" s="3">
        <v>10126</v>
      </c>
      <c r="C874" s="3">
        <v>31</v>
      </c>
      <c r="D874" s="13">
        <v>90.17</v>
      </c>
      <c r="E874" s="5">
        <v>37769</v>
      </c>
      <c r="F874" s="2" t="s">
        <v>13</v>
      </c>
      <c r="G874" s="2" t="s">
        <v>202</v>
      </c>
      <c r="H874" s="3">
        <v>2</v>
      </c>
      <c r="I874" s="6">
        <v>2003</v>
      </c>
      <c r="J874" s="2" t="s">
        <v>15</v>
      </c>
      <c r="K874" s="2" t="s">
        <v>76</v>
      </c>
      <c r="L874" s="7">
        <f t="shared" si="39"/>
        <v>2795.27</v>
      </c>
      <c r="M874" s="2" t="str">
        <f t="shared" si="40"/>
        <v>May</v>
      </c>
      <c r="N874" s="6">
        <f t="shared" si="41"/>
        <v>2003</v>
      </c>
    </row>
    <row r="875" spans="1:14">
      <c r="A875" s="2" t="s">
        <v>63</v>
      </c>
      <c r="B875" s="3">
        <v>10139</v>
      </c>
      <c r="C875" s="3">
        <v>46</v>
      </c>
      <c r="D875" s="13">
        <v>100</v>
      </c>
      <c r="E875" s="5">
        <v>37818</v>
      </c>
      <c r="F875" s="2" t="s">
        <v>13</v>
      </c>
      <c r="G875" s="2" t="s">
        <v>202</v>
      </c>
      <c r="H875" s="3">
        <v>3</v>
      </c>
      <c r="I875" s="6">
        <v>2003</v>
      </c>
      <c r="J875" s="2" t="s">
        <v>22</v>
      </c>
      <c r="K875" s="2" t="s">
        <v>64</v>
      </c>
      <c r="L875" s="7">
        <f t="shared" si="39"/>
        <v>4600</v>
      </c>
      <c r="M875" s="2" t="str">
        <f t="shared" si="40"/>
        <v>July</v>
      </c>
      <c r="N875" s="6">
        <f t="shared" si="41"/>
        <v>2003</v>
      </c>
    </row>
    <row r="876" spans="1:14">
      <c r="A876" s="2" t="s">
        <v>77</v>
      </c>
      <c r="B876" s="3">
        <v>10150</v>
      </c>
      <c r="C876" s="3">
        <v>47</v>
      </c>
      <c r="D876" s="13">
        <v>91.18</v>
      </c>
      <c r="E876" s="5">
        <v>37883</v>
      </c>
      <c r="F876" s="2" t="s">
        <v>13</v>
      </c>
      <c r="G876" s="2" t="s">
        <v>202</v>
      </c>
      <c r="H876" s="3">
        <v>3</v>
      </c>
      <c r="I876" s="6">
        <v>2003</v>
      </c>
      <c r="J876" s="2" t="s">
        <v>22</v>
      </c>
      <c r="K876" s="2" t="s">
        <v>78</v>
      </c>
      <c r="L876" s="7">
        <f t="shared" si="39"/>
        <v>4285.46</v>
      </c>
      <c r="M876" s="2" t="str">
        <f t="shared" si="40"/>
        <v>September</v>
      </c>
      <c r="N876" s="6">
        <f t="shared" si="41"/>
        <v>2003</v>
      </c>
    </row>
    <row r="877" spans="1:14">
      <c r="A877" s="2" t="s">
        <v>79</v>
      </c>
      <c r="B877" s="3">
        <v>10163</v>
      </c>
      <c r="C877" s="3">
        <v>31</v>
      </c>
      <c r="D877" s="13">
        <v>100</v>
      </c>
      <c r="E877" s="5">
        <v>37914</v>
      </c>
      <c r="F877" s="2" t="s">
        <v>13</v>
      </c>
      <c r="G877" s="2" t="s">
        <v>202</v>
      </c>
      <c r="H877" s="3">
        <v>4</v>
      </c>
      <c r="I877" s="6">
        <v>2003</v>
      </c>
      <c r="J877" s="2" t="s">
        <v>22</v>
      </c>
      <c r="K877" s="2" t="s">
        <v>80</v>
      </c>
      <c r="L877" s="7">
        <f t="shared" si="39"/>
        <v>3100</v>
      </c>
      <c r="M877" s="2" t="str">
        <f t="shared" si="40"/>
        <v>October</v>
      </c>
      <c r="N877" s="6">
        <f t="shared" si="41"/>
        <v>2003</v>
      </c>
    </row>
    <row r="878" spans="1:14">
      <c r="A878" s="2" t="s">
        <v>81</v>
      </c>
      <c r="B878" s="3">
        <v>10174</v>
      </c>
      <c r="C878" s="3">
        <v>46</v>
      </c>
      <c r="D878" s="13">
        <v>100</v>
      </c>
      <c r="E878" s="5">
        <v>37931</v>
      </c>
      <c r="F878" s="2" t="s">
        <v>13</v>
      </c>
      <c r="G878" s="2" t="s">
        <v>202</v>
      </c>
      <c r="H878" s="3">
        <v>4</v>
      </c>
      <c r="I878" s="6">
        <v>2003</v>
      </c>
      <c r="J878" s="2" t="s">
        <v>22</v>
      </c>
      <c r="K878" s="2" t="s">
        <v>82</v>
      </c>
      <c r="L878" s="7">
        <f t="shared" si="39"/>
        <v>4600</v>
      </c>
      <c r="M878" s="2" t="str">
        <f t="shared" si="40"/>
        <v>November</v>
      </c>
      <c r="N878" s="6">
        <f t="shared" si="41"/>
        <v>2003</v>
      </c>
    </row>
    <row r="879" spans="1:14">
      <c r="A879" s="2" t="s">
        <v>83</v>
      </c>
      <c r="B879" s="3">
        <v>10183</v>
      </c>
      <c r="C879" s="3">
        <v>37</v>
      </c>
      <c r="D879" s="13">
        <v>89.15</v>
      </c>
      <c r="E879" s="5">
        <v>37938</v>
      </c>
      <c r="F879" s="2" t="s">
        <v>13</v>
      </c>
      <c r="G879" s="2" t="s">
        <v>202</v>
      </c>
      <c r="H879" s="3">
        <v>4</v>
      </c>
      <c r="I879" s="6">
        <v>2003</v>
      </c>
      <c r="J879" s="2" t="s">
        <v>22</v>
      </c>
      <c r="K879" s="2" t="s">
        <v>84</v>
      </c>
      <c r="L879" s="7">
        <f t="shared" si="39"/>
        <v>3298.55</v>
      </c>
      <c r="M879" s="2" t="str">
        <f t="shared" si="40"/>
        <v>November</v>
      </c>
      <c r="N879" s="6">
        <f t="shared" si="41"/>
        <v>2003</v>
      </c>
    </row>
    <row r="880" spans="1:14">
      <c r="A880" s="2" t="s">
        <v>205</v>
      </c>
      <c r="B880" s="3">
        <v>10193</v>
      </c>
      <c r="C880" s="3">
        <v>28</v>
      </c>
      <c r="D880" s="13">
        <v>93.21</v>
      </c>
      <c r="E880" s="5">
        <v>37946</v>
      </c>
      <c r="F880" s="2" t="s">
        <v>13</v>
      </c>
      <c r="G880" s="2" t="s">
        <v>202</v>
      </c>
      <c r="H880" s="3">
        <v>4</v>
      </c>
      <c r="I880" s="6">
        <v>2003</v>
      </c>
      <c r="J880" s="2" t="s">
        <v>15</v>
      </c>
      <c r="K880" s="2" t="s">
        <v>206</v>
      </c>
      <c r="L880" s="7">
        <f t="shared" si="39"/>
        <v>2609.88</v>
      </c>
      <c r="M880" s="2" t="str">
        <f t="shared" si="40"/>
        <v>November</v>
      </c>
      <c r="N880" s="6">
        <f t="shared" si="41"/>
        <v>2003</v>
      </c>
    </row>
    <row r="881" spans="1:14">
      <c r="A881" s="2" t="s">
        <v>87</v>
      </c>
      <c r="B881" s="3">
        <v>10206</v>
      </c>
      <c r="C881" s="3">
        <v>37</v>
      </c>
      <c r="D881" s="13">
        <v>90.17</v>
      </c>
      <c r="E881" s="5">
        <v>37960</v>
      </c>
      <c r="F881" s="2" t="s">
        <v>13</v>
      </c>
      <c r="G881" s="2" t="s">
        <v>202</v>
      </c>
      <c r="H881" s="3">
        <v>4</v>
      </c>
      <c r="I881" s="6">
        <v>2003</v>
      </c>
      <c r="J881" s="2" t="s">
        <v>22</v>
      </c>
      <c r="K881" s="2" t="s">
        <v>88</v>
      </c>
      <c r="L881" s="7">
        <f t="shared" si="39"/>
        <v>3336.29</v>
      </c>
      <c r="M881" s="2" t="str">
        <f t="shared" si="40"/>
        <v>December</v>
      </c>
      <c r="N881" s="6">
        <f t="shared" si="41"/>
        <v>2003</v>
      </c>
    </row>
    <row r="882" spans="1:14">
      <c r="A882" s="2" t="s">
        <v>89</v>
      </c>
      <c r="B882" s="3">
        <v>10215</v>
      </c>
      <c r="C882" s="3">
        <v>49</v>
      </c>
      <c r="D882" s="13">
        <v>100</v>
      </c>
      <c r="E882" s="5">
        <v>38015</v>
      </c>
      <c r="F882" s="2" t="s">
        <v>13</v>
      </c>
      <c r="G882" s="2" t="s">
        <v>202</v>
      </c>
      <c r="H882" s="3">
        <v>1</v>
      </c>
      <c r="I882" s="6">
        <v>2004</v>
      </c>
      <c r="J882" s="2" t="s">
        <v>22</v>
      </c>
      <c r="K882" s="2" t="s">
        <v>90</v>
      </c>
      <c r="L882" s="7">
        <f t="shared" si="39"/>
        <v>4900</v>
      </c>
      <c r="M882" s="2" t="str">
        <f t="shared" si="40"/>
        <v>January</v>
      </c>
      <c r="N882" s="6">
        <f t="shared" si="41"/>
        <v>2004</v>
      </c>
    </row>
    <row r="883" spans="1:14">
      <c r="A883" s="2" t="s">
        <v>91</v>
      </c>
      <c r="B883" s="3">
        <v>10228</v>
      </c>
      <c r="C883" s="3">
        <v>24</v>
      </c>
      <c r="D883" s="13">
        <v>100</v>
      </c>
      <c r="E883" s="5">
        <v>38056</v>
      </c>
      <c r="F883" s="2" t="s">
        <v>13</v>
      </c>
      <c r="G883" s="2" t="s">
        <v>202</v>
      </c>
      <c r="H883" s="3">
        <v>1</v>
      </c>
      <c r="I883" s="6">
        <v>2004</v>
      </c>
      <c r="J883" s="2" t="s">
        <v>15</v>
      </c>
      <c r="K883" s="2" t="s">
        <v>92</v>
      </c>
      <c r="L883" s="7">
        <f t="shared" si="39"/>
        <v>2400</v>
      </c>
      <c r="M883" s="2" t="str">
        <f t="shared" si="40"/>
        <v>March</v>
      </c>
      <c r="N883" s="6">
        <f t="shared" si="41"/>
        <v>2004</v>
      </c>
    </row>
    <row r="884" spans="1:14">
      <c r="A884" s="2" t="s">
        <v>69</v>
      </c>
      <c r="B884" s="3">
        <v>10244</v>
      </c>
      <c r="C884" s="3">
        <v>30</v>
      </c>
      <c r="D884" s="13">
        <v>100</v>
      </c>
      <c r="E884" s="5">
        <v>38106</v>
      </c>
      <c r="F884" s="2" t="s">
        <v>13</v>
      </c>
      <c r="G884" s="2" t="s">
        <v>202</v>
      </c>
      <c r="H884" s="3">
        <v>2</v>
      </c>
      <c r="I884" s="6">
        <v>2004</v>
      </c>
      <c r="J884" s="2" t="s">
        <v>22</v>
      </c>
      <c r="K884" s="2" t="s">
        <v>71</v>
      </c>
      <c r="L884" s="7">
        <f t="shared" si="39"/>
        <v>3000</v>
      </c>
      <c r="M884" s="2" t="str">
        <f t="shared" si="40"/>
        <v>April</v>
      </c>
      <c r="N884" s="6">
        <f t="shared" si="41"/>
        <v>2004</v>
      </c>
    </row>
    <row r="885" spans="1:14">
      <c r="A885" s="2" t="s">
        <v>149</v>
      </c>
      <c r="B885" s="3">
        <v>10257</v>
      </c>
      <c r="C885" s="3">
        <v>50</v>
      </c>
      <c r="D885" s="13">
        <v>88.14</v>
      </c>
      <c r="E885" s="5">
        <v>38152</v>
      </c>
      <c r="F885" s="2" t="s">
        <v>13</v>
      </c>
      <c r="G885" s="2" t="s">
        <v>202</v>
      </c>
      <c r="H885" s="3">
        <v>2</v>
      </c>
      <c r="I885" s="6">
        <v>2004</v>
      </c>
      <c r="J885" s="2" t="s">
        <v>22</v>
      </c>
      <c r="K885" s="2" t="s">
        <v>150</v>
      </c>
      <c r="L885" s="7">
        <f t="shared" si="39"/>
        <v>4407</v>
      </c>
      <c r="M885" s="2" t="str">
        <f t="shared" si="40"/>
        <v>June</v>
      </c>
      <c r="N885" s="6">
        <f t="shared" si="41"/>
        <v>2004</v>
      </c>
    </row>
    <row r="886" spans="1:14">
      <c r="A886" s="2" t="s">
        <v>63</v>
      </c>
      <c r="B886" s="3">
        <v>10270</v>
      </c>
      <c r="C886" s="3">
        <v>31</v>
      </c>
      <c r="D886" s="13">
        <v>96.24</v>
      </c>
      <c r="E886" s="5">
        <v>38187</v>
      </c>
      <c r="F886" s="2" t="s">
        <v>13</v>
      </c>
      <c r="G886" s="2" t="s">
        <v>202</v>
      </c>
      <c r="H886" s="3">
        <v>3</v>
      </c>
      <c r="I886" s="6">
        <v>2004</v>
      </c>
      <c r="J886" s="2" t="s">
        <v>15</v>
      </c>
      <c r="K886" s="2" t="s">
        <v>64</v>
      </c>
      <c r="L886" s="7">
        <f t="shared" si="39"/>
        <v>2983.44</v>
      </c>
      <c r="M886" s="2" t="str">
        <f t="shared" si="40"/>
        <v>July</v>
      </c>
      <c r="N886" s="6">
        <f t="shared" si="41"/>
        <v>2004</v>
      </c>
    </row>
    <row r="887" spans="1:14">
      <c r="A887" s="2" t="s">
        <v>97</v>
      </c>
      <c r="B887" s="3">
        <v>10280</v>
      </c>
      <c r="C887" s="3">
        <v>46</v>
      </c>
      <c r="D887" s="13">
        <v>100</v>
      </c>
      <c r="E887" s="5">
        <v>38216</v>
      </c>
      <c r="F887" s="2" t="s">
        <v>13</v>
      </c>
      <c r="G887" s="2" t="s">
        <v>202</v>
      </c>
      <c r="H887" s="3">
        <v>3</v>
      </c>
      <c r="I887" s="6">
        <v>2004</v>
      </c>
      <c r="J887" s="2" t="s">
        <v>22</v>
      </c>
      <c r="K887" s="2" t="s">
        <v>98</v>
      </c>
      <c r="L887" s="7">
        <f t="shared" si="39"/>
        <v>4600</v>
      </c>
      <c r="M887" s="2" t="str">
        <f t="shared" si="40"/>
        <v>August</v>
      </c>
      <c r="N887" s="6">
        <f t="shared" si="41"/>
        <v>2004</v>
      </c>
    </row>
    <row r="888" spans="1:14">
      <c r="A888" s="2" t="s">
        <v>99</v>
      </c>
      <c r="B888" s="3">
        <v>10291</v>
      </c>
      <c r="C888" s="3">
        <v>47</v>
      </c>
      <c r="D888" s="13">
        <v>100</v>
      </c>
      <c r="E888" s="5">
        <v>38238</v>
      </c>
      <c r="F888" s="2" t="s">
        <v>13</v>
      </c>
      <c r="G888" s="2" t="s">
        <v>202</v>
      </c>
      <c r="H888" s="3">
        <v>3</v>
      </c>
      <c r="I888" s="6">
        <v>2004</v>
      </c>
      <c r="J888" s="2" t="s">
        <v>22</v>
      </c>
      <c r="K888" s="2" t="s">
        <v>100</v>
      </c>
      <c r="L888" s="7">
        <f t="shared" si="39"/>
        <v>4700</v>
      </c>
      <c r="M888" s="2" t="str">
        <f t="shared" si="40"/>
        <v>September</v>
      </c>
      <c r="N888" s="6">
        <f t="shared" si="41"/>
        <v>2004</v>
      </c>
    </row>
    <row r="889" spans="1:14">
      <c r="A889" s="2" t="s">
        <v>101</v>
      </c>
      <c r="B889" s="3">
        <v>10304</v>
      </c>
      <c r="C889" s="3">
        <v>46</v>
      </c>
      <c r="D889" s="13">
        <v>100</v>
      </c>
      <c r="E889" s="5">
        <v>38271</v>
      </c>
      <c r="F889" s="2" t="s">
        <v>13</v>
      </c>
      <c r="G889" s="2" t="s">
        <v>202</v>
      </c>
      <c r="H889" s="3">
        <v>4</v>
      </c>
      <c r="I889" s="6">
        <v>2004</v>
      </c>
      <c r="J889" s="2" t="s">
        <v>22</v>
      </c>
      <c r="K889" s="2" t="s">
        <v>102</v>
      </c>
      <c r="L889" s="7">
        <f t="shared" si="39"/>
        <v>4600</v>
      </c>
      <c r="M889" s="2" t="str">
        <f t="shared" si="40"/>
        <v>October</v>
      </c>
      <c r="N889" s="6">
        <f t="shared" si="41"/>
        <v>2004</v>
      </c>
    </row>
    <row r="890" spans="1:14">
      <c r="A890" s="2" t="s">
        <v>103</v>
      </c>
      <c r="B890" s="3">
        <v>10312</v>
      </c>
      <c r="C890" s="3">
        <v>37</v>
      </c>
      <c r="D890" s="13">
        <v>100</v>
      </c>
      <c r="E890" s="5">
        <v>38281</v>
      </c>
      <c r="F890" s="2" t="s">
        <v>13</v>
      </c>
      <c r="G890" s="2" t="s">
        <v>202</v>
      </c>
      <c r="H890" s="3">
        <v>4</v>
      </c>
      <c r="I890" s="6">
        <v>2004</v>
      </c>
      <c r="J890" s="2" t="s">
        <v>22</v>
      </c>
      <c r="K890" s="2" t="s">
        <v>104</v>
      </c>
      <c r="L890" s="7">
        <f t="shared" si="39"/>
        <v>3700</v>
      </c>
      <c r="M890" s="2" t="str">
        <f t="shared" si="40"/>
        <v>October</v>
      </c>
      <c r="N890" s="6">
        <f t="shared" si="41"/>
        <v>2004</v>
      </c>
    </row>
    <row r="891" spans="1:14">
      <c r="A891" s="2" t="s">
        <v>105</v>
      </c>
      <c r="B891" s="3">
        <v>10322</v>
      </c>
      <c r="C891" s="3">
        <v>33</v>
      </c>
      <c r="D891" s="13">
        <v>100</v>
      </c>
      <c r="E891" s="5">
        <v>38295</v>
      </c>
      <c r="F891" s="2" t="s">
        <v>13</v>
      </c>
      <c r="G891" s="2" t="s">
        <v>202</v>
      </c>
      <c r="H891" s="3">
        <v>4</v>
      </c>
      <c r="I891" s="6">
        <v>2004</v>
      </c>
      <c r="J891" s="2" t="s">
        <v>22</v>
      </c>
      <c r="K891" s="2" t="s">
        <v>106</v>
      </c>
      <c r="L891" s="7">
        <f t="shared" si="39"/>
        <v>3300</v>
      </c>
      <c r="M891" s="2" t="str">
        <f t="shared" si="40"/>
        <v>November</v>
      </c>
      <c r="N891" s="6">
        <f t="shared" si="41"/>
        <v>2004</v>
      </c>
    </row>
    <row r="892" spans="1:14">
      <c r="A892" s="2" t="s">
        <v>38</v>
      </c>
      <c r="B892" s="3">
        <v>10333</v>
      </c>
      <c r="C892" s="3">
        <v>31</v>
      </c>
      <c r="D892" s="13">
        <v>90.17</v>
      </c>
      <c r="E892" s="5">
        <v>38309</v>
      </c>
      <c r="F892" s="2" t="s">
        <v>13</v>
      </c>
      <c r="G892" s="2" t="s">
        <v>202</v>
      </c>
      <c r="H892" s="3">
        <v>4</v>
      </c>
      <c r="I892" s="6">
        <v>2004</v>
      </c>
      <c r="J892" s="2" t="s">
        <v>15</v>
      </c>
      <c r="K892" s="2" t="s">
        <v>39</v>
      </c>
      <c r="L892" s="7">
        <f t="shared" si="39"/>
        <v>2795.27</v>
      </c>
      <c r="M892" s="2" t="str">
        <f t="shared" si="40"/>
        <v>November</v>
      </c>
      <c r="N892" s="6">
        <f t="shared" si="41"/>
        <v>2004</v>
      </c>
    </row>
    <row r="893" spans="1:14">
      <c r="A893" s="2" t="s">
        <v>42</v>
      </c>
      <c r="B893" s="3">
        <v>10347</v>
      </c>
      <c r="C893" s="3">
        <v>48</v>
      </c>
      <c r="D893" s="13">
        <v>100</v>
      </c>
      <c r="E893" s="5">
        <v>38320</v>
      </c>
      <c r="F893" s="2" t="s">
        <v>13</v>
      </c>
      <c r="G893" s="2" t="s">
        <v>202</v>
      </c>
      <c r="H893" s="3">
        <v>4</v>
      </c>
      <c r="I893" s="6">
        <v>2004</v>
      </c>
      <c r="J893" s="2" t="s">
        <v>22</v>
      </c>
      <c r="K893" s="2" t="s">
        <v>43</v>
      </c>
      <c r="L893" s="7">
        <f t="shared" si="39"/>
        <v>4800</v>
      </c>
      <c r="M893" s="2" t="str">
        <f t="shared" si="40"/>
        <v>November</v>
      </c>
      <c r="N893" s="6">
        <f t="shared" si="41"/>
        <v>2004</v>
      </c>
    </row>
    <row r="894" spans="1:14">
      <c r="A894" s="2" t="s">
        <v>103</v>
      </c>
      <c r="B894" s="3">
        <v>10357</v>
      </c>
      <c r="C894" s="3">
        <v>41</v>
      </c>
      <c r="D894" s="13">
        <v>87.13</v>
      </c>
      <c r="E894" s="5">
        <v>38331</v>
      </c>
      <c r="F894" s="2" t="s">
        <v>13</v>
      </c>
      <c r="G894" s="2" t="s">
        <v>202</v>
      </c>
      <c r="H894" s="3">
        <v>4</v>
      </c>
      <c r="I894" s="6">
        <v>2004</v>
      </c>
      <c r="J894" s="2" t="s">
        <v>22</v>
      </c>
      <c r="K894" s="2" t="s">
        <v>104</v>
      </c>
      <c r="L894" s="7">
        <f t="shared" si="39"/>
        <v>3572.33</v>
      </c>
      <c r="M894" s="2" t="str">
        <f t="shared" si="40"/>
        <v>December</v>
      </c>
      <c r="N894" s="6">
        <f t="shared" si="41"/>
        <v>2004</v>
      </c>
    </row>
    <row r="895" spans="1:14">
      <c r="A895" s="2" t="s">
        <v>107</v>
      </c>
      <c r="B895" s="3">
        <v>10369</v>
      </c>
      <c r="C895" s="3">
        <v>42</v>
      </c>
      <c r="D895" s="13">
        <v>100</v>
      </c>
      <c r="E895" s="5">
        <v>38372</v>
      </c>
      <c r="F895" s="2" t="s">
        <v>13</v>
      </c>
      <c r="G895" s="2" t="s">
        <v>202</v>
      </c>
      <c r="H895" s="3">
        <v>1</v>
      </c>
      <c r="I895" s="6">
        <v>2005</v>
      </c>
      <c r="J895" s="2" t="s">
        <v>22</v>
      </c>
      <c r="K895" s="2" t="s">
        <v>108</v>
      </c>
      <c r="L895" s="7">
        <f t="shared" si="39"/>
        <v>4200</v>
      </c>
      <c r="M895" s="2" t="str">
        <f t="shared" si="40"/>
        <v>January</v>
      </c>
      <c r="N895" s="6">
        <f t="shared" si="41"/>
        <v>2005</v>
      </c>
    </row>
    <row r="896" spans="1:14">
      <c r="A896" s="2" t="s">
        <v>28</v>
      </c>
      <c r="B896" s="3">
        <v>10381</v>
      </c>
      <c r="C896" s="3">
        <v>41</v>
      </c>
      <c r="D896" s="13">
        <v>100</v>
      </c>
      <c r="E896" s="5">
        <v>38400</v>
      </c>
      <c r="F896" s="2" t="s">
        <v>13</v>
      </c>
      <c r="G896" s="2" t="s">
        <v>202</v>
      </c>
      <c r="H896" s="3">
        <v>1</v>
      </c>
      <c r="I896" s="6">
        <v>2005</v>
      </c>
      <c r="J896" s="2" t="s">
        <v>22</v>
      </c>
      <c r="K896" s="2" t="s">
        <v>29</v>
      </c>
      <c r="L896" s="7">
        <f t="shared" si="39"/>
        <v>4100</v>
      </c>
      <c r="M896" s="2" t="str">
        <f t="shared" si="40"/>
        <v>February</v>
      </c>
      <c r="N896" s="6">
        <f t="shared" si="41"/>
        <v>2005</v>
      </c>
    </row>
    <row r="897" spans="1:14">
      <c r="A897" s="2" t="s">
        <v>109</v>
      </c>
      <c r="B897" s="3">
        <v>10391</v>
      </c>
      <c r="C897" s="3">
        <v>32</v>
      </c>
      <c r="D897" s="13">
        <v>45.25</v>
      </c>
      <c r="E897" s="5">
        <v>38420</v>
      </c>
      <c r="F897" s="2" t="s">
        <v>13</v>
      </c>
      <c r="G897" s="2" t="s">
        <v>202</v>
      </c>
      <c r="H897" s="3">
        <v>1</v>
      </c>
      <c r="I897" s="6">
        <v>2005</v>
      </c>
      <c r="J897" s="2" t="s">
        <v>15</v>
      </c>
      <c r="K897" s="2" t="s">
        <v>110</v>
      </c>
      <c r="L897" s="7">
        <f t="shared" si="39"/>
        <v>1448</v>
      </c>
      <c r="M897" s="2" t="str">
        <f t="shared" si="40"/>
        <v>March</v>
      </c>
      <c r="N897" s="6">
        <f t="shared" si="41"/>
        <v>2005</v>
      </c>
    </row>
    <row r="898" spans="1:14">
      <c r="A898" s="2" t="s">
        <v>139</v>
      </c>
      <c r="B898" s="3">
        <v>10423</v>
      </c>
      <c r="C898" s="3">
        <v>10</v>
      </c>
      <c r="D898" s="13">
        <v>88.14</v>
      </c>
      <c r="E898" s="5">
        <v>38502</v>
      </c>
      <c r="F898" s="2" t="s">
        <v>113</v>
      </c>
      <c r="G898" s="2" t="s">
        <v>202</v>
      </c>
      <c r="H898" s="3">
        <v>2</v>
      </c>
      <c r="I898" s="6">
        <v>2005</v>
      </c>
      <c r="J898" s="2" t="s">
        <v>15</v>
      </c>
      <c r="K898" s="2" t="s">
        <v>140</v>
      </c>
      <c r="L898" s="7">
        <f t="shared" ref="L898:L961" si="42">PRODUCT(C898,D898)</f>
        <v>881.4</v>
      </c>
      <c r="M898" s="2" t="str">
        <f t="shared" ref="M898:M961" si="43">TEXT(E898,"MMMM")</f>
        <v>May</v>
      </c>
      <c r="N898" s="6">
        <f t="shared" ref="N898:N961" si="44">YEAR(E898)</f>
        <v>2005</v>
      </c>
    </row>
    <row r="899" spans="1:14">
      <c r="A899" s="2" t="s">
        <v>56</v>
      </c>
      <c r="B899" s="3">
        <v>10103</v>
      </c>
      <c r="C899" s="3">
        <v>35</v>
      </c>
      <c r="D899" s="13">
        <v>57.46</v>
      </c>
      <c r="E899" s="5">
        <v>37650</v>
      </c>
      <c r="F899" s="2" t="s">
        <v>13</v>
      </c>
      <c r="G899" s="2" t="s">
        <v>202</v>
      </c>
      <c r="H899" s="3">
        <v>1</v>
      </c>
      <c r="I899" s="6">
        <v>2003</v>
      </c>
      <c r="J899" s="2" t="s">
        <v>15</v>
      </c>
      <c r="K899" s="2" t="s">
        <v>57</v>
      </c>
      <c r="L899" s="7">
        <f t="shared" si="42"/>
        <v>2011.1</v>
      </c>
      <c r="M899" s="2" t="str">
        <f t="shared" si="43"/>
        <v>January</v>
      </c>
      <c r="N899" s="6">
        <f t="shared" si="44"/>
        <v>2003</v>
      </c>
    </row>
    <row r="900" spans="1:14">
      <c r="A900" s="2" t="s">
        <v>38</v>
      </c>
      <c r="B900" s="3">
        <v>10111</v>
      </c>
      <c r="C900" s="3">
        <v>28</v>
      </c>
      <c r="D900" s="13">
        <v>64.33</v>
      </c>
      <c r="E900" s="5">
        <v>37705</v>
      </c>
      <c r="F900" s="2" t="s">
        <v>13</v>
      </c>
      <c r="G900" s="2" t="s">
        <v>202</v>
      </c>
      <c r="H900" s="3">
        <v>1</v>
      </c>
      <c r="I900" s="6">
        <v>2003</v>
      </c>
      <c r="J900" s="2" t="s">
        <v>15</v>
      </c>
      <c r="K900" s="2" t="s">
        <v>39</v>
      </c>
      <c r="L900" s="7">
        <f t="shared" si="42"/>
        <v>1801.24</v>
      </c>
      <c r="M900" s="2" t="str">
        <f t="shared" si="43"/>
        <v>March</v>
      </c>
      <c r="N900" s="6">
        <f t="shared" si="44"/>
        <v>2003</v>
      </c>
    </row>
    <row r="901" spans="1:14">
      <c r="A901" s="2" t="s">
        <v>75</v>
      </c>
      <c r="B901" s="3">
        <v>10126</v>
      </c>
      <c r="C901" s="3">
        <v>46</v>
      </c>
      <c r="D901" s="13">
        <v>73.7</v>
      </c>
      <c r="E901" s="5">
        <v>37769</v>
      </c>
      <c r="F901" s="2" t="s">
        <v>13</v>
      </c>
      <c r="G901" s="2" t="s">
        <v>202</v>
      </c>
      <c r="H901" s="3">
        <v>2</v>
      </c>
      <c r="I901" s="6">
        <v>2003</v>
      </c>
      <c r="J901" s="2" t="s">
        <v>22</v>
      </c>
      <c r="K901" s="2" t="s">
        <v>76</v>
      </c>
      <c r="L901" s="7">
        <f t="shared" si="42"/>
        <v>3390.2</v>
      </c>
      <c r="M901" s="2" t="str">
        <f t="shared" si="43"/>
        <v>May</v>
      </c>
      <c r="N901" s="6">
        <f t="shared" si="44"/>
        <v>2003</v>
      </c>
    </row>
    <row r="902" spans="1:14">
      <c r="A902" s="2" t="s">
        <v>63</v>
      </c>
      <c r="B902" s="3">
        <v>10139</v>
      </c>
      <c r="C902" s="3">
        <v>20</v>
      </c>
      <c r="D902" s="13">
        <v>71.2</v>
      </c>
      <c r="E902" s="5">
        <v>37818</v>
      </c>
      <c r="F902" s="2" t="s">
        <v>13</v>
      </c>
      <c r="G902" s="2" t="s">
        <v>202</v>
      </c>
      <c r="H902" s="3">
        <v>3</v>
      </c>
      <c r="I902" s="6">
        <v>2003</v>
      </c>
      <c r="J902" s="2" t="s">
        <v>15</v>
      </c>
      <c r="K902" s="2" t="s">
        <v>64</v>
      </c>
      <c r="L902" s="7">
        <f t="shared" si="42"/>
        <v>1424</v>
      </c>
      <c r="M902" s="2" t="str">
        <f t="shared" si="43"/>
        <v>July</v>
      </c>
      <c r="N902" s="6">
        <f t="shared" si="44"/>
        <v>2003</v>
      </c>
    </row>
    <row r="903" spans="1:14">
      <c r="A903" s="2" t="s">
        <v>77</v>
      </c>
      <c r="B903" s="3">
        <v>10150</v>
      </c>
      <c r="C903" s="3">
        <v>30</v>
      </c>
      <c r="D903" s="13">
        <v>49.97</v>
      </c>
      <c r="E903" s="5">
        <v>37883</v>
      </c>
      <c r="F903" s="2" t="s">
        <v>13</v>
      </c>
      <c r="G903" s="2" t="s">
        <v>202</v>
      </c>
      <c r="H903" s="3">
        <v>3</v>
      </c>
      <c r="I903" s="6">
        <v>2003</v>
      </c>
      <c r="J903" s="2" t="s">
        <v>15</v>
      </c>
      <c r="K903" s="2" t="s">
        <v>78</v>
      </c>
      <c r="L903" s="7">
        <f t="shared" si="42"/>
        <v>1499.1</v>
      </c>
      <c r="M903" s="2" t="str">
        <f t="shared" si="43"/>
        <v>September</v>
      </c>
      <c r="N903" s="6">
        <f t="shared" si="44"/>
        <v>2003</v>
      </c>
    </row>
    <row r="904" spans="1:14">
      <c r="A904" s="2" t="s">
        <v>79</v>
      </c>
      <c r="B904" s="3">
        <v>10163</v>
      </c>
      <c r="C904" s="3">
        <v>48</v>
      </c>
      <c r="D904" s="13">
        <v>69.96</v>
      </c>
      <c r="E904" s="5">
        <v>37914</v>
      </c>
      <c r="F904" s="2" t="s">
        <v>13</v>
      </c>
      <c r="G904" s="2" t="s">
        <v>202</v>
      </c>
      <c r="H904" s="3">
        <v>4</v>
      </c>
      <c r="I904" s="6">
        <v>2003</v>
      </c>
      <c r="J904" s="2" t="s">
        <v>22</v>
      </c>
      <c r="K904" s="2" t="s">
        <v>80</v>
      </c>
      <c r="L904" s="7">
        <f t="shared" si="42"/>
        <v>3358.08</v>
      </c>
      <c r="M904" s="2" t="str">
        <f t="shared" si="43"/>
        <v>October</v>
      </c>
      <c r="N904" s="6">
        <f t="shared" si="44"/>
        <v>2003</v>
      </c>
    </row>
    <row r="905" spans="1:14">
      <c r="A905" s="2" t="s">
        <v>203</v>
      </c>
      <c r="B905" s="3">
        <v>10173</v>
      </c>
      <c r="C905" s="3">
        <v>28</v>
      </c>
      <c r="D905" s="13">
        <v>53.72</v>
      </c>
      <c r="E905" s="5">
        <v>37930</v>
      </c>
      <c r="F905" s="2" t="s">
        <v>13</v>
      </c>
      <c r="G905" s="2" t="s">
        <v>202</v>
      </c>
      <c r="H905" s="3">
        <v>4</v>
      </c>
      <c r="I905" s="6">
        <v>2003</v>
      </c>
      <c r="J905" s="2" t="s">
        <v>15</v>
      </c>
      <c r="K905" s="2" t="s">
        <v>204</v>
      </c>
      <c r="L905" s="7">
        <f t="shared" si="42"/>
        <v>1504.16</v>
      </c>
      <c r="M905" s="2" t="str">
        <f t="shared" si="43"/>
        <v>November</v>
      </c>
      <c r="N905" s="6">
        <f t="shared" si="44"/>
        <v>2003</v>
      </c>
    </row>
    <row r="906" spans="1:14">
      <c r="A906" s="2" t="s">
        <v>83</v>
      </c>
      <c r="B906" s="3">
        <v>10183</v>
      </c>
      <c r="C906" s="3">
        <v>39</v>
      </c>
      <c r="D906" s="13">
        <v>68.08</v>
      </c>
      <c r="E906" s="5">
        <v>37938</v>
      </c>
      <c r="F906" s="2" t="s">
        <v>13</v>
      </c>
      <c r="G906" s="2" t="s">
        <v>202</v>
      </c>
      <c r="H906" s="3">
        <v>4</v>
      </c>
      <c r="I906" s="6">
        <v>2003</v>
      </c>
      <c r="J906" s="2" t="s">
        <v>15</v>
      </c>
      <c r="K906" s="2" t="s">
        <v>84</v>
      </c>
      <c r="L906" s="7">
        <f t="shared" si="42"/>
        <v>2655.12</v>
      </c>
      <c r="M906" s="2" t="str">
        <f t="shared" si="43"/>
        <v>November</v>
      </c>
      <c r="N906" s="6">
        <f t="shared" si="44"/>
        <v>2003</v>
      </c>
    </row>
    <row r="907" spans="1:14">
      <c r="A907" s="2" t="s">
        <v>205</v>
      </c>
      <c r="B907" s="3">
        <v>10193</v>
      </c>
      <c r="C907" s="3">
        <v>24</v>
      </c>
      <c r="D907" s="13">
        <v>51.84</v>
      </c>
      <c r="E907" s="5">
        <v>37946</v>
      </c>
      <c r="F907" s="2" t="s">
        <v>13</v>
      </c>
      <c r="G907" s="2" t="s">
        <v>202</v>
      </c>
      <c r="H907" s="3">
        <v>4</v>
      </c>
      <c r="I907" s="6">
        <v>2003</v>
      </c>
      <c r="J907" s="2" t="s">
        <v>15</v>
      </c>
      <c r="K907" s="2" t="s">
        <v>206</v>
      </c>
      <c r="L907" s="7">
        <f t="shared" si="42"/>
        <v>1244.16</v>
      </c>
      <c r="M907" s="2" t="str">
        <f t="shared" si="43"/>
        <v>November</v>
      </c>
      <c r="N907" s="6">
        <f t="shared" si="44"/>
        <v>2003</v>
      </c>
    </row>
    <row r="908" spans="1:14">
      <c r="A908" s="2" t="s">
        <v>87</v>
      </c>
      <c r="B908" s="3">
        <v>10206</v>
      </c>
      <c r="C908" s="3">
        <v>28</v>
      </c>
      <c r="D908" s="13">
        <v>67.46</v>
      </c>
      <c r="E908" s="5">
        <v>37960</v>
      </c>
      <c r="F908" s="2" t="s">
        <v>13</v>
      </c>
      <c r="G908" s="2" t="s">
        <v>202</v>
      </c>
      <c r="H908" s="3">
        <v>4</v>
      </c>
      <c r="I908" s="6">
        <v>2003</v>
      </c>
      <c r="J908" s="2" t="s">
        <v>15</v>
      </c>
      <c r="K908" s="2" t="s">
        <v>88</v>
      </c>
      <c r="L908" s="7">
        <f t="shared" si="42"/>
        <v>1888.88</v>
      </c>
      <c r="M908" s="2" t="str">
        <f t="shared" si="43"/>
        <v>December</v>
      </c>
      <c r="N908" s="6">
        <f t="shared" si="44"/>
        <v>2003</v>
      </c>
    </row>
    <row r="909" spans="1:14">
      <c r="A909" s="2" t="s">
        <v>89</v>
      </c>
      <c r="B909" s="3">
        <v>10215</v>
      </c>
      <c r="C909" s="3">
        <v>31</v>
      </c>
      <c r="D909" s="13">
        <v>58.71</v>
      </c>
      <c r="E909" s="5">
        <v>38015</v>
      </c>
      <c r="F909" s="2" t="s">
        <v>13</v>
      </c>
      <c r="G909" s="2" t="s">
        <v>202</v>
      </c>
      <c r="H909" s="3">
        <v>1</v>
      </c>
      <c r="I909" s="6">
        <v>2004</v>
      </c>
      <c r="J909" s="2" t="s">
        <v>15</v>
      </c>
      <c r="K909" s="2" t="s">
        <v>90</v>
      </c>
      <c r="L909" s="7">
        <f t="shared" si="42"/>
        <v>1820.01</v>
      </c>
      <c r="M909" s="2" t="str">
        <f t="shared" si="43"/>
        <v>January</v>
      </c>
      <c r="N909" s="6">
        <f t="shared" si="44"/>
        <v>2004</v>
      </c>
    </row>
    <row r="910" spans="1:14">
      <c r="A910" s="2" t="s">
        <v>91</v>
      </c>
      <c r="B910" s="3">
        <v>10228</v>
      </c>
      <c r="C910" s="3">
        <v>45</v>
      </c>
      <c r="D910" s="13">
        <v>63.71</v>
      </c>
      <c r="E910" s="5">
        <v>38056</v>
      </c>
      <c r="F910" s="2" t="s">
        <v>13</v>
      </c>
      <c r="G910" s="2" t="s">
        <v>202</v>
      </c>
      <c r="H910" s="3">
        <v>1</v>
      </c>
      <c r="I910" s="6">
        <v>2004</v>
      </c>
      <c r="J910" s="2" t="s">
        <v>15</v>
      </c>
      <c r="K910" s="2" t="s">
        <v>92</v>
      </c>
      <c r="L910" s="7">
        <f t="shared" si="42"/>
        <v>2866.95</v>
      </c>
      <c r="M910" s="2" t="str">
        <f t="shared" si="43"/>
        <v>March</v>
      </c>
      <c r="N910" s="6">
        <f t="shared" si="44"/>
        <v>2004</v>
      </c>
    </row>
    <row r="911" spans="1:14">
      <c r="A911" s="2" t="s">
        <v>69</v>
      </c>
      <c r="B911" s="3">
        <v>10244</v>
      </c>
      <c r="C911" s="3">
        <v>24</v>
      </c>
      <c r="D911" s="13">
        <v>58.09</v>
      </c>
      <c r="E911" s="5">
        <v>38106</v>
      </c>
      <c r="F911" s="2" t="s">
        <v>13</v>
      </c>
      <c r="G911" s="2" t="s">
        <v>202</v>
      </c>
      <c r="H911" s="3">
        <v>2</v>
      </c>
      <c r="I911" s="6">
        <v>2004</v>
      </c>
      <c r="J911" s="2" t="s">
        <v>15</v>
      </c>
      <c r="K911" s="2" t="s">
        <v>71</v>
      </c>
      <c r="L911" s="7">
        <f t="shared" si="42"/>
        <v>1394.16</v>
      </c>
      <c r="M911" s="2" t="str">
        <f t="shared" si="43"/>
        <v>April</v>
      </c>
      <c r="N911" s="6">
        <f t="shared" si="44"/>
        <v>2004</v>
      </c>
    </row>
    <row r="912" spans="1:14">
      <c r="A912" s="2" t="s">
        <v>149</v>
      </c>
      <c r="B912" s="3">
        <v>10257</v>
      </c>
      <c r="C912" s="3">
        <v>49</v>
      </c>
      <c r="D912" s="13">
        <v>53.72</v>
      </c>
      <c r="E912" s="5">
        <v>38152</v>
      </c>
      <c r="F912" s="2" t="s">
        <v>13</v>
      </c>
      <c r="G912" s="2" t="s">
        <v>202</v>
      </c>
      <c r="H912" s="3">
        <v>2</v>
      </c>
      <c r="I912" s="6">
        <v>2004</v>
      </c>
      <c r="J912" s="2" t="s">
        <v>15</v>
      </c>
      <c r="K912" s="2" t="s">
        <v>150</v>
      </c>
      <c r="L912" s="7">
        <f t="shared" si="42"/>
        <v>2632.28</v>
      </c>
      <c r="M912" s="2" t="str">
        <f t="shared" si="43"/>
        <v>June</v>
      </c>
      <c r="N912" s="6">
        <f t="shared" si="44"/>
        <v>2004</v>
      </c>
    </row>
    <row r="913" spans="1:14">
      <c r="A913" s="2" t="s">
        <v>60</v>
      </c>
      <c r="B913" s="3">
        <v>10269</v>
      </c>
      <c r="C913" s="3">
        <v>32</v>
      </c>
      <c r="D913" s="13">
        <v>63.08</v>
      </c>
      <c r="E913" s="5">
        <v>38184</v>
      </c>
      <c r="F913" s="2" t="s">
        <v>13</v>
      </c>
      <c r="G913" s="2" t="s">
        <v>202</v>
      </c>
      <c r="H913" s="3">
        <v>3</v>
      </c>
      <c r="I913" s="6">
        <v>2004</v>
      </c>
      <c r="J913" s="2" t="s">
        <v>15</v>
      </c>
      <c r="K913" s="2" t="s">
        <v>62</v>
      </c>
      <c r="L913" s="7">
        <f t="shared" si="42"/>
        <v>2018.56</v>
      </c>
      <c r="M913" s="2" t="str">
        <f t="shared" si="43"/>
        <v>July</v>
      </c>
      <c r="N913" s="6">
        <f t="shared" si="44"/>
        <v>2004</v>
      </c>
    </row>
    <row r="914" spans="1:14">
      <c r="A914" s="2" t="s">
        <v>97</v>
      </c>
      <c r="B914" s="3">
        <v>10280</v>
      </c>
      <c r="C914" s="3">
        <v>43</v>
      </c>
      <c r="D914" s="13">
        <v>68.71</v>
      </c>
      <c r="E914" s="5">
        <v>38216</v>
      </c>
      <c r="F914" s="2" t="s">
        <v>13</v>
      </c>
      <c r="G914" s="2" t="s">
        <v>202</v>
      </c>
      <c r="H914" s="3">
        <v>3</v>
      </c>
      <c r="I914" s="6">
        <v>2004</v>
      </c>
      <c r="J914" s="2" t="s">
        <v>15</v>
      </c>
      <c r="K914" s="2" t="s">
        <v>98</v>
      </c>
      <c r="L914" s="7">
        <f t="shared" si="42"/>
        <v>2954.53</v>
      </c>
      <c r="M914" s="2" t="str">
        <f t="shared" si="43"/>
        <v>August</v>
      </c>
      <c r="N914" s="6">
        <f t="shared" si="44"/>
        <v>2004</v>
      </c>
    </row>
    <row r="915" spans="1:14">
      <c r="A915" s="2" t="s">
        <v>99</v>
      </c>
      <c r="B915" s="3">
        <v>10291</v>
      </c>
      <c r="C915" s="3">
        <v>37</v>
      </c>
      <c r="D915" s="13">
        <v>50.59</v>
      </c>
      <c r="E915" s="5">
        <v>38238</v>
      </c>
      <c r="F915" s="2" t="s">
        <v>13</v>
      </c>
      <c r="G915" s="2" t="s">
        <v>202</v>
      </c>
      <c r="H915" s="3">
        <v>3</v>
      </c>
      <c r="I915" s="6">
        <v>2004</v>
      </c>
      <c r="J915" s="2" t="s">
        <v>15</v>
      </c>
      <c r="K915" s="2" t="s">
        <v>100</v>
      </c>
      <c r="L915" s="7">
        <f t="shared" si="42"/>
        <v>1871.83</v>
      </c>
      <c r="M915" s="2" t="str">
        <f t="shared" si="43"/>
        <v>September</v>
      </c>
      <c r="N915" s="6">
        <f t="shared" si="44"/>
        <v>2004</v>
      </c>
    </row>
    <row r="916" spans="1:14">
      <c r="A916" s="2" t="s">
        <v>101</v>
      </c>
      <c r="B916" s="3">
        <v>10304</v>
      </c>
      <c r="C916" s="3">
        <v>24</v>
      </c>
      <c r="D916" s="13">
        <v>64.96</v>
      </c>
      <c r="E916" s="5">
        <v>38271</v>
      </c>
      <c r="F916" s="2" t="s">
        <v>13</v>
      </c>
      <c r="G916" s="2" t="s">
        <v>202</v>
      </c>
      <c r="H916" s="3">
        <v>4</v>
      </c>
      <c r="I916" s="6">
        <v>2004</v>
      </c>
      <c r="J916" s="2" t="s">
        <v>15</v>
      </c>
      <c r="K916" s="2" t="s">
        <v>102</v>
      </c>
      <c r="L916" s="7">
        <f t="shared" si="42"/>
        <v>1559.04</v>
      </c>
      <c r="M916" s="2" t="str">
        <f t="shared" si="43"/>
        <v>October</v>
      </c>
      <c r="N916" s="6">
        <f t="shared" si="44"/>
        <v>2004</v>
      </c>
    </row>
    <row r="917" spans="1:14">
      <c r="A917" s="2" t="s">
        <v>103</v>
      </c>
      <c r="B917" s="3">
        <v>10312</v>
      </c>
      <c r="C917" s="3">
        <v>35</v>
      </c>
      <c r="D917" s="13">
        <v>53.72</v>
      </c>
      <c r="E917" s="5">
        <v>38281</v>
      </c>
      <c r="F917" s="2" t="s">
        <v>13</v>
      </c>
      <c r="G917" s="2" t="s">
        <v>202</v>
      </c>
      <c r="H917" s="3">
        <v>4</v>
      </c>
      <c r="I917" s="6">
        <v>2004</v>
      </c>
      <c r="J917" s="2" t="s">
        <v>15</v>
      </c>
      <c r="K917" s="2" t="s">
        <v>104</v>
      </c>
      <c r="L917" s="7">
        <f t="shared" si="42"/>
        <v>1880.2</v>
      </c>
      <c r="M917" s="2" t="str">
        <f t="shared" si="43"/>
        <v>October</v>
      </c>
      <c r="N917" s="6">
        <f t="shared" si="44"/>
        <v>2004</v>
      </c>
    </row>
    <row r="918" spans="1:14">
      <c r="A918" s="2" t="s">
        <v>105</v>
      </c>
      <c r="B918" s="3">
        <v>10322</v>
      </c>
      <c r="C918" s="3">
        <v>41</v>
      </c>
      <c r="D918" s="13">
        <v>29.87</v>
      </c>
      <c r="E918" s="5">
        <v>38295</v>
      </c>
      <c r="F918" s="2" t="s">
        <v>13</v>
      </c>
      <c r="G918" s="2" t="s">
        <v>202</v>
      </c>
      <c r="H918" s="3">
        <v>4</v>
      </c>
      <c r="I918" s="6">
        <v>2004</v>
      </c>
      <c r="J918" s="2" t="s">
        <v>15</v>
      </c>
      <c r="K918" s="2" t="s">
        <v>106</v>
      </c>
      <c r="L918" s="7">
        <f t="shared" si="42"/>
        <v>1224.67</v>
      </c>
      <c r="M918" s="2" t="str">
        <f t="shared" si="43"/>
        <v>November</v>
      </c>
      <c r="N918" s="6">
        <f t="shared" si="44"/>
        <v>2004</v>
      </c>
    </row>
    <row r="919" spans="1:14">
      <c r="A919" s="2" t="s">
        <v>183</v>
      </c>
      <c r="B919" s="3">
        <v>10332</v>
      </c>
      <c r="C919" s="3">
        <v>26</v>
      </c>
      <c r="D919" s="13">
        <v>100</v>
      </c>
      <c r="E919" s="5">
        <v>38308</v>
      </c>
      <c r="F919" s="2" t="s">
        <v>13</v>
      </c>
      <c r="G919" s="2" t="s">
        <v>202</v>
      </c>
      <c r="H919" s="3">
        <v>4</v>
      </c>
      <c r="I919" s="6">
        <v>2004</v>
      </c>
      <c r="J919" s="2" t="s">
        <v>15</v>
      </c>
      <c r="K919" s="2" t="s">
        <v>184</v>
      </c>
      <c r="L919" s="7">
        <f t="shared" si="42"/>
        <v>2600</v>
      </c>
      <c r="M919" s="2" t="str">
        <f t="shared" si="43"/>
        <v>November</v>
      </c>
      <c r="N919" s="6">
        <f t="shared" si="44"/>
        <v>2004</v>
      </c>
    </row>
    <row r="920" spans="1:14">
      <c r="A920" s="2" t="s">
        <v>42</v>
      </c>
      <c r="B920" s="3">
        <v>10347</v>
      </c>
      <c r="C920" s="3">
        <v>34</v>
      </c>
      <c r="D920" s="13">
        <v>64.96</v>
      </c>
      <c r="E920" s="5">
        <v>38320</v>
      </c>
      <c r="F920" s="2" t="s">
        <v>13</v>
      </c>
      <c r="G920" s="2" t="s">
        <v>202</v>
      </c>
      <c r="H920" s="3">
        <v>4</v>
      </c>
      <c r="I920" s="6">
        <v>2004</v>
      </c>
      <c r="J920" s="2" t="s">
        <v>15</v>
      </c>
      <c r="K920" s="2" t="s">
        <v>43</v>
      </c>
      <c r="L920" s="7">
        <f t="shared" si="42"/>
        <v>2208.64</v>
      </c>
      <c r="M920" s="2" t="str">
        <f t="shared" si="43"/>
        <v>November</v>
      </c>
      <c r="N920" s="6">
        <f t="shared" si="44"/>
        <v>2004</v>
      </c>
    </row>
    <row r="921" spans="1:14">
      <c r="A921" s="2" t="s">
        <v>103</v>
      </c>
      <c r="B921" s="3">
        <v>10357</v>
      </c>
      <c r="C921" s="3">
        <v>49</v>
      </c>
      <c r="D921" s="13">
        <v>70.58</v>
      </c>
      <c r="E921" s="5">
        <v>38331</v>
      </c>
      <c r="F921" s="2" t="s">
        <v>13</v>
      </c>
      <c r="G921" s="2" t="s">
        <v>202</v>
      </c>
      <c r="H921" s="3">
        <v>4</v>
      </c>
      <c r="I921" s="6">
        <v>2004</v>
      </c>
      <c r="J921" s="2" t="s">
        <v>22</v>
      </c>
      <c r="K921" s="2" t="s">
        <v>104</v>
      </c>
      <c r="L921" s="7">
        <f t="shared" si="42"/>
        <v>3458.42</v>
      </c>
      <c r="M921" s="2" t="str">
        <f t="shared" si="43"/>
        <v>December</v>
      </c>
      <c r="N921" s="6">
        <f t="shared" si="44"/>
        <v>2004</v>
      </c>
    </row>
    <row r="922" spans="1:14">
      <c r="A922" s="2" t="s">
        <v>107</v>
      </c>
      <c r="B922" s="3">
        <v>10369</v>
      </c>
      <c r="C922" s="3">
        <v>28</v>
      </c>
      <c r="D922" s="13">
        <v>44.21</v>
      </c>
      <c r="E922" s="5">
        <v>38372</v>
      </c>
      <c r="F922" s="2" t="s">
        <v>13</v>
      </c>
      <c r="G922" s="2" t="s">
        <v>202</v>
      </c>
      <c r="H922" s="3">
        <v>1</v>
      </c>
      <c r="I922" s="6">
        <v>2005</v>
      </c>
      <c r="J922" s="2" t="s">
        <v>15</v>
      </c>
      <c r="K922" s="2" t="s">
        <v>108</v>
      </c>
      <c r="L922" s="7">
        <f t="shared" si="42"/>
        <v>1237.88</v>
      </c>
      <c r="M922" s="2" t="str">
        <f t="shared" si="43"/>
        <v>January</v>
      </c>
      <c r="N922" s="6">
        <f t="shared" si="44"/>
        <v>2005</v>
      </c>
    </row>
    <row r="923" spans="1:14">
      <c r="A923" s="2" t="s">
        <v>28</v>
      </c>
      <c r="B923" s="3">
        <v>10381</v>
      </c>
      <c r="C923" s="3">
        <v>40</v>
      </c>
      <c r="D923" s="13">
        <v>68.08</v>
      </c>
      <c r="E923" s="5">
        <v>38400</v>
      </c>
      <c r="F923" s="2" t="s">
        <v>13</v>
      </c>
      <c r="G923" s="2" t="s">
        <v>202</v>
      </c>
      <c r="H923" s="3">
        <v>1</v>
      </c>
      <c r="I923" s="6">
        <v>2005</v>
      </c>
      <c r="J923" s="2" t="s">
        <v>15</v>
      </c>
      <c r="K923" s="2" t="s">
        <v>29</v>
      </c>
      <c r="L923" s="7">
        <f t="shared" si="42"/>
        <v>2723.2</v>
      </c>
      <c r="M923" s="2" t="str">
        <f t="shared" si="43"/>
        <v>February</v>
      </c>
      <c r="N923" s="6">
        <f t="shared" si="44"/>
        <v>2005</v>
      </c>
    </row>
    <row r="924" spans="1:14">
      <c r="A924" s="2" t="s">
        <v>154</v>
      </c>
      <c r="B924" s="3">
        <v>10392</v>
      </c>
      <c r="C924" s="3">
        <v>37</v>
      </c>
      <c r="D924" s="13">
        <v>59.96</v>
      </c>
      <c r="E924" s="5">
        <v>38421</v>
      </c>
      <c r="F924" s="2" t="s">
        <v>13</v>
      </c>
      <c r="G924" s="2" t="s">
        <v>202</v>
      </c>
      <c r="H924" s="3">
        <v>1</v>
      </c>
      <c r="I924" s="6">
        <v>2005</v>
      </c>
      <c r="J924" s="2" t="s">
        <v>15</v>
      </c>
      <c r="K924" s="2" t="s">
        <v>156</v>
      </c>
      <c r="L924" s="7">
        <f t="shared" si="42"/>
        <v>2218.52</v>
      </c>
      <c r="M924" s="2" t="str">
        <f t="shared" si="43"/>
        <v>March</v>
      </c>
      <c r="N924" s="6">
        <f t="shared" si="44"/>
        <v>2005</v>
      </c>
    </row>
    <row r="925" spans="1:14">
      <c r="A925" s="2" t="s">
        <v>139</v>
      </c>
      <c r="B925" s="3">
        <v>10423</v>
      </c>
      <c r="C925" s="3">
        <v>31</v>
      </c>
      <c r="D925" s="13">
        <v>53.72</v>
      </c>
      <c r="E925" s="5">
        <v>38502</v>
      </c>
      <c r="F925" s="2" t="s">
        <v>113</v>
      </c>
      <c r="G925" s="2" t="s">
        <v>202</v>
      </c>
      <c r="H925" s="3">
        <v>2</v>
      </c>
      <c r="I925" s="6">
        <v>2005</v>
      </c>
      <c r="J925" s="2" t="s">
        <v>15</v>
      </c>
      <c r="K925" s="2" t="s">
        <v>140</v>
      </c>
      <c r="L925" s="7">
        <f t="shared" si="42"/>
        <v>1665.32</v>
      </c>
      <c r="M925" s="2" t="str">
        <f t="shared" si="43"/>
        <v>May</v>
      </c>
      <c r="N925" s="6">
        <f t="shared" si="44"/>
        <v>2005</v>
      </c>
    </row>
    <row r="926" spans="1:14">
      <c r="A926" s="2" t="s">
        <v>203</v>
      </c>
      <c r="B926" s="3">
        <v>10106</v>
      </c>
      <c r="C926" s="3">
        <v>41</v>
      </c>
      <c r="D926" s="13">
        <v>83.44</v>
      </c>
      <c r="E926" s="5">
        <v>37669</v>
      </c>
      <c r="F926" s="2" t="s">
        <v>13</v>
      </c>
      <c r="G926" s="2" t="s">
        <v>214</v>
      </c>
      <c r="H926" s="3">
        <v>1</v>
      </c>
      <c r="I926" s="6">
        <v>2003</v>
      </c>
      <c r="J926" s="2" t="s">
        <v>22</v>
      </c>
      <c r="K926" s="2" t="s">
        <v>204</v>
      </c>
      <c r="L926" s="7">
        <f t="shared" si="42"/>
        <v>3421.04</v>
      </c>
      <c r="M926" s="2" t="str">
        <f t="shared" si="43"/>
        <v>February</v>
      </c>
      <c r="N926" s="6">
        <f t="shared" si="44"/>
        <v>2003</v>
      </c>
    </row>
    <row r="927" spans="1:14">
      <c r="A927" s="2" t="s">
        <v>60</v>
      </c>
      <c r="B927" s="3">
        <v>10119</v>
      </c>
      <c r="C927" s="3">
        <v>21</v>
      </c>
      <c r="D927" s="13">
        <v>89.46</v>
      </c>
      <c r="E927" s="5">
        <v>37739</v>
      </c>
      <c r="F927" s="2" t="s">
        <v>13</v>
      </c>
      <c r="G927" s="2" t="s">
        <v>214</v>
      </c>
      <c r="H927" s="3">
        <v>2</v>
      </c>
      <c r="I927" s="6">
        <v>2003</v>
      </c>
      <c r="J927" s="2" t="s">
        <v>15</v>
      </c>
      <c r="K927" s="2" t="s">
        <v>62</v>
      </c>
      <c r="L927" s="7">
        <f t="shared" si="42"/>
        <v>1878.66</v>
      </c>
      <c r="M927" s="2" t="str">
        <f t="shared" si="43"/>
        <v>April</v>
      </c>
      <c r="N927" s="6">
        <f t="shared" si="44"/>
        <v>2003</v>
      </c>
    </row>
    <row r="928" spans="1:14">
      <c r="A928" s="2" t="s">
        <v>215</v>
      </c>
      <c r="B928" s="3">
        <v>10130</v>
      </c>
      <c r="C928" s="3">
        <v>40</v>
      </c>
      <c r="D928" s="13">
        <v>96.34</v>
      </c>
      <c r="E928" s="5">
        <v>37788</v>
      </c>
      <c r="F928" s="2" t="s">
        <v>13</v>
      </c>
      <c r="G928" s="2" t="s">
        <v>214</v>
      </c>
      <c r="H928" s="3">
        <v>2</v>
      </c>
      <c r="I928" s="6">
        <v>2003</v>
      </c>
      <c r="J928" s="2" t="s">
        <v>22</v>
      </c>
      <c r="K928" s="2" t="s">
        <v>216</v>
      </c>
      <c r="L928" s="7">
        <f t="shared" si="42"/>
        <v>3853.6</v>
      </c>
      <c r="M928" s="2" t="str">
        <f t="shared" si="43"/>
        <v>June</v>
      </c>
      <c r="N928" s="6">
        <f t="shared" si="44"/>
        <v>2003</v>
      </c>
    </row>
    <row r="929" spans="1:14">
      <c r="A929" s="2" t="s">
        <v>126</v>
      </c>
      <c r="B929" s="3">
        <v>10143</v>
      </c>
      <c r="C929" s="3">
        <v>46</v>
      </c>
      <c r="D929" s="13">
        <v>74.84</v>
      </c>
      <c r="E929" s="5">
        <v>37843</v>
      </c>
      <c r="F929" s="2" t="s">
        <v>13</v>
      </c>
      <c r="G929" s="2" t="s">
        <v>214</v>
      </c>
      <c r="H929" s="3">
        <v>3</v>
      </c>
      <c r="I929" s="6">
        <v>2003</v>
      </c>
      <c r="J929" s="2" t="s">
        <v>22</v>
      </c>
      <c r="K929" s="2" t="s">
        <v>127</v>
      </c>
      <c r="L929" s="7">
        <f t="shared" si="42"/>
        <v>3442.64</v>
      </c>
      <c r="M929" s="2" t="str">
        <f t="shared" si="43"/>
        <v>August</v>
      </c>
      <c r="N929" s="6">
        <f t="shared" si="44"/>
        <v>2003</v>
      </c>
    </row>
    <row r="930" spans="1:14">
      <c r="A930" s="2" t="s">
        <v>54</v>
      </c>
      <c r="B930" s="3">
        <v>10155</v>
      </c>
      <c r="C930" s="3">
        <v>44</v>
      </c>
      <c r="D930" s="13">
        <v>79.14</v>
      </c>
      <c r="E930" s="5">
        <v>37900</v>
      </c>
      <c r="F930" s="2" t="s">
        <v>13</v>
      </c>
      <c r="G930" s="2" t="s">
        <v>214</v>
      </c>
      <c r="H930" s="3">
        <v>4</v>
      </c>
      <c r="I930" s="6">
        <v>2003</v>
      </c>
      <c r="J930" s="2" t="s">
        <v>22</v>
      </c>
      <c r="K930" s="2" t="s">
        <v>55</v>
      </c>
      <c r="L930" s="7">
        <f t="shared" si="42"/>
        <v>3482.16</v>
      </c>
      <c r="M930" s="2" t="str">
        <f t="shared" si="43"/>
        <v>October</v>
      </c>
      <c r="N930" s="6">
        <f t="shared" si="44"/>
        <v>2003</v>
      </c>
    </row>
    <row r="931" spans="1:14">
      <c r="A931" s="2" t="s">
        <v>99</v>
      </c>
      <c r="B931" s="3">
        <v>10167</v>
      </c>
      <c r="C931" s="3">
        <v>46</v>
      </c>
      <c r="D931" s="13">
        <v>73.12</v>
      </c>
      <c r="E931" s="5">
        <v>37917</v>
      </c>
      <c r="F931" s="2" t="s">
        <v>128</v>
      </c>
      <c r="G931" s="2" t="s">
        <v>214</v>
      </c>
      <c r="H931" s="3">
        <v>4</v>
      </c>
      <c r="I931" s="6">
        <v>2003</v>
      </c>
      <c r="J931" s="2" t="s">
        <v>22</v>
      </c>
      <c r="K931" s="2" t="s">
        <v>100</v>
      </c>
      <c r="L931" s="7">
        <f t="shared" si="42"/>
        <v>3363.52</v>
      </c>
      <c r="M931" s="2" t="str">
        <f t="shared" si="43"/>
        <v>October</v>
      </c>
      <c r="N931" s="6">
        <f t="shared" si="44"/>
        <v>2003</v>
      </c>
    </row>
    <row r="932" spans="1:14">
      <c r="A932" s="2" t="s">
        <v>129</v>
      </c>
      <c r="B932" s="3">
        <v>10178</v>
      </c>
      <c r="C932" s="3">
        <v>41</v>
      </c>
      <c r="D932" s="13">
        <v>81.72</v>
      </c>
      <c r="E932" s="5">
        <v>37933</v>
      </c>
      <c r="F932" s="2" t="s">
        <v>13</v>
      </c>
      <c r="G932" s="2" t="s">
        <v>214</v>
      </c>
      <c r="H932" s="3">
        <v>4</v>
      </c>
      <c r="I932" s="6">
        <v>2003</v>
      </c>
      <c r="J932" s="2" t="s">
        <v>22</v>
      </c>
      <c r="K932" s="2" t="s">
        <v>130</v>
      </c>
      <c r="L932" s="7">
        <f t="shared" si="42"/>
        <v>3350.52</v>
      </c>
      <c r="M932" s="2" t="str">
        <f t="shared" si="43"/>
        <v>November</v>
      </c>
      <c r="N932" s="6">
        <f t="shared" si="44"/>
        <v>2003</v>
      </c>
    </row>
    <row r="933" spans="1:14">
      <c r="A933" s="2" t="s">
        <v>131</v>
      </c>
      <c r="B933" s="3">
        <v>10186</v>
      </c>
      <c r="C933" s="3">
        <v>32</v>
      </c>
      <c r="D933" s="13">
        <v>89.46</v>
      </c>
      <c r="E933" s="5">
        <v>37939</v>
      </c>
      <c r="F933" s="2" t="s">
        <v>13</v>
      </c>
      <c r="G933" s="2" t="s">
        <v>214</v>
      </c>
      <c r="H933" s="3">
        <v>4</v>
      </c>
      <c r="I933" s="6">
        <v>2003</v>
      </c>
      <c r="J933" s="2" t="s">
        <v>15</v>
      </c>
      <c r="K933" s="2" t="s">
        <v>132</v>
      </c>
      <c r="L933" s="7">
        <f t="shared" si="42"/>
        <v>2862.72</v>
      </c>
      <c r="M933" s="2" t="str">
        <f t="shared" si="43"/>
        <v>November</v>
      </c>
      <c r="N933" s="6">
        <f t="shared" si="44"/>
        <v>2003</v>
      </c>
    </row>
    <row r="934" spans="1:14">
      <c r="A934" s="2" t="s">
        <v>133</v>
      </c>
      <c r="B934" s="3">
        <v>10197</v>
      </c>
      <c r="C934" s="3">
        <v>46</v>
      </c>
      <c r="D934" s="13">
        <v>87.74</v>
      </c>
      <c r="E934" s="5">
        <v>37951</v>
      </c>
      <c r="F934" s="2" t="s">
        <v>13</v>
      </c>
      <c r="G934" s="2" t="s">
        <v>214</v>
      </c>
      <c r="H934" s="3">
        <v>4</v>
      </c>
      <c r="I934" s="6">
        <v>2003</v>
      </c>
      <c r="J934" s="2" t="s">
        <v>22</v>
      </c>
      <c r="K934" s="2" t="s">
        <v>134</v>
      </c>
      <c r="L934" s="7">
        <f t="shared" si="42"/>
        <v>4036.04</v>
      </c>
      <c r="M934" s="2" t="str">
        <f t="shared" si="43"/>
        <v>November</v>
      </c>
      <c r="N934" s="6">
        <f t="shared" si="44"/>
        <v>2003</v>
      </c>
    </row>
    <row r="935" spans="1:14">
      <c r="A935" s="2" t="s">
        <v>135</v>
      </c>
      <c r="B935" s="3">
        <v>10209</v>
      </c>
      <c r="C935" s="3">
        <v>28</v>
      </c>
      <c r="D935" s="13">
        <v>100</v>
      </c>
      <c r="E935" s="5">
        <v>37995</v>
      </c>
      <c r="F935" s="2" t="s">
        <v>13</v>
      </c>
      <c r="G935" s="2" t="s">
        <v>214</v>
      </c>
      <c r="H935" s="3">
        <v>1</v>
      </c>
      <c r="I935" s="6">
        <v>2004</v>
      </c>
      <c r="J935" s="2" t="s">
        <v>15</v>
      </c>
      <c r="K935" s="2" t="s">
        <v>136</v>
      </c>
      <c r="L935" s="7">
        <f t="shared" si="42"/>
        <v>2800</v>
      </c>
      <c r="M935" s="2" t="str">
        <f t="shared" si="43"/>
        <v>January</v>
      </c>
      <c r="N935" s="6">
        <f t="shared" si="44"/>
        <v>2004</v>
      </c>
    </row>
    <row r="936" spans="1:14">
      <c r="A936" s="2" t="s">
        <v>137</v>
      </c>
      <c r="B936" s="3">
        <v>10222</v>
      </c>
      <c r="C936" s="3">
        <v>49</v>
      </c>
      <c r="D936" s="13">
        <v>94.62</v>
      </c>
      <c r="E936" s="5">
        <v>38036</v>
      </c>
      <c r="F936" s="2" t="s">
        <v>13</v>
      </c>
      <c r="G936" s="2" t="s">
        <v>214</v>
      </c>
      <c r="H936" s="3">
        <v>1</v>
      </c>
      <c r="I936" s="6">
        <v>2004</v>
      </c>
      <c r="J936" s="2" t="s">
        <v>22</v>
      </c>
      <c r="K936" s="2" t="s">
        <v>138</v>
      </c>
      <c r="L936" s="7">
        <f t="shared" si="42"/>
        <v>4636.38</v>
      </c>
      <c r="M936" s="2" t="str">
        <f t="shared" si="43"/>
        <v>February</v>
      </c>
      <c r="N936" s="6">
        <f t="shared" si="44"/>
        <v>2004</v>
      </c>
    </row>
    <row r="937" spans="1:14">
      <c r="A937" s="2" t="s">
        <v>12</v>
      </c>
      <c r="B937" s="3">
        <v>10248</v>
      </c>
      <c r="C937" s="3">
        <v>21</v>
      </c>
      <c r="D937" s="13">
        <v>73.98</v>
      </c>
      <c r="E937" s="5">
        <v>38114</v>
      </c>
      <c r="F937" s="2" t="s">
        <v>128</v>
      </c>
      <c r="G937" s="2" t="s">
        <v>214</v>
      </c>
      <c r="H937" s="3">
        <v>2</v>
      </c>
      <c r="I937" s="6">
        <v>2004</v>
      </c>
      <c r="J937" s="2" t="s">
        <v>15</v>
      </c>
      <c r="K937" s="2" t="s">
        <v>16</v>
      </c>
      <c r="L937" s="7">
        <f t="shared" si="42"/>
        <v>1553.58</v>
      </c>
      <c r="M937" s="2" t="str">
        <f t="shared" si="43"/>
        <v>May</v>
      </c>
      <c r="N937" s="6">
        <f t="shared" si="44"/>
        <v>2004</v>
      </c>
    </row>
    <row r="938" spans="1:14">
      <c r="A938" s="2" t="s">
        <v>69</v>
      </c>
      <c r="B938" s="3">
        <v>10262</v>
      </c>
      <c r="C938" s="3">
        <v>32</v>
      </c>
      <c r="D938" s="13">
        <v>84.3</v>
      </c>
      <c r="E938" s="5">
        <v>38162</v>
      </c>
      <c r="F938" s="2" t="s">
        <v>128</v>
      </c>
      <c r="G938" s="2" t="s">
        <v>214</v>
      </c>
      <c r="H938" s="3">
        <v>2</v>
      </c>
      <c r="I938" s="6">
        <v>2004</v>
      </c>
      <c r="J938" s="2" t="s">
        <v>15</v>
      </c>
      <c r="K938" s="2" t="s">
        <v>71</v>
      </c>
      <c r="L938" s="7">
        <f t="shared" si="42"/>
        <v>2697.6</v>
      </c>
      <c r="M938" s="2" t="str">
        <f t="shared" si="43"/>
        <v>June</v>
      </c>
      <c r="N938" s="6">
        <f t="shared" si="44"/>
        <v>2004</v>
      </c>
    </row>
    <row r="939" spans="1:14">
      <c r="A939" s="2" t="s">
        <v>139</v>
      </c>
      <c r="B939" s="3">
        <v>10273</v>
      </c>
      <c r="C939" s="3">
        <v>34</v>
      </c>
      <c r="D939" s="13">
        <v>98.06</v>
      </c>
      <c r="E939" s="5">
        <v>38189</v>
      </c>
      <c r="F939" s="2" t="s">
        <v>13</v>
      </c>
      <c r="G939" s="2" t="s">
        <v>214</v>
      </c>
      <c r="H939" s="3">
        <v>3</v>
      </c>
      <c r="I939" s="6">
        <v>2004</v>
      </c>
      <c r="J939" s="2" t="s">
        <v>22</v>
      </c>
      <c r="K939" s="2" t="s">
        <v>140</v>
      </c>
      <c r="L939" s="7">
        <f t="shared" si="42"/>
        <v>3334.04</v>
      </c>
      <c r="M939" s="2" t="str">
        <f t="shared" si="43"/>
        <v>July</v>
      </c>
      <c r="N939" s="6">
        <f t="shared" si="44"/>
        <v>2004</v>
      </c>
    </row>
    <row r="940" spans="1:14">
      <c r="A940" s="2" t="s">
        <v>141</v>
      </c>
      <c r="B940" s="3">
        <v>10283</v>
      </c>
      <c r="C940" s="3">
        <v>21</v>
      </c>
      <c r="D940" s="13">
        <v>98.06</v>
      </c>
      <c r="E940" s="5">
        <v>38219</v>
      </c>
      <c r="F940" s="2" t="s">
        <v>13</v>
      </c>
      <c r="G940" s="2" t="s">
        <v>214</v>
      </c>
      <c r="H940" s="3">
        <v>3</v>
      </c>
      <c r="I940" s="6">
        <v>2004</v>
      </c>
      <c r="J940" s="2" t="s">
        <v>15</v>
      </c>
      <c r="K940" s="2" t="s">
        <v>142</v>
      </c>
      <c r="L940" s="7">
        <f t="shared" si="42"/>
        <v>2059.26</v>
      </c>
      <c r="M940" s="2" t="str">
        <f t="shared" si="43"/>
        <v>August</v>
      </c>
      <c r="N940" s="6">
        <f t="shared" si="44"/>
        <v>2004</v>
      </c>
    </row>
    <row r="941" spans="1:14">
      <c r="A941" s="2" t="s">
        <v>210</v>
      </c>
      <c r="B941" s="3">
        <v>10296</v>
      </c>
      <c r="C941" s="3">
        <v>21</v>
      </c>
      <c r="D941" s="13">
        <v>96.34</v>
      </c>
      <c r="E941" s="5">
        <v>38245</v>
      </c>
      <c r="F941" s="2" t="s">
        <v>13</v>
      </c>
      <c r="G941" s="2" t="s">
        <v>214</v>
      </c>
      <c r="H941" s="3">
        <v>3</v>
      </c>
      <c r="I941" s="6">
        <v>2004</v>
      </c>
      <c r="J941" s="2" t="s">
        <v>15</v>
      </c>
      <c r="K941" s="2" t="s">
        <v>211</v>
      </c>
      <c r="L941" s="7">
        <f t="shared" si="42"/>
        <v>2023.14</v>
      </c>
      <c r="M941" s="2" t="str">
        <f t="shared" si="43"/>
        <v>September</v>
      </c>
      <c r="N941" s="6">
        <f t="shared" si="44"/>
        <v>2004</v>
      </c>
    </row>
    <row r="942" spans="1:14">
      <c r="A942" s="2" t="s">
        <v>83</v>
      </c>
      <c r="B942" s="3">
        <v>10307</v>
      </c>
      <c r="C942" s="3">
        <v>31</v>
      </c>
      <c r="D942" s="13">
        <v>83.44</v>
      </c>
      <c r="E942" s="5">
        <v>38274</v>
      </c>
      <c r="F942" s="2" t="s">
        <v>13</v>
      </c>
      <c r="G942" s="2" t="s">
        <v>214</v>
      </c>
      <c r="H942" s="3">
        <v>4</v>
      </c>
      <c r="I942" s="6">
        <v>2004</v>
      </c>
      <c r="J942" s="2" t="s">
        <v>15</v>
      </c>
      <c r="K942" s="2" t="s">
        <v>84</v>
      </c>
      <c r="L942" s="7">
        <f t="shared" si="42"/>
        <v>2586.64</v>
      </c>
      <c r="M942" s="2" t="str">
        <f t="shared" si="43"/>
        <v>October</v>
      </c>
      <c r="N942" s="6">
        <f t="shared" si="44"/>
        <v>2004</v>
      </c>
    </row>
    <row r="943" spans="1:14">
      <c r="A943" s="2" t="s">
        <v>145</v>
      </c>
      <c r="B943" s="3">
        <v>10316</v>
      </c>
      <c r="C943" s="3">
        <v>21</v>
      </c>
      <c r="D943" s="13">
        <v>94.62</v>
      </c>
      <c r="E943" s="5">
        <v>38292</v>
      </c>
      <c r="F943" s="2" t="s">
        <v>13</v>
      </c>
      <c r="G943" s="2" t="s">
        <v>214</v>
      </c>
      <c r="H943" s="3">
        <v>4</v>
      </c>
      <c r="I943" s="6">
        <v>2004</v>
      </c>
      <c r="J943" s="2" t="s">
        <v>15</v>
      </c>
      <c r="K943" s="2" t="s">
        <v>146</v>
      </c>
      <c r="L943" s="7">
        <f t="shared" si="42"/>
        <v>1987.02</v>
      </c>
      <c r="M943" s="2" t="str">
        <f t="shared" si="43"/>
        <v>November</v>
      </c>
      <c r="N943" s="6">
        <f t="shared" si="44"/>
        <v>2004</v>
      </c>
    </row>
    <row r="944" spans="1:14">
      <c r="A944" s="2" t="s">
        <v>122</v>
      </c>
      <c r="B944" s="3">
        <v>10327</v>
      </c>
      <c r="C944" s="3">
        <v>25</v>
      </c>
      <c r="D944" s="13">
        <v>45.86</v>
      </c>
      <c r="E944" s="5">
        <v>38301</v>
      </c>
      <c r="F944" s="2" t="s">
        <v>155</v>
      </c>
      <c r="G944" s="2" t="s">
        <v>214</v>
      </c>
      <c r="H944" s="3">
        <v>4</v>
      </c>
      <c r="I944" s="6">
        <v>2004</v>
      </c>
      <c r="J944" s="2" t="s">
        <v>15</v>
      </c>
      <c r="K944" s="2" t="s">
        <v>123</v>
      </c>
      <c r="L944" s="7">
        <f t="shared" si="42"/>
        <v>1146.5</v>
      </c>
      <c r="M944" s="2" t="str">
        <f t="shared" si="43"/>
        <v>November</v>
      </c>
      <c r="N944" s="6">
        <f t="shared" si="44"/>
        <v>2004</v>
      </c>
    </row>
    <row r="945" spans="1:14">
      <c r="A945" s="2" t="s">
        <v>212</v>
      </c>
      <c r="B945" s="3">
        <v>10338</v>
      </c>
      <c r="C945" s="3">
        <v>28</v>
      </c>
      <c r="D945" s="13">
        <v>82.58</v>
      </c>
      <c r="E945" s="5">
        <v>38313</v>
      </c>
      <c r="F945" s="2" t="s">
        <v>13</v>
      </c>
      <c r="G945" s="2" t="s">
        <v>214</v>
      </c>
      <c r="H945" s="3">
        <v>4</v>
      </c>
      <c r="I945" s="6">
        <v>2004</v>
      </c>
      <c r="J945" s="2" t="s">
        <v>15</v>
      </c>
      <c r="K945" s="2" t="s">
        <v>213</v>
      </c>
      <c r="L945" s="7">
        <f t="shared" si="42"/>
        <v>2312.24</v>
      </c>
      <c r="M945" s="2" t="str">
        <f t="shared" si="43"/>
        <v>November</v>
      </c>
      <c r="N945" s="6">
        <f t="shared" si="44"/>
        <v>2004</v>
      </c>
    </row>
    <row r="946" spans="1:14">
      <c r="A946" s="2" t="s">
        <v>69</v>
      </c>
      <c r="B946" s="3">
        <v>10350</v>
      </c>
      <c r="C946" s="3">
        <v>43</v>
      </c>
      <c r="D946" s="13">
        <v>64.97</v>
      </c>
      <c r="E946" s="5">
        <v>38323</v>
      </c>
      <c r="F946" s="2" t="s">
        <v>13</v>
      </c>
      <c r="G946" s="2" t="s">
        <v>214</v>
      </c>
      <c r="H946" s="3">
        <v>4</v>
      </c>
      <c r="I946" s="6">
        <v>2004</v>
      </c>
      <c r="J946" s="2" t="s">
        <v>15</v>
      </c>
      <c r="K946" s="2" t="s">
        <v>71</v>
      </c>
      <c r="L946" s="7">
        <f t="shared" si="42"/>
        <v>2793.71</v>
      </c>
      <c r="M946" s="2" t="str">
        <f t="shared" si="43"/>
        <v>December</v>
      </c>
      <c r="N946" s="6">
        <f t="shared" si="44"/>
        <v>2004</v>
      </c>
    </row>
    <row r="947" spans="1:14">
      <c r="A947" s="2" t="s">
        <v>147</v>
      </c>
      <c r="B947" s="3">
        <v>10373</v>
      </c>
      <c r="C947" s="3">
        <v>22</v>
      </c>
      <c r="D947" s="13">
        <v>86.74</v>
      </c>
      <c r="E947" s="5">
        <v>38383</v>
      </c>
      <c r="F947" s="2" t="s">
        <v>13</v>
      </c>
      <c r="G947" s="2" t="s">
        <v>214</v>
      </c>
      <c r="H947" s="3">
        <v>1</v>
      </c>
      <c r="I947" s="6">
        <v>2005</v>
      </c>
      <c r="J947" s="2" t="s">
        <v>15</v>
      </c>
      <c r="K947" s="2" t="s">
        <v>148</v>
      </c>
      <c r="L947" s="7">
        <f t="shared" si="42"/>
        <v>1908.28</v>
      </c>
      <c r="M947" s="2" t="str">
        <f t="shared" si="43"/>
        <v>January</v>
      </c>
      <c r="N947" s="6">
        <f t="shared" si="44"/>
        <v>2005</v>
      </c>
    </row>
    <row r="948" spans="1:14">
      <c r="A948" s="2" t="s">
        <v>69</v>
      </c>
      <c r="B948" s="3">
        <v>10386</v>
      </c>
      <c r="C948" s="3">
        <v>37</v>
      </c>
      <c r="D948" s="13">
        <v>93.01</v>
      </c>
      <c r="E948" s="5">
        <v>38412</v>
      </c>
      <c r="F948" s="2" t="s">
        <v>155</v>
      </c>
      <c r="G948" s="2" t="s">
        <v>214</v>
      </c>
      <c r="H948" s="3">
        <v>1</v>
      </c>
      <c r="I948" s="6">
        <v>2005</v>
      </c>
      <c r="J948" s="2" t="s">
        <v>22</v>
      </c>
      <c r="K948" s="2" t="s">
        <v>71</v>
      </c>
      <c r="L948" s="7">
        <f t="shared" si="42"/>
        <v>3441.37</v>
      </c>
      <c r="M948" s="2" t="str">
        <f t="shared" si="43"/>
        <v>March</v>
      </c>
      <c r="N948" s="6">
        <f t="shared" si="44"/>
        <v>2005</v>
      </c>
    </row>
    <row r="949" spans="1:14">
      <c r="A949" s="2" t="s">
        <v>18</v>
      </c>
      <c r="B949" s="3">
        <v>10398</v>
      </c>
      <c r="C949" s="3">
        <v>28</v>
      </c>
      <c r="D949" s="13">
        <v>72.26</v>
      </c>
      <c r="E949" s="5">
        <v>38441</v>
      </c>
      <c r="F949" s="2" t="s">
        <v>13</v>
      </c>
      <c r="G949" s="2" t="s">
        <v>214</v>
      </c>
      <c r="H949" s="3">
        <v>1</v>
      </c>
      <c r="I949" s="6">
        <v>2005</v>
      </c>
      <c r="J949" s="2" t="s">
        <v>15</v>
      </c>
      <c r="K949" s="2" t="s">
        <v>19</v>
      </c>
      <c r="L949" s="7">
        <f t="shared" si="42"/>
        <v>2023.28</v>
      </c>
      <c r="M949" s="2" t="str">
        <f t="shared" si="43"/>
        <v>March</v>
      </c>
      <c r="N949" s="6">
        <f t="shared" si="44"/>
        <v>2005</v>
      </c>
    </row>
    <row r="950" spans="1:14">
      <c r="A950" s="2" t="s">
        <v>149</v>
      </c>
      <c r="B950" s="3">
        <v>10400</v>
      </c>
      <c r="C950" s="3">
        <v>30</v>
      </c>
      <c r="D950" s="13">
        <v>74.84</v>
      </c>
      <c r="E950" s="5">
        <v>38443</v>
      </c>
      <c r="F950" s="2" t="s">
        <v>13</v>
      </c>
      <c r="G950" s="2" t="s">
        <v>214</v>
      </c>
      <c r="H950" s="3">
        <v>2</v>
      </c>
      <c r="I950" s="6">
        <v>2005</v>
      </c>
      <c r="J950" s="2" t="s">
        <v>15</v>
      </c>
      <c r="K950" s="2" t="s">
        <v>150</v>
      </c>
      <c r="L950" s="7">
        <f t="shared" si="42"/>
        <v>2245.2</v>
      </c>
      <c r="M950" s="2" t="str">
        <f t="shared" si="43"/>
        <v>April</v>
      </c>
      <c r="N950" s="6">
        <f t="shared" si="44"/>
        <v>2005</v>
      </c>
    </row>
    <row r="951" spans="1:14">
      <c r="A951" s="2" t="s">
        <v>143</v>
      </c>
      <c r="B951" s="3">
        <v>10414</v>
      </c>
      <c r="C951" s="3">
        <v>44</v>
      </c>
      <c r="D951" s="13">
        <v>73.98</v>
      </c>
      <c r="E951" s="5">
        <v>38478</v>
      </c>
      <c r="F951" s="2" t="s">
        <v>151</v>
      </c>
      <c r="G951" s="2" t="s">
        <v>214</v>
      </c>
      <c r="H951" s="3">
        <v>2</v>
      </c>
      <c r="I951" s="6">
        <v>2005</v>
      </c>
      <c r="J951" s="2" t="s">
        <v>22</v>
      </c>
      <c r="K951" s="2" t="s">
        <v>144</v>
      </c>
      <c r="L951" s="7">
        <f t="shared" si="42"/>
        <v>3255.12</v>
      </c>
      <c r="M951" s="2" t="str">
        <f t="shared" si="43"/>
        <v>May</v>
      </c>
      <c r="N951" s="6">
        <f t="shared" si="44"/>
        <v>2005</v>
      </c>
    </row>
    <row r="952" spans="1:14">
      <c r="A952" s="2" t="s">
        <v>56</v>
      </c>
      <c r="B952" s="3">
        <v>10103</v>
      </c>
      <c r="C952" s="3">
        <v>25</v>
      </c>
      <c r="D952" s="13">
        <v>100</v>
      </c>
      <c r="E952" s="5">
        <v>37650</v>
      </c>
      <c r="F952" s="2" t="s">
        <v>13</v>
      </c>
      <c r="G952" s="2" t="s">
        <v>202</v>
      </c>
      <c r="H952" s="3">
        <v>1</v>
      </c>
      <c r="I952" s="6">
        <v>2003</v>
      </c>
      <c r="J952" s="2" t="s">
        <v>15</v>
      </c>
      <c r="K952" s="2" t="s">
        <v>57</v>
      </c>
      <c r="L952" s="7">
        <f t="shared" si="42"/>
        <v>2500</v>
      </c>
      <c r="M952" s="2" t="str">
        <f t="shared" si="43"/>
        <v>January</v>
      </c>
      <c r="N952" s="6">
        <f t="shared" si="44"/>
        <v>2003</v>
      </c>
    </row>
    <row r="953" spans="1:14">
      <c r="A953" s="2" t="s">
        <v>38</v>
      </c>
      <c r="B953" s="3">
        <v>10111</v>
      </c>
      <c r="C953" s="3">
        <v>43</v>
      </c>
      <c r="D953" s="13">
        <v>100</v>
      </c>
      <c r="E953" s="5">
        <v>37705</v>
      </c>
      <c r="F953" s="2" t="s">
        <v>13</v>
      </c>
      <c r="G953" s="2" t="s">
        <v>202</v>
      </c>
      <c r="H953" s="3">
        <v>1</v>
      </c>
      <c r="I953" s="6">
        <v>2003</v>
      </c>
      <c r="J953" s="2" t="s">
        <v>22</v>
      </c>
      <c r="K953" s="2" t="s">
        <v>39</v>
      </c>
      <c r="L953" s="7">
        <f t="shared" si="42"/>
        <v>4300</v>
      </c>
      <c r="M953" s="2" t="str">
        <f t="shared" si="43"/>
        <v>March</v>
      </c>
      <c r="N953" s="6">
        <f t="shared" si="44"/>
        <v>2003</v>
      </c>
    </row>
    <row r="954" spans="1:14">
      <c r="A954" s="2" t="s">
        <v>75</v>
      </c>
      <c r="B954" s="3">
        <v>10126</v>
      </c>
      <c r="C954" s="3">
        <v>30</v>
      </c>
      <c r="D954" s="13">
        <v>97.39</v>
      </c>
      <c r="E954" s="5">
        <v>37769</v>
      </c>
      <c r="F954" s="2" t="s">
        <v>13</v>
      </c>
      <c r="G954" s="2" t="s">
        <v>202</v>
      </c>
      <c r="H954" s="3">
        <v>2</v>
      </c>
      <c r="I954" s="6">
        <v>2003</v>
      </c>
      <c r="J954" s="2" t="s">
        <v>15</v>
      </c>
      <c r="K954" s="2" t="s">
        <v>76</v>
      </c>
      <c r="L954" s="7">
        <f t="shared" si="42"/>
        <v>2921.7</v>
      </c>
      <c r="M954" s="2" t="str">
        <f t="shared" si="43"/>
        <v>May</v>
      </c>
      <c r="N954" s="6">
        <f t="shared" si="44"/>
        <v>2003</v>
      </c>
    </row>
    <row r="955" spans="1:14">
      <c r="A955" s="2" t="s">
        <v>63</v>
      </c>
      <c r="B955" s="3">
        <v>10139</v>
      </c>
      <c r="C955" s="3">
        <v>20</v>
      </c>
      <c r="D955" s="13">
        <v>90.06</v>
      </c>
      <c r="E955" s="5">
        <v>37818</v>
      </c>
      <c r="F955" s="2" t="s">
        <v>13</v>
      </c>
      <c r="G955" s="2" t="s">
        <v>202</v>
      </c>
      <c r="H955" s="3">
        <v>3</v>
      </c>
      <c r="I955" s="6">
        <v>2003</v>
      </c>
      <c r="J955" s="2" t="s">
        <v>15</v>
      </c>
      <c r="K955" s="2" t="s">
        <v>64</v>
      </c>
      <c r="L955" s="7">
        <f t="shared" si="42"/>
        <v>1801.2</v>
      </c>
      <c r="M955" s="2" t="str">
        <f t="shared" si="43"/>
        <v>July</v>
      </c>
      <c r="N955" s="6">
        <f t="shared" si="44"/>
        <v>2003</v>
      </c>
    </row>
    <row r="956" spans="1:14">
      <c r="A956" s="2" t="s">
        <v>77</v>
      </c>
      <c r="B956" s="3">
        <v>10150</v>
      </c>
      <c r="C956" s="3">
        <v>26</v>
      </c>
      <c r="D956" s="13">
        <v>100</v>
      </c>
      <c r="E956" s="5">
        <v>37883</v>
      </c>
      <c r="F956" s="2" t="s">
        <v>13</v>
      </c>
      <c r="G956" s="2" t="s">
        <v>202</v>
      </c>
      <c r="H956" s="3">
        <v>3</v>
      </c>
      <c r="I956" s="6">
        <v>2003</v>
      </c>
      <c r="J956" s="2" t="s">
        <v>15</v>
      </c>
      <c r="K956" s="2" t="s">
        <v>78</v>
      </c>
      <c r="L956" s="7">
        <f t="shared" si="42"/>
        <v>2600</v>
      </c>
      <c r="M956" s="2" t="str">
        <f t="shared" si="43"/>
        <v>September</v>
      </c>
      <c r="N956" s="6">
        <f t="shared" si="44"/>
        <v>2003</v>
      </c>
    </row>
    <row r="957" spans="1:14">
      <c r="A957" s="2" t="s">
        <v>79</v>
      </c>
      <c r="B957" s="3">
        <v>10163</v>
      </c>
      <c r="C957" s="3">
        <v>40</v>
      </c>
      <c r="D957" s="13">
        <v>100</v>
      </c>
      <c r="E957" s="5">
        <v>37914</v>
      </c>
      <c r="F957" s="2" t="s">
        <v>13</v>
      </c>
      <c r="G957" s="2" t="s">
        <v>202</v>
      </c>
      <c r="H957" s="3">
        <v>4</v>
      </c>
      <c r="I957" s="6">
        <v>2003</v>
      </c>
      <c r="J957" s="2" t="s">
        <v>22</v>
      </c>
      <c r="K957" s="2" t="s">
        <v>80</v>
      </c>
      <c r="L957" s="7">
        <f t="shared" si="42"/>
        <v>4000</v>
      </c>
      <c r="M957" s="2" t="str">
        <f t="shared" si="43"/>
        <v>October</v>
      </c>
      <c r="N957" s="6">
        <f t="shared" si="44"/>
        <v>2003</v>
      </c>
    </row>
    <row r="958" spans="1:14">
      <c r="A958" s="2" t="s">
        <v>203</v>
      </c>
      <c r="B958" s="3">
        <v>10173</v>
      </c>
      <c r="C958" s="3">
        <v>31</v>
      </c>
      <c r="D958" s="13">
        <v>89.01</v>
      </c>
      <c r="E958" s="5">
        <v>37930</v>
      </c>
      <c r="F958" s="2" t="s">
        <v>13</v>
      </c>
      <c r="G958" s="2" t="s">
        <v>202</v>
      </c>
      <c r="H958" s="3">
        <v>4</v>
      </c>
      <c r="I958" s="6">
        <v>2003</v>
      </c>
      <c r="J958" s="2" t="s">
        <v>15</v>
      </c>
      <c r="K958" s="2" t="s">
        <v>204</v>
      </c>
      <c r="L958" s="7">
        <f t="shared" si="42"/>
        <v>2759.31</v>
      </c>
      <c r="M958" s="2" t="str">
        <f t="shared" si="43"/>
        <v>November</v>
      </c>
      <c r="N958" s="6">
        <f t="shared" si="44"/>
        <v>2003</v>
      </c>
    </row>
    <row r="959" spans="1:14">
      <c r="A959" s="2" t="s">
        <v>83</v>
      </c>
      <c r="B959" s="3">
        <v>10183</v>
      </c>
      <c r="C959" s="3">
        <v>22</v>
      </c>
      <c r="D959" s="13">
        <v>100</v>
      </c>
      <c r="E959" s="5">
        <v>37938</v>
      </c>
      <c r="F959" s="2" t="s">
        <v>13</v>
      </c>
      <c r="G959" s="2" t="s">
        <v>202</v>
      </c>
      <c r="H959" s="3">
        <v>4</v>
      </c>
      <c r="I959" s="6">
        <v>2003</v>
      </c>
      <c r="J959" s="2" t="s">
        <v>15</v>
      </c>
      <c r="K959" s="2" t="s">
        <v>84</v>
      </c>
      <c r="L959" s="7">
        <f t="shared" si="42"/>
        <v>2200</v>
      </c>
      <c r="M959" s="2" t="str">
        <f t="shared" si="43"/>
        <v>November</v>
      </c>
      <c r="N959" s="6">
        <f t="shared" si="44"/>
        <v>2003</v>
      </c>
    </row>
    <row r="960" spans="1:14">
      <c r="A960" s="2" t="s">
        <v>205</v>
      </c>
      <c r="B960" s="3">
        <v>10193</v>
      </c>
      <c r="C960" s="3">
        <v>23</v>
      </c>
      <c r="D960" s="13">
        <v>100</v>
      </c>
      <c r="E960" s="5">
        <v>37946</v>
      </c>
      <c r="F960" s="2" t="s">
        <v>13</v>
      </c>
      <c r="G960" s="2" t="s">
        <v>202</v>
      </c>
      <c r="H960" s="3">
        <v>4</v>
      </c>
      <c r="I960" s="6">
        <v>2003</v>
      </c>
      <c r="J960" s="2" t="s">
        <v>15</v>
      </c>
      <c r="K960" s="2" t="s">
        <v>206</v>
      </c>
      <c r="L960" s="7">
        <f t="shared" si="42"/>
        <v>2300</v>
      </c>
      <c r="M960" s="2" t="str">
        <f t="shared" si="43"/>
        <v>November</v>
      </c>
      <c r="N960" s="6">
        <f t="shared" si="44"/>
        <v>2003</v>
      </c>
    </row>
    <row r="961" spans="1:14">
      <c r="A961" s="2" t="s">
        <v>87</v>
      </c>
      <c r="B961" s="3">
        <v>10206</v>
      </c>
      <c r="C961" s="3">
        <v>30</v>
      </c>
      <c r="D961" s="13">
        <v>100</v>
      </c>
      <c r="E961" s="5">
        <v>37960</v>
      </c>
      <c r="F961" s="2" t="s">
        <v>13</v>
      </c>
      <c r="G961" s="2" t="s">
        <v>202</v>
      </c>
      <c r="H961" s="3">
        <v>4</v>
      </c>
      <c r="I961" s="6">
        <v>2003</v>
      </c>
      <c r="J961" s="2" t="s">
        <v>22</v>
      </c>
      <c r="K961" s="2" t="s">
        <v>88</v>
      </c>
      <c r="L961" s="7">
        <f t="shared" si="42"/>
        <v>3000</v>
      </c>
      <c r="M961" s="2" t="str">
        <f t="shared" si="43"/>
        <v>December</v>
      </c>
      <c r="N961" s="6">
        <f t="shared" si="44"/>
        <v>2003</v>
      </c>
    </row>
    <row r="962" spans="1:14">
      <c r="A962" s="2" t="s">
        <v>91</v>
      </c>
      <c r="B962" s="3">
        <v>10228</v>
      </c>
      <c r="C962" s="3">
        <v>31</v>
      </c>
      <c r="D962" s="13">
        <v>100</v>
      </c>
      <c r="E962" s="5">
        <v>38056</v>
      </c>
      <c r="F962" s="2" t="s">
        <v>13</v>
      </c>
      <c r="G962" s="2" t="s">
        <v>202</v>
      </c>
      <c r="H962" s="3">
        <v>1</v>
      </c>
      <c r="I962" s="6">
        <v>2004</v>
      </c>
      <c r="J962" s="2" t="s">
        <v>22</v>
      </c>
      <c r="K962" s="2" t="s">
        <v>92</v>
      </c>
      <c r="L962" s="7">
        <f t="shared" ref="L962:L1025" si="45">PRODUCT(C962,D962)</f>
        <v>3100</v>
      </c>
      <c r="M962" s="2" t="str">
        <f t="shared" ref="M962:M1025" si="46">TEXT(E962,"MMMM")</f>
        <v>March</v>
      </c>
      <c r="N962" s="6">
        <f t="shared" ref="N962:N1025" si="47">YEAR(E962)</f>
        <v>2004</v>
      </c>
    </row>
    <row r="963" spans="1:14">
      <c r="A963" s="2" t="s">
        <v>69</v>
      </c>
      <c r="B963" s="3">
        <v>10244</v>
      </c>
      <c r="C963" s="3">
        <v>29</v>
      </c>
      <c r="D963" s="13">
        <v>100</v>
      </c>
      <c r="E963" s="5">
        <v>38106</v>
      </c>
      <c r="F963" s="2" t="s">
        <v>13</v>
      </c>
      <c r="G963" s="2" t="s">
        <v>202</v>
      </c>
      <c r="H963" s="3">
        <v>2</v>
      </c>
      <c r="I963" s="6">
        <v>2004</v>
      </c>
      <c r="J963" s="2" t="s">
        <v>22</v>
      </c>
      <c r="K963" s="2" t="s">
        <v>71</v>
      </c>
      <c r="L963" s="7">
        <f t="shared" si="45"/>
        <v>2900</v>
      </c>
      <c r="M963" s="2" t="str">
        <f t="shared" si="46"/>
        <v>April</v>
      </c>
      <c r="N963" s="6">
        <f t="shared" si="47"/>
        <v>2004</v>
      </c>
    </row>
    <row r="964" spans="1:14">
      <c r="A964" s="2" t="s">
        <v>149</v>
      </c>
      <c r="B964" s="3">
        <v>10257</v>
      </c>
      <c r="C964" s="3">
        <v>37</v>
      </c>
      <c r="D964" s="13">
        <v>84.82</v>
      </c>
      <c r="E964" s="5">
        <v>38152</v>
      </c>
      <c r="F964" s="2" t="s">
        <v>13</v>
      </c>
      <c r="G964" s="2" t="s">
        <v>202</v>
      </c>
      <c r="H964" s="3">
        <v>2</v>
      </c>
      <c r="I964" s="6">
        <v>2004</v>
      </c>
      <c r="J964" s="2" t="s">
        <v>22</v>
      </c>
      <c r="K964" s="2" t="s">
        <v>150</v>
      </c>
      <c r="L964" s="7">
        <f t="shared" si="45"/>
        <v>3138.34</v>
      </c>
      <c r="M964" s="2" t="str">
        <f t="shared" si="46"/>
        <v>June</v>
      </c>
      <c r="N964" s="6">
        <f t="shared" si="47"/>
        <v>2004</v>
      </c>
    </row>
    <row r="965" spans="1:14">
      <c r="A965" s="2" t="s">
        <v>63</v>
      </c>
      <c r="B965" s="3">
        <v>10270</v>
      </c>
      <c r="C965" s="3">
        <v>38</v>
      </c>
      <c r="D965" s="13">
        <v>100</v>
      </c>
      <c r="E965" s="5">
        <v>38187</v>
      </c>
      <c r="F965" s="2" t="s">
        <v>13</v>
      </c>
      <c r="G965" s="2" t="s">
        <v>202</v>
      </c>
      <c r="H965" s="3">
        <v>3</v>
      </c>
      <c r="I965" s="6">
        <v>2004</v>
      </c>
      <c r="J965" s="2" t="s">
        <v>22</v>
      </c>
      <c r="K965" s="2" t="s">
        <v>64</v>
      </c>
      <c r="L965" s="7">
        <f t="shared" si="45"/>
        <v>3800</v>
      </c>
      <c r="M965" s="2" t="str">
        <f t="shared" si="46"/>
        <v>July</v>
      </c>
      <c r="N965" s="6">
        <f t="shared" si="47"/>
        <v>2004</v>
      </c>
    </row>
    <row r="966" spans="1:14">
      <c r="A966" s="2" t="s">
        <v>97</v>
      </c>
      <c r="B966" s="3">
        <v>10280</v>
      </c>
      <c r="C966" s="3">
        <v>29</v>
      </c>
      <c r="D966" s="13">
        <v>100</v>
      </c>
      <c r="E966" s="5">
        <v>38216</v>
      </c>
      <c r="F966" s="2" t="s">
        <v>13</v>
      </c>
      <c r="G966" s="2" t="s">
        <v>202</v>
      </c>
      <c r="H966" s="3">
        <v>3</v>
      </c>
      <c r="I966" s="6">
        <v>2004</v>
      </c>
      <c r="J966" s="2" t="s">
        <v>22</v>
      </c>
      <c r="K966" s="2" t="s">
        <v>98</v>
      </c>
      <c r="L966" s="7">
        <f t="shared" si="45"/>
        <v>2900</v>
      </c>
      <c r="M966" s="2" t="str">
        <f t="shared" si="46"/>
        <v>August</v>
      </c>
      <c r="N966" s="6">
        <f t="shared" si="47"/>
        <v>2004</v>
      </c>
    </row>
    <row r="967" spans="1:14">
      <c r="A967" s="2" t="s">
        <v>99</v>
      </c>
      <c r="B967" s="3">
        <v>10291</v>
      </c>
      <c r="C967" s="3">
        <v>23</v>
      </c>
      <c r="D967" s="13">
        <v>100</v>
      </c>
      <c r="E967" s="5">
        <v>38238</v>
      </c>
      <c r="F967" s="2" t="s">
        <v>13</v>
      </c>
      <c r="G967" s="2" t="s">
        <v>202</v>
      </c>
      <c r="H967" s="3">
        <v>3</v>
      </c>
      <c r="I967" s="6">
        <v>2004</v>
      </c>
      <c r="J967" s="2" t="s">
        <v>15</v>
      </c>
      <c r="K967" s="2" t="s">
        <v>100</v>
      </c>
      <c r="L967" s="7">
        <f t="shared" si="45"/>
        <v>2300</v>
      </c>
      <c r="M967" s="2" t="str">
        <f t="shared" si="46"/>
        <v>September</v>
      </c>
      <c r="N967" s="6">
        <f t="shared" si="47"/>
        <v>2004</v>
      </c>
    </row>
    <row r="968" spans="1:14">
      <c r="A968" s="2" t="s">
        <v>101</v>
      </c>
      <c r="B968" s="3">
        <v>10304</v>
      </c>
      <c r="C968" s="3">
        <v>26</v>
      </c>
      <c r="D968" s="13">
        <v>85.87</v>
      </c>
      <c r="E968" s="5">
        <v>38271</v>
      </c>
      <c r="F968" s="2" t="s">
        <v>13</v>
      </c>
      <c r="G968" s="2" t="s">
        <v>202</v>
      </c>
      <c r="H968" s="3">
        <v>4</v>
      </c>
      <c r="I968" s="6">
        <v>2004</v>
      </c>
      <c r="J968" s="2" t="s">
        <v>15</v>
      </c>
      <c r="K968" s="2" t="s">
        <v>102</v>
      </c>
      <c r="L968" s="7">
        <f t="shared" si="45"/>
        <v>2232.62</v>
      </c>
      <c r="M968" s="2" t="str">
        <f t="shared" si="46"/>
        <v>October</v>
      </c>
      <c r="N968" s="6">
        <f t="shared" si="47"/>
        <v>2004</v>
      </c>
    </row>
    <row r="969" spans="1:14">
      <c r="A969" s="2" t="s">
        <v>103</v>
      </c>
      <c r="B969" s="3">
        <v>10312</v>
      </c>
      <c r="C969" s="3">
        <v>38</v>
      </c>
      <c r="D969" s="13">
        <v>100</v>
      </c>
      <c r="E969" s="5">
        <v>38281</v>
      </c>
      <c r="F969" s="2" t="s">
        <v>13</v>
      </c>
      <c r="G969" s="2" t="s">
        <v>202</v>
      </c>
      <c r="H969" s="3">
        <v>4</v>
      </c>
      <c r="I969" s="6">
        <v>2004</v>
      </c>
      <c r="J969" s="2" t="s">
        <v>22</v>
      </c>
      <c r="K969" s="2" t="s">
        <v>104</v>
      </c>
      <c r="L969" s="7">
        <f t="shared" si="45"/>
        <v>3800</v>
      </c>
      <c r="M969" s="2" t="str">
        <f t="shared" si="46"/>
        <v>October</v>
      </c>
      <c r="N969" s="6">
        <f t="shared" si="47"/>
        <v>2004</v>
      </c>
    </row>
    <row r="970" spans="1:14">
      <c r="A970" s="2" t="s">
        <v>105</v>
      </c>
      <c r="B970" s="3">
        <v>10322</v>
      </c>
      <c r="C970" s="3">
        <v>48</v>
      </c>
      <c r="D970" s="13">
        <v>47.04</v>
      </c>
      <c r="E970" s="5">
        <v>38295</v>
      </c>
      <c r="F970" s="2" t="s">
        <v>13</v>
      </c>
      <c r="G970" s="2" t="s">
        <v>202</v>
      </c>
      <c r="H970" s="3">
        <v>4</v>
      </c>
      <c r="I970" s="6">
        <v>2004</v>
      </c>
      <c r="J970" s="2" t="s">
        <v>15</v>
      </c>
      <c r="K970" s="2" t="s">
        <v>106</v>
      </c>
      <c r="L970" s="7">
        <f t="shared" si="45"/>
        <v>2257.92</v>
      </c>
      <c r="M970" s="2" t="str">
        <f t="shared" si="46"/>
        <v>November</v>
      </c>
      <c r="N970" s="6">
        <f t="shared" si="47"/>
        <v>2004</v>
      </c>
    </row>
    <row r="971" spans="1:14">
      <c r="A971" s="2" t="s">
        <v>183</v>
      </c>
      <c r="B971" s="3">
        <v>10332</v>
      </c>
      <c r="C971" s="3">
        <v>40</v>
      </c>
      <c r="D971" s="13">
        <v>39.8</v>
      </c>
      <c r="E971" s="5">
        <v>38308</v>
      </c>
      <c r="F971" s="2" t="s">
        <v>13</v>
      </c>
      <c r="G971" s="2" t="s">
        <v>202</v>
      </c>
      <c r="H971" s="3">
        <v>4</v>
      </c>
      <c r="I971" s="6">
        <v>2004</v>
      </c>
      <c r="J971" s="2" t="s">
        <v>15</v>
      </c>
      <c r="K971" s="2" t="s">
        <v>184</v>
      </c>
      <c r="L971" s="7">
        <f t="shared" si="45"/>
        <v>1592</v>
      </c>
      <c r="M971" s="2" t="str">
        <f t="shared" si="46"/>
        <v>November</v>
      </c>
      <c r="N971" s="6">
        <f t="shared" si="47"/>
        <v>2004</v>
      </c>
    </row>
    <row r="972" spans="1:14">
      <c r="A972" s="2" t="s">
        <v>42</v>
      </c>
      <c r="B972" s="3">
        <v>10347</v>
      </c>
      <c r="C972" s="3">
        <v>45</v>
      </c>
      <c r="D972" s="13">
        <v>100</v>
      </c>
      <c r="E972" s="5">
        <v>38320</v>
      </c>
      <c r="F972" s="2" t="s">
        <v>13</v>
      </c>
      <c r="G972" s="2" t="s">
        <v>202</v>
      </c>
      <c r="H972" s="3">
        <v>4</v>
      </c>
      <c r="I972" s="6">
        <v>2004</v>
      </c>
      <c r="J972" s="2" t="s">
        <v>22</v>
      </c>
      <c r="K972" s="2" t="s">
        <v>43</v>
      </c>
      <c r="L972" s="7">
        <f t="shared" si="45"/>
        <v>4500</v>
      </c>
      <c r="M972" s="2" t="str">
        <f t="shared" si="46"/>
        <v>November</v>
      </c>
      <c r="N972" s="6">
        <f t="shared" si="47"/>
        <v>2004</v>
      </c>
    </row>
    <row r="973" spans="1:14">
      <c r="A973" s="2" t="s">
        <v>103</v>
      </c>
      <c r="B973" s="3">
        <v>10357</v>
      </c>
      <c r="C973" s="3">
        <v>44</v>
      </c>
      <c r="D973" s="13">
        <v>100</v>
      </c>
      <c r="E973" s="5">
        <v>38331</v>
      </c>
      <c r="F973" s="2" t="s">
        <v>13</v>
      </c>
      <c r="G973" s="2" t="s">
        <v>202</v>
      </c>
      <c r="H973" s="3">
        <v>4</v>
      </c>
      <c r="I973" s="6">
        <v>2004</v>
      </c>
      <c r="J973" s="2" t="s">
        <v>22</v>
      </c>
      <c r="K973" s="2" t="s">
        <v>104</v>
      </c>
      <c r="L973" s="7">
        <f t="shared" si="45"/>
        <v>4400</v>
      </c>
      <c r="M973" s="2" t="str">
        <f t="shared" si="46"/>
        <v>December</v>
      </c>
      <c r="N973" s="6">
        <f t="shared" si="47"/>
        <v>2004</v>
      </c>
    </row>
    <row r="974" spans="1:14">
      <c r="A974" s="2" t="s">
        <v>107</v>
      </c>
      <c r="B974" s="3">
        <v>10369</v>
      </c>
      <c r="C974" s="3">
        <v>21</v>
      </c>
      <c r="D974" s="13">
        <v>94.22</v>
      </c>
      <c r="E974" s="5">
        <v>38372</v>
      </c>
      <c r="F974" s="2" t="s">
        <v>13</v>
      </c>
      <c r="G974" s="2" t="s">
        <v>202</v>
      </c>
      <c r="H974" s="3">
        <v>1</v>
      </c>
      <c r="I974" s="6">
        <v>2005</v>
      </c>
      <c r="J974" s="2" t="s">
        <v>15</v>
      </c>
      <c r="K974" s="2" t="s">
        <v>108</v>
      </c>
      <c r="L974" s="7">
        <f t="shared" si="45"/>
        <v>1978.62</v>
      </c>
      <c r="M974" s="2" t="str">
        <f t="shared" si="46"/>
        <v>January</v>
      </c>
      <c r="N974" s="6">
        <f t="shared" si="47"/>
        <v>2005</v>
      </c>
    </row>
    <row r="975" spans="1:14">
      <c r="A975" s="2" t="s">
        <v>28</v>
      </c>
      <c r="B975" s="3">
        <v>10381</v>
      </c>
      <c r="C975" s="3">
        <v>35</v>
      </c>
      <c r="D975" s="13">
        <v>100</v>
      </c>
      <c r="E975" s="5">
        <v>38400</v>
      </c>
      <c r="F975" s="2" t="s">
        <v>13</v>
      </c>
      <c r="G975" s="2" t="s">
        <v>202</v>
      </c>
      <c r="H975" s="3">
        <v>1</v>
      </c>
      <c r="I975" s="6">
        <v>2005</v>
      </c>
      <c r="J975" s="2" t="s">
        <v>22</v>
      </c>
      <c r="K975" s="2" t="s">
        <v>29</v>
      </c>
      <c r="L975" s="7">
        <f t="shared" si="45"/>
        <v>3500</v>
      </c>
      <c r="M975" s="2" t="str">
        <f t="shared" si="46"/>
        <v>February</v>
      </c>
      <c r="N975" s="6">
        <f t="shared" si="47"/>
        <v>2005</v>
      </c>
    </row>
    <row r="976" spans="1:14">
      <c r="A976" s="2" t="s">
        <v>154</v>
      </c>
      <c r="B976" s="3">
        <v>10392</v>
      </c>
      <c r="C976" s="3">
        <v>29</v>
      </c>
      <c r="D976" s="13">
        <v>86.92</v>
      </c>
      <c r="E976" s="5">
        <v>38421</v>
      </c>
      <c r="F976" s="2" t="s">
        <v>13</v>
      </c>
      <c r="G976" s="2" t="s">
        <v>202</v>
      </c>
      <c r="H976" s="3">
        <v>1</v>
      </c>
      <c r="I976" s="6">
        <v>2005</v>
      </c>
      <c r="J976" s="2" t="s">
        <v>15</v>
      </c>
      <c r="K976" s="2" t="s">
        <v>156</v>
      </c>
      <c r="L976" s="7">
        <f t="shared" si="45"/>
        <v>2520.68</v>
      </c>
      <c r="M976" s="2" t="str">
        <f t="shared" si="46"/>
        <v>March</v>
      </c>
      <c r="N976" s="6">
        <f t="shared" si="47"/>
        <v>2005</v>
      </c>
    </row>
    <row r="977" spans="1:14">
      <c r="A977" s="2" t="s">
        <v>139</v>
      </c>
      <c r="B977" s="3">
        <v>10423</v>
      </c>
      <c r="C977" s="3">
        <v>21</v>
      </c>
      <c r="D977" s="13">
        <v>84.82</v>
      </c>
      <c r="E977" s="5">
        <v>38502</v>
      </c>
      <c r="F977" s="2" t="s">
        <v>113</v>
      </c>
      <c r="G977" s="2" t="s">
        <v>202</v>
      </c>
      <c r="H977" s="3">
        <v>2</v>
      </c>
      <c r="I977" s="6">
        <v>2005</v>
      </c>
      <c r="J977" s="2" t="s">
        <v>15</v>
      </c>
      <c r="K977" s="2" t="s">
        <v>140</v>
      </c>
      <c r="L977" s="7">
        <f t="shared" si="45"/>
        <v>1781.22</v>
      </c>
      <c r="M977" s="2" t="str">
        <f t="shared" si="46"/>
        <v>May</v>
      </c>
      <c r="N977" s="6">
        <f t="shared" si="47"/>
        <v>2005</v>
      </c>
    </row>
    <row r="978" spans="1:14">
      <c r="A978" s="2" t="s">
        <v>122</v>
      </c>
      <c r="B978" s="3">
        <v>10105</v>
      </c>
      <c r="C978" s="3">
        <v>22</v>
      </c>
      <c r="D978" s="13">
        <v>100</v>
      </c>
      <c r="E978" s="5">
        <v>37663</v>
      </c>
      <c r="F978" s="2" t="s">
        <v>13</v>
      </c>
      <c r="G978" s="2" t="s">
        <v>202</v>
      </c>
      <c r="H978" s="3">
        <v>1</v>
      </c>
      <c r="I978" s="6">
        <v>2003</v>
      </c>
      <c r="J978" s="2" t="s">
        <v>22</v>
      </c>
      <c r="K978" s="2" t="s">
        <v>123</v>
      </c>
      <c r="L978" s="7">
        <f t="shared" si="45"/>
        <v>2200</v>
      </c>
      <c r="M978" s="2" t="str">
        <f t="shared" si="46"/>
        <v>February</v>
      </c>
      <c r="N978" s="6">
        <f t="shared" si="47"/>
        <v>2003</v>
      </c>
    </row>
    <row r="979" spans="1:14">
      <c r="A979" s="2" t="s">
        <v>77</v>
      </c>
      <c r="B979" s="3">
        <v>10117</v>
      </c>
      <c r="C979" s="3">
        <v>26</v>
      </c>
      <c r="D979" s="13">
        <v>100</v>
      </c>
      <c r="E979" s="5">
        <v>37727</v>
      </c>
      <c r="F979" s="2" t="s">
        <v>13</v>
      </c>
      <c r="G979" s="2" t="s">
        <v>202</v>
      </c>
      <c r="H979" s="3">
        <v>2</v>
      </c>
      <c r="I979" s="6">
        <v>2003</v>
      </c>
      <c r="J979" s="2" t="s">
        <v>22</v>
      </c>
      <c r="K979" s="2" t="s">
        <v>78</v>
      </c>
      <c r="L979" s="7">
        <f t="shared" si="45"/>
        <v>2600</v>
      </c>
      <c r="M979" s="2" t="str">
        <f t="shared" si="46"/>
        <v>April</v>
      </c>
      <c r="N979" s="6">
        <f t="shared" si="47"/>
        <v>2003</v>
      </c>
    </row>
    <row r="980" spans="1:14">
      <c r="A980" s="2" t="s">
        <v>69</v>
      </c>
      <c r="B980" s="3">
        <v>10128</v>
      </c>
      <c r="C980" s="3">
        <v>41</v>
      </c>
      <c r="D980" s="13">
        <v>100</v>
      </c>
      <c r="E980" s="5">
        <v>37778</v>
      </c>
      <c r="F980" s="2" t="s">
        <v>13</v>
      </c>
      <c r="G980" s="2" t="s">
        <v>202</v>
      </c>
      <c r="H980" s="3">
        <v>2</v>
      </c>
      <c r="I980" s="6">
        <v>2003</v>
      </c>
      <c r="J980" s="2" t="s">
        <v>22</v>
      </c>
      <c r="K980" s="2" t="s">
        <v>71</v>
      </c>
      <c r="L980" s="7">
        <f t="shared" si="45"/>
        <v>4100</v>
      </c>
      <c r="M980" s="2" t="str">
        <f t="shared" si="46"/>
        <v>June</v>
      </c>
      <c r="N980" s="6">
        <f t="shared" si="47"/>
        <v>2003</v>
      </c>
    </row>
    <row r="981" spans="1:14">
      <c r="A981" s="2" t="s">
        <v>103</v>
      </c>
      <c r="B981" s="3">
        <v>10142</v>
      </c>
      <c r="C981" s="3">
        <v>47</v>
      </c>
      <c r="D981" s="13">
        <v>100</v>
      </c>
      <c r="E981" s="5">
        <v>37841</v>
      </c>
      <c r="F981" s="2" t="s">
        <v>13</v>
      </c>
      <c r="G981" s="2" t="s">
        <v>202</v>
      </c>
      <c r="H981" s="3">
        <v>3</v>
      </c>
      <c r="I981" s="6">
        <v>2003</v>
      </c>
      <c r="J981" s="2" t="s">
        <v>22</v>
      </c>
      <c r="K981" s="2" t="s">
        <v>104</v>
      </c>
      <c r="L981" s="7">
        <f t="shared" si="45"/>
        <v>4700</v>
      </c>
      <c r="M981" s="2" t="str">
        <f t="shared" si="46"/>
        <v>August</v>
      </c>
      <c r="N981" s="6">
        <f t="shared" si="47"/>
        <v>2003</v>
      </c>
    </row>
    <row r="982" spans="1:14">
      <c r="A982" s="2" t="s">
        <v>69</v>
      </c>
      <c r="B982" s="3">
        <v>10153</v>
      </c>
      <c r="C982" s="3">
        <v>31</v>
      </c>
      <c r="D982" s="13">
        <v>100</v>
      </c>
      <c r="E982" s="5">
        <v>37892</v>
      </c>
      <c r="F982" s="2" t="s">
        <v>13</v>
      </c>
      <c r="G982" s="2" t="s">
        <v>202</v>
      </c>
      <c r="H982" s="3">
        <v>3</v>
      </c>
      <c r="I982" s="6">
        <v>2003</v>
      </c>
      <c r="J982" s="2" t="s">
        <v>22</v>
      </c>
      <c r="K982" s="2" t="s">
        <v>71</v>
      </c>
      <c r="L982" s="7">
        <f t="shared" si="45"/>
        <v>3100</v>
      </c>
      <c r="M982" s="2" t="str">
        <f t="shared" si="46"/>
        <v>September</v>
      </c>
      <c r="N982" s="6">
        <f t="shared" si="47"/>
        <v>2003</v>
      </c>
    </row>
    <row r="983" spans="1:14">
      <c r="A983" s="2" t="s">
        <v>65</v>
      </c>
      <c r="B983" s="3">
        <v>10166</v>
      </c>
      <c r="C983" s="3">
        <v>43</v>
      </c>
      <c r="D983" s="13">
        <v>100</v>
      </c>
      <c r="E983" s="5">
        <v>37915</v>
      </c>
      <c r="F983" s="2" t="s">
        <v>13</v>
      </c>
      <c r="G983" s="2" t="s">
        <v>202</v>
      </c>
      <c r="H983" s="3">
        <v>4</v>
      </c>
      <c r="I983" s="6">
        <v>2003</v>
      </c>
      <c r="J983" s="2" t="s">
        <v>22</v>
      </c>
      <c r="K983" s="2" t="s">
        <v>66</v>
      </c>
      <c r="L983" s="7">
        <f t="shared" si="45"/>
        <v>4300</v>
      </c>
      <c r="M983" s="2" t="str">
        <f t="shared" si="46"/>
        <v>October</v>
      </c>
      <c r="N983" s="6">
        <f t="shared" si="47"/>
        <v>2003</v>
      </c>
    </row>
    <row r="984" spans="1:14">
      <c r="A984" s="2" t="s">
        <v>181</v>
      </c>
      <c r="B984" s="3">
        <v>10177</v>
      </c>
      <c r="C984" s="3">
        <v>23</v>
      </c>
      <c r="D984" s="13">
        <v>100</v>
      </c>
      <c r="E984" s="5">
        <v>37932</v>
      </c>
      <c r="F984" s="2" t="s">
        <v>13</v>
      </c>
      <c r="G984" s="2" t="s">
        <v>202</v>
      </c>
      <c r="H984" s="3">
        <v>4</v>
      </c>
      <c r="I984" s="6">
        <v>2003</v>
      </c>
      <c r="J984" s="2" t="s">
        <v>22</v>
      </c>
      <c r="K984" s="2" t="s">
        <v>182</v>
      </c>
      <c r="L984" s="7">
        <f t="shared" si="45"/>
        <v>2300</v>
      </c>
      <c r="M984" s="2" t="str">
        <f t="shared" si="46"/>
        <v>November</v>
      </c>
      <c r="N984" s="6">
        <f t="shared" si="47"/>
        <v>2003</v>
      </c>
    </row>
    <row r="985" spans="1:14">
      <c r="A985" s="2" t="s">
        <v>126</v>
      </c>
      <c r="B985" s="3">
        <v>10185</v>
      </c>
      <c r="C985" s="3">
        <v>28</v>
      </c>
      <c r="D985" s="13">
        <v>100</v>
      </c>
      <c r="E985" s="5">
        <v>37939</v>
      </c>
      <c r="F985" s="2" t="s">
        <v>13</v>
      </c>
      <c r="G985" s="2" t="s">
        <v>202</v>
      </c>
      <c r="H985" s="3">
        <v>4</v>
      </c>
      <c r="I985" s="6">
        <v>2003</v>
      </c>
      <c r="J985" s="2" t="s">
        <v>22</v>
      </c>
      <c r="K985" s="2" t="s">
        <v>127</v>
      </c>
      <c r="L985" s="7">
        <f t="shared" si="45"/>
        <v>2800</v>
      </c>
      <c r="M985" s="2" t="str">
        <f t="shared" si="46"/>
        <v>November</v>
      </c>
      <c r="N985" s="6">
        <f t="shared" si="47"/>
        <v>2003</v>
      </c>
    </row>
    <row r="986" spans="1:14">
      <c r="A986" s="2" t="s">
        <v>93</v>
      </c>
      <c r="B986" s="3">
        <v>10196</v>
      </c>
      <c r="C986" s="3">
        <v>49</v>
      </c>
      <c r="D986" s="13">
        <v>100</v>
      </c>
      <c r="E986" s="5">
        <v>37951</v>
      </c>
      <c r="F986" s="2" t="s">
        <v>13</v>
      </c>
      <c r="G986" s="2" t="s">
        <v>202</v>
      </c>
      <c r="H986" s="3">
        <v>4</v>
      </c>
      <c r="I986" s="6">
        <v>2003</v>
      </c>
      <c r="J986" s="2" t="s">
        <v>22</v>
      </c>
      <c r="K986" s="2" t="s">
        <v>94</v>
      </c>
      <c r="L986" s="7">
        <f t="shared" si="45"/>
        <v>4900</v>
      </c>
      <c r="M986" s="2" t="str">
        <f t="shared" si="46"/>
        <v>November</v>
      </c>
      <c r="N986" s="6">
        <f t="shared" si="47"/>
        <v>2003</v>
      </c>
    </row>
    <row r="987" spans="1:14">
      <c r="A987" s="2" t="s">
        <v>85</v>
      </c>
      <c r="B987" s="3">
        <v>10208</v>
      </c>
      <c r="C987" s="3">
        <v>24</v>
      </c>
      <c r="D987" s="13">
        <v>100</v>
      </c>
      <c r="E987" s="5">
        <v>37988</v>
      </c>
      <c r="F987" s="2" t="s">
        <v>13</v>
      </c>
      <c r="G987" s="2" t="s">
        <v>202</v>
      </c>
      <c r="H987" s="3">
        <v>1</v>
      </c>
      <c r="I987" s="6">
        <v>2004</v>
      </c>
      <c r="J987" s="2" t="s">
        <v>15</v>
      </c>
      <c r="K987" s="2" t="s">
        <v>86</v>
      </c>
      <c r="L987" s="7">
        <f t="shared" si="45"/>
        <v>2400</v>
      </c>
      <c r="M987" s="2" t="str">
        <f t="shared" si="46"/>
        <v>January</v>
      </c>
      <c r="N987" s="6">
        <f t="shared" si="47"/>
        <v>2004</v>
      </c>
    </row>
    <row r="988" spans="1:14">
      <c r="A988" s="2" t="s">
        <v>139</v>
      </c>
      <c r="B988" s="3">
        <v>10221</v>
      </c>
      <c r="C988" s="3">
        <v>33</v>
      </c>
      <c r="D988" s="13">
        <v>100</v>
      </c>
      <c r="E988" s="5">
        <v>38035</v>
      </c>
      <c r="F988" s="2" t="s">
        <v>13</v>
      </c>
      <c r="G988" s="2" t="s">
        <v>202</v>
      </c>
      <c r="H988" s="3">
        <v>1</v>
      </c>
      <c r="I988" s="6">
        <v>2004</v>
      </c>
      <c r="J988" s="2" t="s">
        <v>22</v>
      </c>
      <c r="K988" s="2" t="s">
        <v>140</v>
      </c>
      <c r="L988" s="7">
        <f t="shared" si="45"/>
        <v>3300</v>
      </c>
      <c r="M988" s="2" t="str">
        <f t="shared" si="46"/>
        <v>February</v>
      </c>
      <c r="N988" s="6">
        <f t="shared" si="47"/>
        <v>2004</v>
      </c>
    </row>
    <row r="989" spans="1:14">
      <c r="A989" s="2" t="s">
        <v>145</v>
      </c>
      <c r="B989" s="3">
        <v>10232</v>
      </c>
      <c r="C989" s="3">
        <v>22</v>
      </c>
      <c r="D989" s="13">
        <v>100</v>
      </c>
      <c r="E989" s="5">
        <v>38066</v>
      </c>
      <c r="F989" s="2" t="s">
        <v>13</v>
      </c>
      <c r="G989" s="2" t="s">
        <v>202</v>
      </c>
      <c r="H989" s="3">
        <v>1</v>
      </c>
      <c r="I989" s="6">
        <v>2004</v>
      </c>
      <c r="J989" s="2" t="s">
        <v>22</v>
      </c>
      <c r="K989" s="2" t="s">
        <v>146</v>
      </c>
      <c r="L989" s="7">
        <f t="shared" si="45"/>
        <v>2200</v>
      </c>
      <c r="M989" s="2" t="str">
        <f t="shared" si="46"/>
        <v>March</v>
      </c>
      <c r="N989" s="6">
        <f t="shared" si="47"/>
        <v>2004</v>
      </c>
    </row>
    <row r="990" spans="1:14">
      <c r="A990" s="2" t="s">
        <v>12</v>
      </c>
      <c r="B990" s="3">
        <v>10248</v>
      </c>
      <c r="C990" s="3">
        <v>32</v>
      </c>
      <c r="D990" s="13">
        <v>100</v>
      </c>
      <c r="E990" s="5">
        <v>38114</v>
      </c>
      <c r="F990" s="2" t="s">
        <v>128</v>
      </c>
      <c r="G990" s="2" t="s">
        <v>202</v>
      </c>
      <c r="H990" s="3">
        <v>2</v>
      </c>
      <c r="I990" s="6">
        <v>2004</v>
      </c>
      <c r="J990" s="2" t="s">
        <v>22</v>
      </c>
      <c r="K990" s="2" t="s">
        <v>16</v>
      </c>
      <c r="L990" s="7">
        <f t="shared" si="45"/>
        <v>3200</v>
      </c>
      <c r="M990" s="2" t="str">
        <f t="shared" si="46"/>
        <v>May</v>
      </c>
      <c r="N990" s="6">
        <f t="shared" si="47"/>
        <v>2004</v>
      </c>
    </row>
    <row r="991" spans="1:14">
      <c r="A991" s="2" t="s">
        <v>139</v>
      </c>
      <c r="B991" s="3">
        <v>10273</v>
      </c>
      <c r="C991" s="3">
        <v>40</v>
      </c>
      <c r="D991" s="13">
        <v>100</v>
      </c>
      <c r="E991" s="5">
        <v>38189</v>
      </c>
      <c r="F991" s="2" t="s">
        <v>13</v>
      </c>
      <c r="G991" s="2" t="s">
        <v>202</v>
      </c>
      <c r="H991" s="3">
        <v>3</v>
      </c>
      <c r="I991" s="6">
        <v>2004</v>
      </c>
      <c r="J991" s="2" t="s">
        <v>22</v>
      </c>
      <c r="K991" s="2" t="s">
        <v>140</v>
      </c>
      <c r="L991" s="7">
        <f t="shared" si="45"/>
        <v>4000</v>
      </c>
      <c r="M991" s="2" t="str">
        <f t="shared" si="46"/>
        <v>July</v>
      </c>
      <c r="N991" s="6">
        <f t="shared" si="47"/>
        <v>2004</v>
      </c>
    </row>
    <row r="992" spans="1:14">
      <c r="A992" s="2" t="s">
        <v>103</v>
      </c>
      <c r="B992" s="3">
        <v>10282</v>
      </c>
      <c r="C992" s="3">
        <v>43</v>
      </c>
      <c r="D992" s="13">
        <v>100</v>
      </c>
      <c r="E992" s="5">
        <v>38219</v>
      </c>
      <c r="F992" s="2" t="s">
        <v>13</v>
      </c>
      <c r="G992" s="2" t="s">
        <v>202</v>
      </c>
      <c r="H992" s="3">
        <v>3</v>
      </c>
      <c r="I992" s="6">
        <v>2004</v>
      </c>
      <c r="J992" s="2" t="s">
        <v>22</v>
      </c>
      <c r="K992" s="2" t="s">
        <v>104</v>
      </c>
      <c r="L992" s="7">
        <f t="shared" si="45"/>
        <v>4300</v>
      </c>
      <c r="M992" s="2" t="str">
        <f t="shared" si="46"/>
        <v>August</v>
      </c>
      <c r="N992" s="6">
        <f t="shared" si="47"/>
        <v>2004</v>
      </c>
    </row>
    <row r="993" spans="1:14">
      <c r="A993" s="2" t="s">
        <v>97</v>
      </c>
      <c r="B993" s="3">
        <v>10293</v>
      </c>
      <c r="C993" s="3">
        <v>24</v>
      </c>
      <c r="D993" s="13">
        <v>100</v>
      </c>
      <c r="E993" s="5">
        <v>38239</v>
      </c>
      <c r="F993" s="2" t="s">
        <v>13</v>
      </c>
      <c r="G993" s="2" t="s">
        <v>202</v>
      </c>
      <c r="H993" s="3">
        <v>3</v>
      </c>
      <c r="I993" s="6">
        <v>2004</v>
      </c>
      <c r="J993" s="2" t="s">
        <v>15</v>
      </c>
      <c r="K993" s="2" t="s">
        <v>98</v>
      </c>
      <c r="L993" s="7">
        <f t="shared" si="45"/>
        <v>2400</v>
      </c>
      <c r="M993" s="2" t="str">
        <f t="shared" si="46"/>
        <v>September</v>
      </c>
      <c r="N993" s="6">
        <f t="shared" si="47"/>
        <v>2004</v>
      </c>
    </row>
    <row r="994" spans="1:14">
      <c r="A994" s="2" t="s">
        <v>183</v>
      </c>
      <c r="B994" s="3">
        <v>10306</v>
      </c>
      <c r="C994" s="3">
        <v>32</v>
      </c>
      <c r="D994" s="13">
        <v>100</v>
      </c>
      <c r="E994" s="5">
        <v>38274</v>
      </c>
      <c r="F994" s="2" t="s">
        <v>13</v>
      </c>
      <c r="G994" s="2" t="s">
        <v>202</v>
      </c>
      <c r="H994" s="3">
        <v>4</v>
      </c>
      <c r="I994" s="6">
        <v>2004</v>
      </c>
      <c r="J994" s="2" t="s">
        <v>22</v>
      </c>
      <c r="K994" s="2" t="s">
        <v>184</v>
      </c>
      <c r="L994" s="7">
        <f t="shared" si="45"/>
        <v>3200</v>
      </c>
      <c r="M994" s="2" t="str">
        <f t="shared" si="46"/>
        <v>October</v>
      </c>
      <c r="N994" s="6">
        <f t="shared" si="47"/>
        <v>2004</v>
      </c>
    </row>
    <row r="995" spans="1:14">
      <c r="A995" s="2" t="s">
        <v>185</v>
      </c>
      <c r="B995" s="3">
        <v>10314</v>
      </c>
      <c r="C995" s="3">
        <v>20</v>
      </c>
      <c r="D995" s="13">
        <v>100</v>
      </c>
      <c r="E995" s="5">
        <v>38282</v>
      </c>
      <c r="F995" s="2" t="s">
        <v>13</v>
      </c>
      <c r="G995" s="2" t="s">
        <v>202</v>
      </c>
      <c r="H995" s="3">
        <v>4</v>
      </c>
      <c r="I995" s="6">
        <v>2004</v>
      </c>
      <c r="J995" s="2" t="s">
        <v>15</v>
      </c>
      <c r="K995" s="2" t="s">
        <v>186</v>
      </c>
      <c r="L995" s="7">
        <f t="shared" si="45"/>
        <v>2000</v>
      </c>
      <c r="M995" s="2" t="str">
        <f t="shared" si="46"/>
        <v>October</v>
      </c>
      <c r="N995" s="6">
        <f t="shared" si="47"/>
        <v>2004</v>
      </c>
    </row>
    <row r="996" spans="1:14">
      <c r="A996" s="2" t="s">
        <v>56</v>
      </c>
      <c r="B996" s="3">
        <v>10325</v>
      </c>
      <c r="C996" s="3">
        <v>24</v>
      </c>
      <c r="D996" s="13">
        <v>69.12</v>
      </c>
      <c r="E996" s="5">
        <v>38296</v>
      </c>
      <c r="F996" s="2" t="s">
        <v>13</v>
      </c>
      <c r="G996" s="2" t="s">
        <v>202</v>
      </c>
      <c r="H996" s="3">
        <v>4</v>
      </c>
      <c r="I996" s="6">
        <v>2004</v>
      </c>
      <c r="J996" s="2" t="s">
        <v>15</v>
      </c>
      <c r="K996" s="2" t="s">
        <v>57</v>
      </c>
      <c r="L996" s="7">
        <f t="shared" si="45"/>
        <v>1658.88</v>
      </c>
      <c r="M996" s="2" t="str">
        <f t="shared" si="46"/>
        <v>November</v>
      </c>
      <c r="N996" s="6">
        <f t="shared" si="47"/>
        <v>2004</v>
      </c>
    </row>
    <row r="997" spans="1:14">
      <c r="A997" s="2" t="s">
        <v>152</v>
      </c>
      <c r="B997" s="3">
        <v>10336</v>
      </c>
      <c r="C997" s="3">
        <v>48</v>
      </c>
      <c r="D997" s="13">
        <v>100</v>
      </c>
      <c r="E997" s="5">
        <v>38311</v>
      </c>
      <c r="F997" s="2" t="s">
        <v>13</v>
      </c>
      <c r="G997" s="2" t="s">
        <v>202</v>
      </c>
      <c r="H997" s="3">
        <v>4</v>
      </c>
      <c r="I997" s="6">
        <v>2004</v>
      </c>
      <c r="J997" s="2" t="s">
        <v>22</v>
      </c>
      <c r="K997" s="2" t="s">
        <v>153</v>
      </c>
      <c r="L997" s="7">
        <f t="shared" si="45"/>
        <v>4800</v>
      </c>
      <c r="M997" s="2" t="str">
        <f t="shared" si="46"/>
        <v>November</v>
      </c>
      <c r="N997" s="6">
        <f t="shared" si="47"/>
        <v>2004</v>
      </c>
    </row>
    <row r="998" spans="1:14">
      <c r="A998" s="2" t="s">
        <v>69</v>
      </c>
      <c r="B998" s="3">
        <v>10350</v>
      </c>
      <c r="C998" s="3">
        <v>44</v>
      </c>
      <c r="D998" s="13">
        <v>100</v>
      </c>
      <c r="E998" s="5">
        <v>38323</v>
      </c>
      <c r="F998" s="2" t="s">
        <v>13</v>
      </c>
      <c r="G998" s="2" t="s">
        <v>202</v>
      </c>
      <c r="H998" s="3">
        <v>4</v>
      </c>
      <c r="I998" s="6">
        <v>2004</v>
      </c>
      <c r="J998" s="2" t="s">
        <v>22</v>
      </c>
      <c r="K998" s="2" t="s">
        <v>71</v>
      </c>
      <c r="L998" s="7">
        <f t="shared" si="45"/>
        <v>4400</v>
      </c>
      <c r="M998" s="2" t="str">
        <f t="shared" si="46"/>
        <v>December</v>
      </c>
      <c r="N998" s="6">
        <f t="shared" si="47"/>
        <v>2004</v>
      </c>
    </row>
    <row r="999" spans="1:14">
      <c r="A999" s="2" t="s">
        <v>95</v>
      </c>
      <c r="B999" s="3">
        <v>10372</v>
      </c>
      <c r="C999" s="3">
        <v>28</v>
      </c>
      <c r="D999" s="13">
        <v>100</v>
      </c>
      <c r="E999" s="5">
        <v>38378</v>
      </c>
      <c r="F999" s="2" t="s">
        <v>13</v>
      </c>
      <c r="G999" s="2" t="s">
        <v>202</v>
      </c>
      <c r="H999" s="3">
        <v>1</v>
      </c>
      <c r="I999" s="6">
        <v>2005</v>
      </c>
      <c r="J999" s="2" t="s">
        <v>22</v>
      </c>
      <c r="K999" s="2" t="s">
        <v>96</v>
      </c>
      <c r="L999" s="7">
        <f t="shared" si="45"/>
        <v>2800</v>
      </c>
      <c r="M999" s="2" t="str">
        <f t="shared" si="46"/>
        <v>January</v>
      </c>
      <c r="N999" s="6">
        <f t="shared" si="47"/>
        <v>2005</v>
      </c>
    </row>
    <row r="1000" spans="1:14">
      <c r="A1000" s="2" t="s">
        <v>69</v>
      </c>
      <c r="B1000" s="3">
        <v>10383</v>
      </c>
      <c r="C1000" s="3">
        <v>24</v>
      </c>
      <c r="D1000" s="13">
        <v>61.52</v>
      </c>
      <c r="E1000" s="5">
        <v>38405</v>
      </c>
      <c r="F1000" s="2" t="s">
        <v>13</v>
      </c>
      <c r="G1000" s="2" t="s">
        <v>202</v>
      </c>
      <c r="H1000" s="3">
        <v>1</v>
      </c>
      <c r="I1000" s="6">
        <v>2005</v>
      </c>
      <c r="J1000" s="2" t="s">
        <v>15</v>
      </c>
      <c r="K1000" s="2" t="s">
        <v>71</v>
      </c>
      <c r="L1000" s="7">
        <f t="shared" si="45"/>
        <v>1476.48</v>
      </c>
      <c r="M1000" s="2" t="str">
        <f t="shared" si="46"/>
        <v>February</v>
      </c>
      <c r="N1000" s="6">
        <f t="shared" si="47"/>
        <v>2005</v>
      </c>
    </row>
    <row r="1001" spans="1:14">
      <c r="A1001" s="2" t="s">
        <v>103</v>
      </c>
      <c r="B1001" s="3">
        <v>10396</v>
      </c>
      <c r="C1001" s="3">
        <v>33</v>
      </c>
      <c r="D1001" s="13">
        <v>100</v>
      </c>
      <c r="E1001" s="5">
        <v>38434</v>
      </c>
      <c r="F1001" s="2" t="s">
        <v>13</v>
      </c>
      <c r="G1001" s="2" t="s">
        <v>202</v>
      </c>
      <c r="H1001" s="3">
        <v>1</v>
      </c>
      <c r="I1001" s="6">
        <v>2005</v>
      </c>
      <c r="J1001" s="2" t="s">
        <v>22</v>
      </c>
      <c r="K1001" s="2" t="s">
        <v>104</v>
      </c>
      <c r="L1001" s="7">
        <f t="shared" si="45"/>
        <v>3300</v>
      </c>
      <c r="M1001" s="2" t="str">
        <f t="shared" si="46"/>
        <v>March</v>
      </c>
      <c r="N1001" s="6">
        <f t="shared" si="47"/>
        <v>2005</v>
      </c>
    </row>
    <row r="1002" spans="1:14">
      <c r="A1002" s="2" t="s">
        <v>143</v>
      </c>
      <c r="B1002" s="3">
        <v>10414</v>
      </c>
      <c r="C1002" s="3">
        <v>41</v>
      </c>
      <c r="D1002" s="13">
        <v>100</v>
      </c>
      <c r="E1002" s="5">
        <v>38478</v>
      </c>
      <c r="F1002" s="2" t="s">
        <v>151</v>
      </c>
      <c r="G1002" s="2" t="s">
        <v>202</v>
      </c>
      <c r="H1002" s="3">
        <v>2</v>
      </c>
      <c r="I1002" s="6">
        <v>2005</v>
      </c>
      <c r="J1002" s="2" t="s">
        <v>22</v>
      </c>
      <c r="K1002" s="2" t="s">
        <v>144</v>
      </c>
      <c r="L1002" s="7">
        <f t="shared" si="45"/>
        <v>4100</v>
      </c>
      <c r="M1002" s="2" t="str">
        <f t="shared" si="46"/>
        <v>May</v>
      </c>
      <c r="N1002" s="6">
        <f t="shared" si="47"/>
        <v>2005</v>
      </c>
    </row>
    <row r="1003" spans="1:14">
      <c r="A1003" s="2" t="s">
        <v>69</v>
      </c>
      <c r="B1003" s="3">
        <v>10104</v>
      </c>
      <c r="C1003" s="3">
        <v>23</v>
      </c>
      <c r="D1003" s="13">
        <v>100</v>
      </c>
      <c r="E1003" s="5">
        <v>37652</v>
      </c>
      <c r="F1003" s="2" t="s">
        <v>13</v>
      </c>
      <c r="G1003" s="2" t="s">
        <v>72</v>
      </c>
      <c r="H1003" s="3">
        <v>1</v>
      </c>
      <c r="I1003" s="6">
        <v>2003</v>
      </c>
      <c r="J1003" s="2" t="s">
        <v>22</v>
      </c>
      <c r="K1003" s="2" t="s">
        <v>71</v>
      </c>
      <c r="L1003" s="7">
        <f t="shared" si="45"/>
        <v>2300</v>
      </c>
      <c r="M1003" s="2" t="str">
        <f t="shared" si="46"/>
        <v>January</v>
      </c>
      <c r="N1003" s="6">
        <f t="shared" si="47"/>
        <v>2003</v>
      </c>
    </row>
    <row r="1004" spans="1:14">
      <c r="A1004" s="2" t="s">
        <v>116</v>
      </c>
      <c r="B1004" s="3">
        <v>10109</v>
      </c>
      <c r="C1004" s="3">
        <v>46</v>
      </c>
      <c r="D1004" s="13">
        <v>100</v>
      </c>
      <c r="E1004" s="5">
        <v>37690</v>
      </c>
      <c r="F1004" s="2" t="s">
        <v>13</v>
      </c>
      <c r="G1004" s="2" t="s">
        <v>72</v>
      </c>
      <c r="H1004" s="3">
        <v>1</v>
      </c>
      <c r="I1004" s="6">
        <v>2003</v>
      </c>
      <c r="J1004" s="2" t="s">
        <v>61</v>
      </c>
      <c r="K1004" s="2" t="s">
        <v>117</v>
      </c>
      <c r="L1004" s="7">
        <f t="shared" si="45"/>
        <v>4600</v>
      </c>
      <c r="M1004" s="2" t="str">
        <f t="shared" si="46"/>
        <v>March</v>
      </c>
      <c r="N1004" s="6">
        <f t="shared" si="47"/>
        <v>2003</v>
      </c>
    </row>
    <row r="1005" spans="1:14">
      <c r="A1005" s="2" t="s">
        <v>152</v>
      </c>
      <c r="B1005" s="3">
        <v>10114</v>
      </c>
      <c r="C1005" s="3">
        <v>48</v>
      </c>
      <c r="D1005" s="13">
        <v>100</v>
      </c>
      <c r="E1005" s="5">
        <v>37712</v>
      </c>
      <c r="F1005" s="2" t="s">
        <v>13</v>
      </c>
      <c r="G1005" s="2" t="s">
        <v>72</v>
      </c>
      <c r="H1005" s="3">
        <v>2</v>
      </c>
      <c r="I1005" s="6">
        <v>2003</v>
      </c>
      <c r="J1005" s="2" t="s">
        <v>61</v>
      </c>
      <c r="K1005" s="2" t="s">
        <v>153</v>
      </c>
      <c r="L1005" s="7">
        <f t="shared" si="45"/>
        <v>4800</v>
      </c>
      <c r="M1005" s="2" t="str">
        <f t="shared" si="46"/>
        <v>April</v>
      </c>
      <c r="N1005" s="6">
        <f t="shared" si="47"/>
        <v>2003</v>
      </c>
    </row>
    <row r="1006" spans="1:14">
      <c r="A1006" s="2" t="s">
        <v>163</v>
      </c>
      <c r="B1006" s="3">
        <v>10122</v>
      </c>
      <c r="C1006" s="3">
        <v>25</v>
      </c>
      <c r="D1006" s="13">
        <v>100</v>
      </c>
      <c r="E1006" s="5">
        <v>37749</v>
      </c>
      <c r="F1006" s="2" t="s">
        <v>13</v>
      </c>
      <c r="G1006" s="2" t="s">
        <v>72</v>
      </c>
      <c r="H1006" s="3">
        <v>2</v>
      </c>
      <c r="I1006" s="6">
        <v>2003</v>
      </c>
      <c r="J1006" s="2" t="s">
        <v>22</v>
      </c>
      <c r="K1006" s="2" t="s">
        <v>164</v>
      </c>
      <c r="L1006" s="7">
        <f t="shared" si="45"/>
        <v>2500</v>
      </c>
      <c r="M1006" s="2" t="str">
        <f t="shared" si="46"/>
        <v>May</v>
      </c>
      <c r="N1006" s="6">
        <f t="shared" si="47"/>
        <v>2003</v>
      </c>
    </row>
    <row r="1007" spans="1:14">
      <c r="A1007" s="2" t="s">
        <v>177</v>
      </c>
      <c r="B1007" s="3">
        <v>10127</v>
      </c>
      <c r="C1007" s="3">
        <v>22</v>
      </c>
      <c r="D1007" s="13">
        <v>100</v>
      </c>
      <c r="E1007" s="5">
        <v>37775</v>
      </c>
      <c r="F1007" s="2" t="s">
        <v>13</v>
      </c>
      <c r="G1007" s="2" t="s">
        <v>72</v>
      </c>
      <c r="H1007" s="3">
        <v>2</v>
      </c>
      <c r="I1007" s="6">
        <v>2003</v>
      </c>
      <c r="J1007" s="2" t="s">
        <v>22</v>
      </c>
      <c r="K1007" s="2" t="s">
        <v>178</v>
      </c>
      <c r="L1007" s="7">
        <f t="shared" si="45"/>
        <v>2200</v>
      </c>
      <c r="M1007" s="2" t="str">
        <f t="shared" si="46"/>
        <v>June</v>
      </c>
      <c r="N1007" s="6">
        <f t="shared" si="47"/>
        <v>2003</v>
      </c>
    </row>
    <row r="1008" spans="1:14">
      <c r="A1008" s="2" t="s">
        <v>129</v>
      </c>
      <c r="B1008" s="3">
        <v>10136</v>
      </c>
      <c r="C1008" s="3">
        <v>41</v>
      </c>
      <c r="D1008" s="13">
        <v>100</v>
      </c>
      <c r="E1008" s="5">
        <v>37806</v>
      </c>
      <c r="F1008" s="2" t="s">
        <v>13</v>
      </c>
      <c r="G1008" s="2" t="s">
        <v>72</v>
      </c>
      <c r="H1008" s="3">
        <v>3</v>
      </c>
      <c r="I1008" s="6">
        <v>2003</v>
      </c>
      <c r="J1008" s="2" t="s">
        <v>61</v>
      </c>
      <c r="K1008" s="2" t="s">
        <v>130</v>
      </c>
      <c r="L1008" s="7">
        <f t="shared" si="45"/>
        <v>4100</v>
      </c>
      <c r="M1008" s="2" t="str">
        <f t="shared" si="46"/>
        <v>July</v>
      </c>
      <c r="N1008" s="6">
        <f t="shared" si="47"/>
        <v>2003</v>
      </c>
    </row>
    <row r="1009" spans="1:14">
      <c r="A1009" s="2" t="s">
        <v>175</v>
      </c>
      <c r="B1009" s="3">
        <v>10141</v>
      </c>
      <c r="C1009" s="3">
        <v>34</v>
      </c>
      <c r="D1009" s="13">
        <v>100</v>
      </c>
      <c r="E1009" s="5">
        <v>37834</v>
      </c>
      <c r="F1009" s="2" t="s">
        <v>13</v>
      </c>
      <c r="G1009" s="2" t="s">
        <v>72</v>
      </c>
      <c r="H1009" s="3">
        <v>3</v>
      </c>
      <c r="I1009" s="6">
        <v>2003</v>
      </c>
      <c r="J1009" s="2" t="s">
        <v>22</v>
      </c>
      <c r="K1009" s="2" t="s">
        <v>176</v>
      </c>
      <c r="L1009" s="7">
        <f t="shared" si="45"/>
        <v>3400</v>
      </c>
      <c r="M1009" s="2" t="str">
        <f t="shared" si="46"/>
        <v>August</v>
      </c>
      <c r="N1009" s="6">
        <f t="shared" si="47"/>
        <v>2003</v>
      </c>
    </row>
    <row r="1010" spans="1:14">
      <c r="A1010" s="2" t="s">
        <v>109</v>
      </c>
      <c r="B1010" s="3">
        <v>10148</v>
      </c>
      <c r="C1010" s="3">
        <v>32</v>
      </c>
      <c r="D1010" s="13">
        <v>100</v>
      </c>
      <c r="E1010" s="5">
        <v>37875</v>
      </c>
      <c r="F1010" s="2" t="s">
        <v>13</v>
      </c>
      <c r="G1010" s="2" t="s">
        <v>72</v>
      </c>
      <c r="H1010" s="3">
        <v>3</v>
      </c>
      <c r="I1010" s="6">
        <v>2003</v>
      </c>
      <c r="J1010" s="2" t="s">
        <v>22</v>
      </c>
      <c r="K1010" s="2" t="s">
        <v>110</v>
      </c>
      <c r="L1010" s="7">
        <f t="shared" si="45"/>
        <v>3200</v>
      </c>
      <c r="M1010" s="2" t="str">
        <f t="shared" si="46"/>
        <v>September</v>
      </c>
      <c r="N1010" s="6">
        <f t="shared" si="47"/>
        <v>2003</v>
      </c>
    </row>
    <row r="1011" spans="1:14">
      <c r="A1011" s="2" t="s">
        <v>147</v>
      </c>
      <c r="B1011" s="3">
        <v>10151</v>
      </c>
      <c r="C1011" s="3">
        <v>21</v>
      </c>
      <c r="D1011" s="13">
        <v>100</v>
      </c>
      <c r="E1011" s="5">
        <v>37885</v>
      </c>
      <c r="F1011" s="2" t="s">
        <v>13</v>
      </c>
      <c r="G1011" s="2" t="s">
        <v>72</v>
      </c>
      <c r="H1011" s="3">
        <v>3</v>
      </c>
      <c r="I1011" s="6">
        <v>2003</v>
      </c>
      <c r="J1011" s="2" t="s">
        <v>22</v>
      </c>
      <c r="K1011" s="2" t="s">
        <v>148</v>
      </c>
      <c r="L1011" s="7">
        <f t="shared" si="45"/>
        <v>2100</v>
      </c>
      <c r="M1011" s="2" t="str">
        <f t="shared" si="46"/>
        <v>September</v>
      </c>
      <c r="N1011" s="6">
        <f t="shared" si="47"/>
        <v>2003</v>
      </c>
    </row>
    <row r="1012" spans="1:14">
      <c r="A1012" s="2" t="s">
        <v>135</v>
      </c>
      <c r="B1012" s="3">
        <v>10160</v>
      </c>
      <c r="C1012" s="3">
        <v>20</v>
      </c>
      <c r="D1012" s="13">
        <v>100</v>
      </c>
      <c r="E1012" s="5">
        <v>37905</v>
      </c>
      <c r="F1012" s="2" t="s">
        <v>13</v>
      </c>
      <c r="G1012" s="2" t="s">
        <v>72</v>
      </c>
      <c r="H1012" s="3">
        <v>4</v>
      </c>
      <c r="I1012" s="6">
        <v>2003</v>
      </c>
      <c r="J1012" s="2" t="s">
        <v>22</v>
      </c>
      <c r="K1012" s="2" t="s">
        <v>136</v>
      </c>
      <c r="L1012" s="7">
        <f t="shared" si="45"/>
        <v>2000</v>
      </c>
      <c r="M1012" s="2" t="str">
        <f t="shared" si="46"/>
        <v>October</v>
      </c>
      <c r="N1012" s="6">
        <f t="shared" si="47"/>
        <v>2003</v>
      </c>
    </row>
    <row r="1013" spans="1:14">
      <c r="A1013" s="2" t="s">
        <v>77</v>
      </c>
      <c r="B1013" s="3">
        <v>10165</v>
      </c>
      <c r="C1013" s="3">
        <v>47</v>
      </c>
      <c r="D1013" s="13">
        <v>100</v>
      </c>
      <c r="E1013" s="5">
        <v>37916</v>
      </c>
      <c r="F1013" s="2" t="s">
        <v>13</v>
      </c>
      <c r="G1013" s="2" t="s">
        <v>72</v>
      </c>
      <c r="H1013" s="3">
        <v>4</v>
      </c>
      <c r="I1013" s="6">
        <v>2003</v>
      </c>
      <c r="J1013" s="2" t="s">
        <v>61</v>
      </c>
      <c r="K1013" s="2" t="s">
        <v>78</v>
      </c>
      <c r="L1013" s="7">
        <f t="shared" si="45"/>
        <v>4700</v>
      </c>
      <c r="M1013" s="2" t="str">
        <f t="shared" si="46"/>
        <v>October</v>
      </c>
      <c r="N1013" s="6">
        <f t="shared" si="47"/>
        <v>2003</v>
      </c>
    </row>
    <row r="1014" spans="1:14">
      <c r="A1014" s="2" t="s">
        <v>111</v>
      </c>
      <c r="B1014" s="3">
        <v>10171</v>
      </c>
      <c r="C1014" s="3">
        <v>39</v>
      </c>
      <c r="D1014" s="13">
        <v>100</v>
      </c>
      <c r="E1014" s="5">
        <v>37930</v>
      </c>
      <c r="F1014" s="2" t="s">
        <v>13</v>
      </c>
      <c r="G1014" s="2" t="s">
        <v>72</v>
      </c>
      <c r="H1014" s="3">
        <v>4</v>
      </c>
      <c r="I1014" s="6">
        <v>2003</v>
      </c>
      <c r="J1014" s="2" t="s">
        <v>22</v>
      </c>
      <c r="K1014" s="2" t="s">
        <v>112</v>
      </c>
      <c r="L1014" s="7">
        <f t="shared" si="45"/>
        <v>3900</v>
      </c>
      <c r="M1014" s="2" t="str">
        <f t="shared" si="46"/>
        <v>November</v>
      </c>
      <c r="N1014" s="6">
        <f t="shared" si="47"/>
        <v>2003</v>
      </c>
    </row>
    <row r="1015" spans="1:14">
      <c r="A1015" s="2" t="s">
        <v>124</v>
      </c>
      <c r="B1015" s="3">
        <v>10175</v>
      </c>
      <c r="C1015" s="3">
        <v>29</v>
      </c>
      <c r="D1015" s="13">
        <v>100</v>
      </c>
      <c r="E1015" s="5">
        <v>37931</v>
      </c>
      <c r="F1015" s="2" t="s">
        <v>13</v>
      </c>
      <c r="G1015" s="2" t="s">
        <v>72</v>
      </c>
      <c r="H1015" s="3">
        <v>4</v>
      </c>
      <c r="I1015" s="6">
        <v>2003</v>
      </c>
      <c r="J1015" s="2" t="s">
        <v>22</v>
      </c>
      <c r="K1015" s="2" t="s">
        <v>125</v>
      </c>
      <c r="L1015" s="7">
        <f t="shared" si="45"/>
        <v>2900</v>
      </c>
      <c r="M1015" s="2" t="str">
        <f t="shared" si="46"/>
        <v>November</v>
      </c>
      <c r="N1015" s="6">
        <f t="shared" si="47"/>
        <v>2003</v>
      </c>
    </row>
    <row r="1016" spans="1:14">
      <c r="A1016" s="2" t="s">
        <v>36</v>
      </c>
      <c r="B1016" s="3">
        <v>10181</v>
      </c>
      <c r="C1016" s="3">
        <v>45</v>
      </c>
      <c r="D1016" s="13">
        <v>100</v>
      </c>
      <c r="E1016" s="5">
        <v>37937</v>
      </c>
      <c r="F1016" s="2" t="s">
        <v>13</v>
      </c>
      <c r="G1016" s="2" t="s">
        <v>72</v>
      </c>
      <c r="H1016" s="3">
        <v>4</v>
      </c>
      <c r="I1016" s="6">
        <v>2003</v>
      </c>
      <c r="J1016" s="2" t="s">
        <v>22</v>
      </c>
      <c r="K1016" s="2" t="s">
        <v>37</v>
      </c>
      <c r="L1016" s="7">
        <f t="shared" si="45"/>
        <v>4500</v>
      </c>
      <c r="M1016" s="2" t="str">
        <f t="shared" si="46"/>
        <v>November</v>
      </c>
      <c r="N1016" s="6">
        <f t="shared" si="47"/>
        <v>2003</v>
      </c>
    </row>
    <row r="1017" spans="1:14">
      <c r="A1017" s="2" t="s">
        <v>192</v>
      </c>
      <c r="B1017" s="3">
        <v>10184</v>
      </c>
      <c r="C1017" s="3">
        <v>28</v>
      </c>
      <c r="D1017" s="13">
        <v>100</v>
      </c>
      <c r="E1017" s="5">
        <v>37939</v>
      </c>
      <c r="F1017" s="2" t="s">
        <v>13</v>
      </c>
      <c r="G1017" s="2" t="s">
        <v>72</v>
      </c>
      <c r="H1017" s="3">
        <v>4</v>
      </c>
      <c r="I1017" s="6">
        <v>2003</v>
      </c>
      <c r="J1017" s="2" t="s">
        <v>22</v>
      </c>
      <c r="K1017" s="2" t="s">
        <v>193</v>
      </c>
      <c r="L1017" s="7">
        <f t="shared" si="45"/>
        <v>2800</v>
      </c>
      <c r="M1017" s="2" t="str">
        <f t="shared" si="46"/>
        <v>November</v>
      </c>
      <c r="N1017" s="6">
        <f t="shared" si="47"/>
        <v>2003</v>
      </c>
    </row>
    <row r="1018" spans="1:14">
      <c r="A1018" s="2" t="s">
        <v>105</v>
      </c>
      <c r="B1018" s="3">
        <v>10192</v>
      </c>
      <c r="C1018" s="3">
        <v>26</v>
      </c>
      <c r="D1018" s="13">
        <v>100</v>
      </c>
      <c r="E1018" s="5">
        <v>37945</v>
      </c>
      <c r="F1018" s="2" t="s">
        <v>13</v>
      </c>
      <c r="G1018" s="2" t="s">
        <v>72</v>
      </c>
      <c r="H1018" s="3">
        <v>4</v>
      </c>
      <c r="I1018" s="6">
        <v>2003</v>
      </c>
      <c r="J1018" s="2" t="s">
        <v>22</v>
      </c>
      <c r="K1018" s="2" t="s">
        <v>106</v>
      </c>
      <c r="L1018" s="7">
        <f t="shared" si="45"/>
        <v>2600</v>
      </c>
      <c r="M1018" s="2" t="str">
        <f t="shared" si="46"/>
        <v>November</v>
      </c>
      <c r="N1018" s="6">
        <f t="shared" si="47"/>
        <v>2003</v>
      </c>
    </row>
    <row r="1019" spans="1:14">
      <c r="A1019" s="2" t="s">
        <v>120</v>
      </c>
      <c r="B1019" s="3">
        <v>10195</v>
      </c>
      <c r="C1019" s="3">
        <v>50</v>
      </c>
      <c r="D1019" s="13">
        <v>100</v>
      </c>
      <c r="E1019" s="5">
        <v>37950</v>
      </c>
      <c r="F1019" s="2" t="s">
        <v>13</v>
      </c>
      <c r="G1019" s="2" t="s">
        <v>72</v>
      </c>
      <c r="H1019" s="3">
        <v>4</v>
      </c>
      <c r="I1019" s="6">
        <v>2003</v>
      </c>
      <c r="J1019" s="2" t="s">
        <v>61</v>
      </c>
      <c r="K1019" s="2" t="s">
        <v>121</v>
      </c>
      <c r="L1019" s="7">
        <f t="shared" si="45"/>
        <v>5000</v>
      </c>
      <c r="M1019" s="2" t="str">
        <f t="shared" si="46"/>
        <v>November</v>
      </c>
      <c r="N1019" s="6">
        <f t="shared" si="47"/>
        <v>2003</v>
      </c>
    </row>
    <row r="1020" spans="1:14">
      <c r="A1020" s="2" t="s">
        <v>69</v>
      </c>
      <c r="B1020" s="3">
        <v>10203</v>
      </c>
      <c r="C1020" s="3">
        <v>48</v>
      </c>
      <c r="D1020" s="13">
        <v>100</v>
      </c>
      <c r="E1020" s="5">
        <v>37957</v>
      </c>
      <c r="F1020" s="2" t="s">
        <v>13</v>
      </c>
      <c r="G1020" s="2" t="s">
        <v>72</v>
      </c>
      <c r="H1020" s="3">
        <v>4</v>
      </c>
      <c r="I1020" s="6">
        <v>2003</v>
      </c>
      <c r="J1020" s="2" t="s">
        <v>61</v>
      </c>
      <c r="K1020" s="2" t="s">
        <v>71</v>
      </c>
      <c r="L1020" s="7">
        <f t="shared" si="45"/>
        <v>4800</v>
      </c>
      <c r="M1020" s="2" t="str">
        <f t="shared" si="46"/>
        <v>December</v>
      </c>
      <c r="N1020" s="6">
        <f t="shared" si="47"/>
        <v>2003</v>
      </c>
    </row>
    <row r="1021" spans="1:14">
      <c r="A1021" s="2" t="s">
        <v>157</v>
      </c>
      <c r="B1021" s="3">
        <v>10207</v>
      </c>
      <c r="C1021" s="3">
        <v>25</v>
      </c>
      <c r="D1021" s="13">
        <v>100</v>
      </c>
      <c r="E1021" s="5">
        <v>37964</v>
      </c>
      <c r="F1021" s="2" t="s">
        <v>13</v>
      </c>
      <c r="G1021" s="2" t="s">
        <v>72</v>
      </c>
      <c r="H1021" s="3">
        <v>4</v>
      </c>
      <c r="I1021" s="6">
        <v>2003</v>
      </c>
      <c r="J1021" s="2" t="s">
        <v>22</v>
      </c>
      <c r="K1021" s="2" t="s">
        <v>158</v>
      </c>
      <c r="L1021" s="7">
        <f t="shared" si="45"/>
        <v>2500</v>
      </c>
      <c r="M1021" s="2" t="str">
        <f t="shared" si="46"/>
        <v>December</v>
      </c>
      <c r="N1021" s="6">
        <f t="shared" si="47"/>
        <v>2003</v>
      </c>
    </row>
    <row r="1022" spans="1:14">
      <c r="A1022" s="2" t="s">
        <v>167</v>
      </c>
      <c r="B1022" s="3">
        <v>10225</v>
      </c>
      <c r="C1022" s="3">
        <v>43</v>
      </c>
      <c r="D1022" s="13">
        <v>100</v>
      </c>
      <c r="E1022" s="5">
        <v>38039</v>
      </c>
      <c r="F1022" s="2" t="s">
        <v>13</v>
      </c>
      <c r="G1022" s="2" t="s">
        <v>72</v>
      </c>
      <c r="H1022" s="3">
        <v>1</v>
      </c>
      <c r="I1022" s="6">
        <v>2004</v>
      </c>
      <c r="J1022" s="2" t="s">
        <v>22</v>
      </c>
      <c r="K1022" s="2" t="s">
        <v>168</v>
      </c>
      <c r="L1022" s="7">
        <f t="shared" si="45"/>
        <v>4300</v>
      </c>
      <c r="M1022" s="2" t="str">
        <f t="shared" si="46"/>
        <v>February</v>
      </c>
      <c r="N1022" s="6">
        <f t="shared" si="47"/>
        <v>2004</v>
      </c>
    </row>
    <row r="1023" spans="1:14">
      <c r="A1023" s="2" t="s">
        <v>103</v>
      </c>
      <c r="B1023" s="3">
        <v>10229</v>
      </c>
      <c r="C1023" s="3">
        <v>22</v>
      </c>
      <c r="D1023" s="13">
        <v>100</v>
      </c>
      <c r="E1023" s="5">
        <v>38057</v>
      </c>
      <c r="F1023" s="2" t="s">
        <v>13</v>
      </c>
      <c r="G1023" s="2" t="s">
        <v>72</v>
      </c>
      <c r="H1023" s="3">
        <v>1</v>
      </c>
      <c r="I1023" s="6">
        <v>2004</v>
      </c>
      <c r="J1023" s="2" t="s">
        <v>22</v>
      </c>
      <c r="K1023" s="2" t="s">
        <v>104</v>
      </c>
      <c r="L1023" s="7">
        <f t="shared" si="45"/>
        <v>2200</v>
      </c>
      <c r="M1023" s="2" t="str">
        <f t="shared" si="46"/>
        <v>March</v>
      </c>
      <c r="N1023" s="6">
        <f t="shared" si="47"/>
        <v>2004</v>
      </c>
    </row>
    <row r="1024" spans="1:14">
      <c r="A1024" s="2" t="s">
        <v>147</v>
      </c>
      <c r="B1024" s="3">
        <v>10239</v>
      </c>
      <c r="C1024" s="3">
        <v>47</v>
      </c>
      <c r="D1024" s="13">
        <v>100</v>
      </c>
      <c r="E1024" s="5">
        <v>38089</v>
      </c>
      <c r="F1024" s="2" t="s">
        <v>13</v>
      </c>
      <c r="G1024" s="2" t="s">
        <v>72</v>
      </c>
      <c r="H1024" s="3">
        <v>2</v>
      </c>
      <c r="I1024" s="6">
        <v>2004</v>
      </c>
      <c r="J1024" s="2" t="s">
        <v>61</v>
      </c>
      <c r="K1024" s="2" t="s">
        <v>148</v>
      </c>
      <c r="L1024" s="7">
        <f t="shared" si="45"/>
        <v>4700</v>
      </c>
      <c r="M1024" s="2" t="str">
        <f t="shared" si="46"/>
        <v>April</v>
      </c>
      <c r="N1024" s="6">
        <f t="shared" si="47"/>
        <v>2004</v>
      </c>
    </row>
    <row r="1025" spans="1:14">
      <c r="A1025" s="2" t="s">
        <v>69</v>
      </c>
      <c r="B1025" s="3">
        <v>10246</v>
      </c>
      <c r="C1025" s="3">
        <v>36</v>
      </c>
      <c r="D1025" s="13">
        <v>100</v>
      </c>
      <c r="E1025" s="5">
        <v>38112</v>
      </c>
      <c r="F1025" s="2" t="s">
        <v>13</v>
      </c>
      <c r="G1025" s="2" t="s">
        <v>72</v>
      </c>
      <c r="H1025" s="3">
        <v>2</v>
      </c>
      <c r="I1025" s="6">
        <v>2004</v>
      </c>
      <c r="J1025" s="2" t="s">
        <v>61</v>
      </c>
      <c r="K1025" s="2" t="s">
        <v>71</v>
      </c>
      <c r="L1025" s="7">
        <f t="shared" si="45"/>
        <v>3600</v>
      </c>
      <c r="M1025" s="2" t="str">
        <f t="shared" si="46"/>
        <v>May</v>
      </c>
      <c r="N1025" s="6">
        <f t="shared" si="47"/>
        <v>2004</v>
      </c>
    </row>
    <row r="1026" spans="1:14">
      <c r="A1026" s="2" t="s">
        <v>67</v>
      </c>
      <c r="B1026" s="3">
        <v>10253</v>
      </c>
      <c r="C1026" s="3">
        <v>40</v>
      </c>
      <c r="D1026" s="13">
        <v>100</v>
      </c>
      <c r="E1026" s="5">
        <v>38139</v>
      </c>
      <c r="F1026" s="2" t="s">
        <v>128</v>
      </c>
      <c r="G1026" s="2" t="s">
        <v>72</v>
      </c>
      <c r="H1026" s="3">
        <v>2</v>
      </c>
      <c r="I1026" s="6">
        <v>2004</v>
      </c>
      <c r="J1026" s="2" t="s">
        <v>22</v>
      </c>
      <c r="K1026" s="2" t="s">
        <v>68</v>
      </c>
      <c r="L1026" s="7">
        <f t="shared" ref="L1026:L1089" si="48">PRODUCT(C1026,D1026)</f>
        <v>4000</v>
      </c>
      <c r="M1026" s="2" t="str">
        <f t="shared" ref="M1026:M1089" si="49">TEXT(E1026,"MMMM")</f>
        <v>June</v>
      </c>
      <c r="N1026" s="6">
        <f t="shared" ref="N1026:N1089" si="50">YEAR(E1026)</f>
        <v>2004</v>
      </c>
    </row>
    <row r="1027" spans="1:14">
      <c r="A1027" s="2" t="s">
        <v>159</v>
      </c>
      <c r="B1027" s="3">
        <v>10259</v>
      </c>
      <c r="C1027" s="3">
        <v>27</v>
      </c>
      <c r="D1027" s="13">
        <v>100</v>
      </c>
      <c r="E1027" s="5">
        <v>38153</v>
      </c>
      <c r="F1027" s="2" t="s">
        <v>13</v>
      </c>
      <c r="G1027" s="2" t="s">
        <v>72</v>
      </c>
      <c r="H1027" s="3">
        <v>2</v>
      </c>
      <c r="I1027" s="6">
        <v>2004</v>
      </c>
      <c r="J1027" s="2" t="s">
        <v>22</v>
      </c>
      <c r="K1027" s="2" t="s">
        <v>160</v>
      </c>
      <c r="L1027" s="7">
        <f t="shared" si="48"/>
        <v>2700</v>
      </c>
      <c r="M1027" s="2" t="str">
        <f t="shared" si="49"/>
        <v>June</v>
      </c>
      <c r="N1027" s="6">
        <f t="shared" si="50"/>
        <v>2004</v>
      </c>
    </row>
    <row r="1028" spans="1:14">
      <c r="A1028" s="2" t="s">
        <v>169</v>
      </c>
      <c r="B1028" s="3">
        <v>10266</v>
      </c>
      <c r="C1028" s="3">
        <v>29</v>
      </c>
      <c r="D1028" s="13">
        <v>100</v>
      </c>
      <c r="E1028" s="5">
        <v>38174</v>
      </c>
      <c r="F1028" s="2" t="s">
        <v>13</v>
      </c>
      <c r="G1028" s="2" t="s">
        <v>72</v>
      </c>
      <c r="H1028" s="3">
        <v>3</v>
      </c>
      <c r="I1028" s="6">
        <v>2004</v>
      </c>
      <c r="J1028" s="2" t="s">
        <v>22</v>
      </c>
      <c r="K1028" s="2" t="s">
        <v>170</v>
      </c>
      <c r="L1028" s="7">
        <f t="shared" si="48"/>
        <v>2900</v>
      </c>
      <c r="M1028" s="2" t="str">
        <f t="shared" si="49"/>
        <v>July</v>
      </c>
      <c r="N1028" s="6">
        <f t="shared" si="50"/>
        <v>2004</v>
      </c>
    </row>
    <row r="1029" spans="1:14">
      <c r="A1029" s="2" t="s">
        <v>103</v>
      </c>
      <c r="B1029" s="3">
        <v>10271</v>
      </c>
      <c r="C1029" s="3">
        <v>20</v>
      </c>
      <c r="D1029" s="13">
        <v>100</v>
      </c>
      <c r="E1029" s="5">
        <v>38188</v>
      </c>
      <c r="F1029" s="2" t="s">
        <v>13</v>
      </c>
      <c r="G1029" s="2" t="s">
        <v>72</v>
      </c>
      <c r="H1029" s="3">
        <v>3</v>
      </c>
      <c r="I1029" s="6">
        <v>2004</v>
      </c>
      <c r="J1029" s="2" t="s">
        <v>22</v>
      </c>
      <c r="K1029" s="2" t="s">
        <v>104</v>
      </c>
      <c r="L1029" s="7">
        <f t="shared" si="48"/>
        <v>2000</v>
      </c>
      <c r="M1029" s="2" t="str">
        <f t="shared" si="49"/>
        <v>July</v>
      </c>
      <c r="N1029" s="6">
        <f t="shared" si="50"/>
        <v>2004</v>
      </c>
    </row>
    <row r="1030" spans="1:14">
      <c r="A1030" s="2" t="s">
        <v>198</v>
      </c>
      <c r="B1030" s="3">
        <v>10278</v>
      </c>
      <c r="C1030" s="3">
        <v>42</v>
      </c>
      <c r="D1030" s="13">
        <v>100</v>
      </c>
      <c r="E1030" s="5">
        <v>38205</v>
      </c>
      <c r="F1030" s="2" t="s">
        <v>13</v>
      </c>
      <c r="G1030" s="2" t="s">
        <v>72</v>
      </c>
      <c r="H1030" s="3">
        <v>3</v>
      </c>
      <c r="I1030" s="6">
        <v>2004</v>
      </c>
      <c r="J1030" s="2" t="s">
        <v>22</v>
      </c>
      <c r="K1030" s="2" t="s">
        <v>199</v>
      </c>
      <c r="L1030" s="7">
        <f t="shared" si="48"/>
        <v>4200</v>
      </c>
      <c r="M1030" s="2" t="str">
        <f t="shared" si="49"/>
        <v>August</v>
      </c>
      <c r="N1030" s="6">
        <f t="shared" si="50"/>
        <v>2004</v>
      </c>
    </row>
    <row r="1031" spans="1:14">
      <c r="A1031" s="2" t="s">
        <v>58</v>
      </c>
      <c r="B1031" s="3">
        <v>10281</v>
      </c>
      <c r="C1031" s="3">
        <v>25</v>
      </c>
      <c r="D1031" s="13">
        <v>100</v>
      </c>
      <c r="E1031" s="5">
        <v>38218</v>
      </c>
      <c r="F1031" s="2" t="s">
        <v>13</v>
      </c>
      <c r="G1031" s="2" t="s">
        <v>72</v>
      </c>
      <c r="H1031" s="3">
        <v>3</v>
      </c>
      <c r="I1031" s="6">
        <v>2004</v>
      </c>
      <c r="J1031" s="2" t="s">
        <v>22</v>
      </c>
      <c r="K1031" s="2" t="s">
        <v>59</v>
      </c>
      <c r="L1031" s="7">
        <f t="shared" si="48"/>
        <v>2500</v>
      </c>
      <c r="M1031" s="2" t="str">
        <f t="shared" si="49"/>
        <v>August</v>
      </c>
      <c r="N1031" s="6">
        <f t="shared" si="50"/>
        <v>2004</v>
      </c>
    </row>
    <row r="1032" spans="1:14">
      <c r="A1032" s="2" t="s">
        <v>167</v>
      </c>
      <c r="B1032" s="3">
        <v>10287</v>
      </c>
      <c r="C1032" s="3">
        <v>36</v>
      </c>
      <c r="D1032" s="13">
        <v>100</v>
      </c>
      <c r="E1032" s="5">
        <v>38229</v>
      </c>
      <c r="F1032" s="2" t="s">
        <v>13</v>
      </c>
      <c r="G1032" s="2" t="s">
        <v>72</v>
      </c>
      <c r="H1032" s="3">
        <v>3</v>
      </c>
      <c r="I1032" s="6">
        <v>2004</v>
      </c>
      <c r="J1032" s="2" t="s">
        <v>22</v>
      </c>
      <c r="K1032" s="2" t="s">
        <v>168</v>
      </c>
      <c r="L1032" s="7">
        <f t="shared" si="48"/>
        <v>3600</v>
      </c>
      <c r="M1032" s="2" t="str">
        <f t="shared" si="49"/>
        <v>August</v>
      </c>
      <c r="N1032" s="6">
        <f t="shared" si="50"/>
        <v>2004</v>
      </c>
    </row>
    <row r="1033" spans="1:14">
      <c r="A1033" s="2" t="s">
        <v>12</v>
      </c>
      <c r="B1033" s="3">
        <v>10292</v>
      </c>
      <c r="C1033" s="3">
        <v>21</v>
      </c>
      <c r="D1033" s="13">
        <v>100</v>
      </c>
      <c r="E1033" s="5">
        <v>38238</v>
      </c>
      <c r="F1033" s="2" t="s">
        <v>13</v>
      </c>
      <c r="G1033" s="2" t="s">
        <v>72</v>
      </c>
      <c r="H1033" s="3">
        <v>3</v>
      </c>
      <c r="I1033" s="6">
        <v>2004</v>
      </c>
      <c r="J1033" s="2" t="s">
        <v>15</v>
      </c>
      <c r="K1033" s="2" t="s">
        <v>16</v>
      </c>
      <c r="L1033" s="7">
        <f t="shared" si="48"/>
        <v>2100</v>
      </c>
      <c r="M1033" s="2" t="str">
        <f t="shared" si="49"/>
        <v>September</v>
      </c>
      <c r="N1033" s="6">
        <f t="shared" si="50"/>
        <v>2004</v>
      </c>
    </row>
    <row r="1034" spans="1:14">
      <c r="A1034" s="2" t="s">
        <v>200</v>
      </c>
      <c r="B1034" s="3">
        <v>10301</v>
      </c>
      <c r="C1034" s="3">
        <v>23</v>
      </c>
      <c r="D1034" s="13">
        <v>100</v>
      </c>
      <c r="E1034" s="5">
        <v>37899</v>
      </c>
      <c r="F1034" s="2" t="s">
        <v>13</v>
      </c>
      <c r="G1034" s="2" t="s">
        <v>72</v>
      </c>
      <c r="H1034" s="3">
        <v>4</v>
      </c>
      <c r="I1034" s="6">
        <v>2003</v>
      </c>
      <c r="J1034" s="2" t="s">
        <v>22</v>
      </c>
      <c r="K1034" s="2" t="s">
        <v>201</v>
      </c>
      <c r="L1034" s="7">
        <f t="shared" si="48"/>
        <v>2300</v>
      </c>
      <c r="M1034" s="2" t="str">
        <f t="shared" si="49"/>
        <v>October</v>
      </c>
      <c r="N1034" s="6">
        <f t="shared" si="50"/>
        <v>2003</v>
      </c>
    </row>
    <row r="1035" spans="1:14">
      <c r="A1035" s="2" t="s">
        <v>52</v>
      </c>
      <c r="B1035" s="3">
        <v>10305</v>
      </c>
      <c r="C1035" s="3">
        <v>37</v>
      </c>
      <c r="D1035" s="13">
        <v>100</v>
      </c>
      <c r="E1035" s="5">
        <v>38273</v>
      </c>
      <c r="F1035" s="2" t="s">
        <v>13</v>
      </c>
      <c r="G1035" s="2" t="s">
        <v>72</v>
      </c>
      <c r="H1035" s="3">
        <v>4</v>
      </c>
      <c r="I1035" s="6">
        <v>2004</v>
      </c>
      <c r="J1035" s="2" t="s">
        <v>61</v>
      </c>
      <c r="K1035" s="2" t="s">
        <v>53</v>
      </c>
      <c r="L1035" s="7">
        <f t="shared" si="48"/>
        <v>3700</v>
      </c>
      <c r="M1035" s="2" t="str">
        <f t="shared" si="49"/>
        <v>October</v>
      </c>
      <c r="N1035" s="6">
        <f t="shared" si="50"/>
        <v>2004</v>
      </c>
    </row>
    <row r="1036" spans="1:14">
      <c r="A1036" s="2" t="s">
        <v>165</v>
      </c>
      <c r="B1036" s="3">
        <v>10310</v>
      </c>
      <c r="C1036" s="3">
        <v>48</v>
      </c>
      <c r="D1036" s="13">
        <v>100</v>
      </c>
      <c r="E1036" s="5">
        <v>38276</v>
      </c>
      <c r="F1036" s="2" t="s">
        <v>13</v>
      </c>
      <c r="G1036" s="2" t="s">
        <v>72</v>
      </c>
      <c r="H1036" s="3">
        <v>4</v>
      </c>
      <c r="I1036" s="6">
        <v>2004</v>
      </c>
      <c r="J1036" s="2" t="s">
        <v>61</v>
      </c>
      <c r="K1036" s="2" t="s">
        <v>166</v>
      </c>
      <c r="L1036" s="7">
        <f t="shared" si="48"/>
        <v>4800</v>
      </c>
      <c r="M1036" s="2" t="str">
        <f t="shared" si="49"/>
        <v>October</v>
      </c>
      <c r="N1036" s="6">
        <f t="shared" si="50"/>
        <v>2004</v>
      </c>
    </row>
    <row r="1037" spans="1:14">
      <c r="A1037" s="2" t="s">
        <v>87</v>
      </c>
      <c r="B1037" s="3">
        <v>10313</v>
      </c>
      <c r="C1037" s="3">
        <v>25</v>
      </c>
      <c r="D1037" s="13">
        <v>100</v>
      </c>
      <c r="E1037" s="5">
        <v>38282</v>
      </c>
      <c r="F1037" s="2" t="s">
        <v>13</v>
      </c>
      <c r="G1037" s="2" t="s">
        <v>72</v>
      </c>
      <c r="H1037" s="3">
        <v>4</v>
      </c>
      <c r="I1037" s="6">
        <v>2004</v>
      </c>
      <c r="J1037" s="2" t="s">
        <v>22</v>
      </c>
      <c r="K1037" s="2" t="s">
        <v>88</v>
      </c>
      <c r="L1037" s="7">
        <f t="shared" si="48"/>
        <v>2500</v>
      </c>
      <c r="M1037" s="2" t="str">
        <f t="shared" si="49"/>
        <v>October</v>
      </c>
      <c r="N1037" s="6">
        <f t="shared" si="50"/>
        <v>2004</v>
      </c>
    </row>
    <row r="1038" spans="1:14">
      <c r="A1038" s="2" t="s">
        <v>65</v>
      </c>
      <c r="B1038" s="3">
        <v>10321</v>
      </c>
      <c r="C1038" s="3">
        <v>33</v>
      </c>
      <c r="D1038" s="13">
        <v>100</v>
      </c>
      <c r="E1038" s="5">
        <v>38295</v>
      </c>
      <c r="F1038" s="2" t="s">
        <v>13</v>
      </c>
      <c r="G1038" s="2" t="s">
        <v>72</v>
      </c>
      <c r="H1038" s="3">
        <v>4</v>
      </c>
      <c r="I1038" s="6">
        <v>2004</v>
      </c>
      <c r="J1038" s="2" t="s">
        <v>22</v>
      </c>
      <c r="K1038" s="2" t="s">
        <v>66</v>
      </c>
      <c r="L1038" s="7">
        <f t="shared" si="48"/>
        <v>3300</v>
      </c>
      <c r="M1038" s="2" t="str">
        <f t="shared" si="49"/>
        <v>November</v>
      </c>
      <c r="N1038" s="6">
        <f t="shared" si="50"/>
        <v>2004</v>
      </c>
    </row>
    <row r="1039" spans="1:14">
      <c r="A1039" s="2" t="s">
        <v>44</v>
      </c>
      <c r="B1039" s="3">
        <v>10324</v>
      </c>
      <c r="C1039" s="3">
        <v>27</v>
      </c>
      <c r="D1039" s="13">
        <v>100</v>
      </c>
      <c r="E1039" s="5">
        <v>38296</v>
      </c>
      <c r="F1039" s="2" t="s">
        <v>13</v>
      </c>
      <c r="G1039" s="2" t="s">
        <v>72</v>
      </c>
      <c r="H1039" s="3">
        <v>4</v>
      </c>
      <c r="I1039" s="6">
        <v>2004</v>
      </c>
      <c r="J1039" s="2" t="s">
        <v>22</v>
      </c>
      <c r="K1039" s="2" t="s">
        <v>45</v>
      </c>
      <c r="L1039" s="7">
        <f t="shared" si="48"/>
        <v>2700</v>
      </c>
      <c r="M1039" s="2" t="str">
        <f t="shared" si="49"/>
        <v>November</v>
      </c>
      <c r="N1039" s="6">
        <f t="shared" si="50"/>
        <v>2004</v>
      </c>
    </row>
    <row r="1040" spans="1:14">
      <c r="A1040" s="2" t="s">
        <v>116</v>
      </c>
      <c r="B1040" s="3">
        <v>10331</v>
      </c>
      <c r="C1040" s="3">
        <v>27</v>
      </c>
      <c r="D1040" s="13">
        <v>100</v>
      </c>
      <c r="E1040" s="5">
        <v>38308</v>
      </c>
      <c r="F1040" s="2" t="s">
        <v>13</v>
      </c>
      <c r="G1040" s="2" t="s">
        <v>72</v>
      </c>
      <c r="H1040" s="3">
        <v>4</v>
      </c>
      <c r="I1040" s="6">
        <v>2004</v>
      </c>
      <c r="J1040" s="2" t="s">
        <v>22</v>
      </c>
      <c r="K1040" s="2" t="s">
        <v>117</v>
      </c>
      <c r="L1040" s="7">
        <f t="shared" si="48"/>
        <v>2700</v>
      </c>
      <c r="M1040" s="2" t="str">
        <f t="shared" si="49"/>
        <v>November</v>
      </c>
      <c r="N1040" s="6">
        <f t="shared" si="50"/>
        <v>2004</v>
      </c>
    </row>
    <row r="1041" spans="1:14">
      <c r="A1041" s="2" t="s">
        <v>73</v>
      </c>
      <c r="B1041" s="3">
        <v>10334</v>
      </c>
      <c r="C1041" s="3">
        <v>20</v>
      </c>
      <c r="D1041" s="13">
        <v>100</v>
      </c>
      <c r="E1041" s="5">
        <v>38310</v>
      </c>
      <c r="F1041" s="2" t="s">
        <v>151</v>
      </c>
      <c r="G1041" s="2" t="s">
        <v>72</v>
      </c>
      <c r="H1041" s="3">
        <v>4</v>
      </c>
      <c r="I1041" s="6">
        <v>2004</v>
      </c>
      <c r="J1041" s="2" t="s">
        <v>15</v>
      </c>
      <c r="K1041" s="2" t="s">
        <v>74</v>
      </c>
      <c r="L1041" s="7">
        <f t="shared" si="48"/>
        <v>2000</v>
      </c>
      <c r="M1041" s="2" t="str">
        <f t="shared" si="49"/>
        <v>November</v>
      </c>
      <c r="N1041" s="6">
        <f t="shared" si="50"/>
        <v>2004</v>
      </c>
    </row>
    <row r="1042" spans="1:14">
      <c r="A1042" s="2" t="s">
        <v>42</v>
      </c>
      <c r="B1042" s="3">
        <v>10342</v>
      </c>
      <c r="C1042" s="3">
        <v>30</v>
      </c>
      <c r="D1042" s="13">
        <v>100</v>
      </c>
      <c r="E1042" s="5">
        <v>38315</v>
      </c>
      <c r="F1042" s="2" t="s">
        <v>13</v>
      </c>
      <c r="G1042" s="2" t="s">
        <v>72</v>
      </c>
      <c r="H1042" s="3">
        <v>4</v>
      </c>
      <c r="I1042" s="6">
        <v>2004</v>
      </c>
      <c r="J1042" s="2" t="s">
        <v>22</v>
      </c>
      <c r="K1042" s="2" t="s">
        <v>43</v>
      </c>
      <c r="L1042" s="7">
        <f t="shared" si="48"/>
        <v>3000</v>
      </c>
      <c r="M1042" s="2" t="str">
        <f t="shared" si="49"/>
        <v>November</v>
      </c>
      <c r="N1042" s="6">
        <f t="shared" si="50"/>
        <v>2004</v>
      </c>
    </row>
    <row r="1043" spans="1:14">
      <c r="A1043" s="2" t="s">
        <v>177</v>
      </c>
      <c r="B1043" s="3">
        <v>10349</v>
      </c>
      <c r="C1043" s="3">
        <v>48</v>
      </c>
      <c r="D1043" s="13">
        <v>100</v>
      </c>
      <c r="E1043" s="5">
        <v>38322</v>
      </c>
      <c r="F1043" s="2" t="s">
        <v>13</v>
      </c>
      <c r="G1043" s="2" t="s">
        <v>72</v>
      </c>
      <c r="H1043" s="3">
        <v>4</v>
      </c>
      <c r="I1043" s="6">
        <v>2004</v>
      </c>
      <c r="J1043" s="2" t="s">
        <v>61</v>
      </c>
      <c r="K1043" s="2" t="s">
        <v>178</v>
      </c>
      <c r="L1043" s="7">
        <f t="shared" si="48"/>
        <v>4800</v>
      </c>
      <c r="M1043" s="2" t="str">
        <f t="shared" si="49"/>
        <v>December</v>
      </c>
      <c r="N1043" s="6">
        <f t="shared" si="50"/>
        <v>2004</v>
      </c>
    </row>
    <row r="1044" spans="1:14">
      <c r="A1044" s="2" t="s">
        <v>69</v>
      </c>
      <c r="B1044" s="3">
        <v>10358</v>
      </c>
      <c r="C1044" s="3">
        <v>32</v>
      </c>
      <c r="D1044" s="13">
        <v>93.49</v>
      </c>
      <c r="E1044" s="5">
        <v>38331</v>
      </c>
      <c r="F1044" s="2" t="s">
        <v>13</v>
      </c>
      <c r="G1044" s="2" t="s">
        <v>72</v>
      </c>
      <c r="H1044" s="3">
        <v>4</v>
      </c>
      <c r="I1044" s="6">
        <v>2004</v>
      </c>
      <c r="J1044" s="2" t="s">
        <v>15</v>
      </c>
      <c r="K1044" s="2" t="s">
        <v>71</v>
      </c>
      <c r="L1044" s="7">
        <f t="shared" si="48"/>
        <v>2991.68</v>
      </c>
      <c r="M1044" s="2" t="str">
        <f t="shared" si="49"/>
        <v>December</v>
      </c>
      <c r="N1044" s="6">
        <f t="shared" si="50"/>
        <v>2004</v>
      </c>
    </row>
    <row r="1045" spans="1:14">
      <c r="A1045" s="2" t="s">
        <v>109</v>
      </c>
      <c r="B1045" s="3">
        <v>10370</v>
      </c>
      <c r="C1045" s="3">
        <v>27</v>
      </c>
      <c r="D1045" s="13">
        <v>56.85</v>
      </c>
      <c r="E1045" s="5">
        <v>38372</v>
      </c>
      <c r="F1045" s="2" t="s">
        <v>13</v>
      </c>
      <c r="G1045" s="2" t="s">
        <v>72</v>
      </c>
      <c r="H1045" s="3">
        <v>1</v>
      </c>
      <c r="I1045" s="6">
        <v>2005</v>
      </c>
      <c r="J1045" s="2" t="s">
        <v>15</v>
      </c>
      <c r="K1045" s="2" t="s">
        <v>110</v>
      </c>
      <c r="L1045" s="7">
        <f t="shared" si="48"/>
        <v>1534.95</v>
      </c>
      <c r="M1045" s="2" t="str">
        <f t="shared" si="49"/>
        <v>January</v>
      </c>
      <c r="N1045" s="6">
        <f t="shared" si="50"/>
        <v>2005</v>
      </c>
    </row>
    <row r="1046" spans="1:14">
      <c r="A1046" s="2" t="s">
        <v>54</v>
      </c>
      <c r="B1046" s="3">
        <v>10377</v>
      </c>
      <c r="C1046" s="3">
        <v>39</v>
      </c>
      <c r="D1046" s="13">
        <v>100</v>
      </c>
      <c r="E1046" s="5">
        <v>38392</v>
      </c>
      <c r="F1046" s="2" t="s">
        <v>13</v>
      </c>
      <c r="G1046" s="2" t="s">
        <v>72</v>
      </c>
      <c r="H1046" s="3">
        <v>1</v>
      </c>
      <c r="I1046" s="6">
        <v>2005</v>
      </c>
      <c r="J1046" s="2" t="s">
        <v>61</v>
      </c>
      <c r="K1046" s="2" t="s">
        <v>55</v>
      </c>
      <c r="L1046" s="7">
        <f t="shared" si="48"/>
        <v>3900</v>
      </c>
      <c r="M1046" s="2" t="str">
        <f t="shared" si="49"/>
        <v>February</v>
      </c>
      <c r="N1046" s="6">
        <f t="shared" si="50"/>
        <v>2005</v>
      </c>
    </row>
    <row r="1047" spans="1:14">
      <c r="A1047" s="2" t="s">
        <v>69</v>
      </c>
      <c r="B1047" s="3">
        <v>10383</v>
      </c>
      <c r="C1047" s="3">
        <v>47</v>
      </c>
      <c r="D1047" s="13">
        <v>100</v>
      </c>
      <c r="E1047" s="5">
        <v>38405</v>
      </c>
      <c r="F1047" s="2" t="s">
        <v>13</v>
      </c>
      <c r="G1047" s="2" t="s">
        <v>72</v>
      </c>
      <c r="H1047" s="3">
        <v>1</v>
      </c>
      <c r="I1047" s="6">
        <v>2005</v>
      </c>
      <c r="J1047" s="2" t="s">
        <v>22</v>
      </c>
      <c r="K1047" s="2" t="s">
        <v>71</v>
      </c>
      <c r="L1047" s="7">
        <f t="shared" si="48"/>
        <v>4700</v>
      </c>
      <c r="M1047" s="2" t="str">
        <f t="shared" si="49"/>
        <v>February</v>
      </c>
      <c r="N1047" s="6">
        <f t="shared" si="50"/>
        <v>2005</v>
      </c>
    </row>
    <row r="1048" spans="1:14">
      <c r="A1048" s="2" t="s">
        <v>69</v>
      </c>
      <c r="B1048" s="3">
        <v>10394</v>
      </c>
      <c r="C1048" s="3">
        <v>22</v>
      </c>
      <c r="D1048" s="13">
        <v>100</v>
      </c>
      <c r="E1048" s="5">
        <v>38426</v>
      </c>
      <c r="F1048" s="2" t="s">
        <v>13</v>
      </c>
      <c r="G1048" s="2" t="s">
        <v>72</v>
      </c>
      <c r="H1048" s="3">
        <v>1</v>
      </c>
      <c r="I1048" s="6">
        <v>2005</v>
      </c>
      <c r="J1048" s="2" t="s">
        <v>22</v>
      </c>
      <c r="K1048" s="2" t="s">
        <v>71</v>
      </c>
      <c r="L1048" s="7">
        <f t="shared" si="48"/>
        <v>2200</v>
      </c>
      <c r="M1048" s="2" t="str">
        <f t="shared" si="49"/>
        <v>March</v>
      </c>
      <c r="N1048" s="6">
        <f t="shared" si="50"/>
        <v>2005</v>
      </c>
    </row>
    <row r="1049" spans="1:14">
      <c r="A1049" s="2" t="s">
        <v>196</v>
      </c>
      <c r="B1049" s="3">
        <v>10405</v>
      </c>
      <c r="C1049" s="3">
        <v>55</v>
      </c>
      <c r="D1049" s="13">
        <v>100</v>
      </c>
      <c r="E1049" s="5">
        <v>38456</v>
      </c>
      <c r="F1049" s="2" t="s">
        <v>13</v>
      </c>
      <c r="G1049" s="2" t="s">
        <v>72</v>
      </c>
      <c r="H1049" s="3">
        <v>2</v>
      </c>
      <c r="I1049" s="6">
        <v>2005</v>
      </c>
      <c r="J1049" s="2" t="s">
        <v>61</v>
      </c>
      <c r="K1049" s="2" t="s">
        <v>197</v>
      </c>
      <c r="L1049" s="7">
        <f t="shared" si="48"/>
        <v>5500</v>
      </c>
      <c r="M1049" s="2" t="str">
        <f t="shared" si="49"/>
        <v>April</v>
      </c>
      <c r="N1049" s="6">
        <f t="shared" si="50"/>
        <v>2005</v>
      </c>
    </row>
    <row r="1050" spans="1:14">
      <c r="A1050" s="2" t="s">
        <v>69</v>
      </c>
      <c r="B1050" s="3">
        <v>10412</v>
      </c>
      <c r="C1050" s="3">
        <v>60</v>
      </c>
      <c r="D1050" s="13">
        <v>100</v>
      </c>
      <c r="E1050" s="5">
        <v>38475</v>
      </c>
      <c r="F1050" s="2" t="s">
        <v>13</v>
      </c>
      <c r="G1050" s="2" t="s">
        <v>72</v>
      </c>
      <c r="H1050" s="3">
        <v>2</v>
      </c>
      <c r="I1050" s="6">
        <v>2005</v>
      </c>
      <c r="J1050" s="2" t="s">
        <v>61</v>
      </c>
      <c r="K1050" s="2" t="s">
        <v>71</v>
      </c>
      <c r="L1050" s="7">
        <f t="shared" si="48"/>
        <v>6000</v>
      </c>
      <c r="M1050" s="2" t="str">
        <f t="shared" si="49"/>
        <v>May</v>
      </c>
      <c r="N1050" s="6">
        <f t="shared" si="50"/>
        <v>2005</v>
      </c>
    </row>
    <row r="1051" spans="1:14">
      <c r="A1051" s="2" t="s">
        <v>60</v>
      </c>
      <c r="B1051" s="3">
        <v>10419</v>
      </c>
      <c r="C1051" s="3">
        <v>35</v>
      </c>
      <c r="D1051" s="13">
        <v>100</v>
      </c>
      <c r="E1051" s="5">
        <v>38489</v>
      </c>
      <c r="F1051" s="2" t="s">
        <v>13</v>
      </c>
      <c r="G1051" s="2" t="s">
        <v>72</v>
      </c>
      <c r="H1051" s="3">
        <v>2</v>
      </c>
      <c r="I1051" s="6">
        <v>2005</v>
      </c>
      <c r="J1051" s="2" t="s">
        <v>22</v>
      </c>
      <c r="K1051" s="2" t="s">
        <v>62</v>
      </c>
      <c r="L1051" s="7">
        <f t="shared" si="48"/>
        <v>3500</v>
      </c>
      <c r="M1051" s="2" t="str">
        <f t="shared" si="49"/>
        <v>May</v>
      </c>
      <c r="N1051" s="6">
        <f t="shared" si="50"/>
        <v>2005</v>
      </c>
    </row>
    <row r="1052" spans="1:14">
      <c r="A1052" s="2" t="s">
        <v>122</v>
      </c>
      <c r="B1052" s="3">
        <v>10105</v>
      </c>
      <c r="C1052" s="3">
        <v>38</v>
      </c>
      <c r="D1052" s="13">
        <v>100</v>
      </c>
      <c r="E1052" s="5">
        <v>37663</v>
      </c>
      <c r="F1052" s="2" t="s">
        <v>13</v>
      </c>
      <c r="G1052" s="2" t="s">
        <v>217</v>
      </c>
      <c r="H1052" s="3">
        <v>1</v>
      </c>
      <c r="I1052" s="6">
        <v>2003</v>
      </c>
      <c r="J1052" s="2" t="s">
        <v>22</v>
      </c>
      <c r="K1052" s="2" t="s">
        <v>123</v>
      </c>
      <c r="L1052" s="7">
        <f t="shared" si="48"/>
        <v>3800</v>
      </c>
      <c r="M1052" s="2" t="str">
        <f t="shared" si="49"/>
        <v>February</v>
      </c>
      <c r="N1052" s="6">
        <f t="shared" si="50"/>
        <v>2003</v>
      </c>
    </row>
    <row r="1053" spans="1:14">
      <c r="A1053" s="2" t="s">
        <v>77</v>
      </c>
      <c r="B1053" s="3">
        <v>10117</v>
      </c>
      <c r="C1053" s="3">
        <v>21</v>
      </c>
      <c r="D1053" s="13">
        <v>95.8</v>
      </c>
      <c r="E1053" s="5">
        <v>37727</v>
      </c>
      <c r="F1053" s="2" t="s">
        <v>13</v>
      </c>
      <c r="G1053" s="2" t="s">
        <v>217</v>
      </c>
      <c r="H1053" s="3">
        <v>2</v>
      </c>
      <c r="I1053" s="6">
        <v>2003</v>
      </c>
      <c r="J1053" s="2" t="s">
        <v>15</v>
      </c>
      <c r="K1053" s="2" t="s">
        <v>78</v>
      </c>
      <c r="L1053" s="7">
        <f t="shared" si="48"/>
        <v>2011.8</v>
      </c>
      <c r="M1053" s="2" t="str">
        <f t="shared" si="49"/>
        <v>April</v>
      </c>
      <c r="N1053" s="6">
        <f t="shared" si="50"/>
        <v>2003</v>
      </c>
    </row>
    <row r="1054" spans="1:14">
      <c r="A1054" s="2" t="s">
        <v>69</v>
      </c>
      <c r="B1054" s="3">
        <v>10128</v>
      </c>
      <c r="C1054" s="3">
        <v>41</v>
      </c>
      <c r="D1054" s="13">
        <v>100</v>
      </c>
      <c r="E1054" s="5">
        <v>37778</v>
      </c>
      <c r="F1054" s="2" t="s">
        <v>13</v>
      </c>
      <c r="G1054" s="2" t="s">
        <v>217</v>
      </c>
      <c r="H1054" s="3">
        <v>2</v>
      </c>
      <c r="I1054" s="6">
        <v>2003</v>
      </c>
      <c r="J1054" s="2" t="s">
        <v>22</v>
      </c>
      <c r="K1054" s="2" t="s">
        <v>71</v>
      </c>
      <c r="L1054" s="7">
        <f t="shared" si="48"/>
        <v>4100</v>
      </c>
      <c r="M1054" s="2" t="str">
        <f t="shared" si="49"/>
        <v>June</v>
      </c>
      <c r="N1054" s="6">
        <f t="shared" si="50"/>
        <v>2003</v>
      </c>
    </row>
    <row r="1055" spans="1:14">
      <c r="A1055" s="2" t="s">
        <v>103</v>
      </c>
      <c r="B1055" s="3">
        <v>10142</v>
      </c>
      <c r="C1055" s="3">
        <v>22</v>
      </c>
      <c r="D1055" s="13">
        <v>97.81</v>
      </c>
      <c r="E1055" s="5">
        <v>37841</v>
      </c>
      <c r="F1055" s="2" t="s">
        <v>13</v>
      </c>
      <c r="G1055" s="2" t="s">
        <v>217</v>
      </c>
      <c r="H1055" s="3">
        <v>3</v>
      </c>
      <c r="I1055" s="6">
        <v>2003</v>
      </c>
      <c r="J1055" s="2" t="s">
        <v>15</v>
      </c>
      <c r="K1055" s="2" t="s">
        <v>104</v>
      </c>
      <c r="L1055" s="7">
        <f t="shared" si="48"/>
        <v>2151.82</v>
      </c>
      <c r="M1055" s="2" t="str">
        <f t="shared" si="49"/>
        <v>August</v>
      </c>
      <c r="N1055" s="6">
        <f t="shared" si="50"/>
        <v>2003</v>
      </c>
    </row>
    <row r="1056" spans="1:14">
      <c r="A1056" s="2" t="s">
        <v>69</v>
      </c>
      <c r="B1056" s="3">
        <v>10153</v>
      </c>
      <c r="C1056" s="3">
        <v>29</v>
      </c>
      <c r="D1056" s="13">
        <v>88.74</v>
      </c>
      <c r="E1056" s="5">
        <v>37892</v>
      </c>
      <c r="F1056" s="2" t="s">
        <v>13</v>
      </c>
      <c r="G1056" s="2" t="s">
        <v>217</v>
      </c>
      <c r="H1056" s="3">
        <v>3</v>
      </c>
      <c r="I1056" s="6">
        <v>2003</v>
      </c>
      <c r="J1056" s="2" t="s">
        <v>15</v>
      </c>
      <c r="K1056" s="2" t="s">
        <v>71</v>
      </c>
      <c r="L1056" s="7">
        <f t="shared" si="48"/>
        <v>2573.46</v>
      </c>
      <c r="M1056" s="2" t="str">
        <f t="shared" si="49"/>
        <v>September</v>
      </c>
      <c r="N1056" s="6">
        <f t="shared" si="50"/>
        <v>2003</v>
      </c>
    </row>
    <row r="1057" spans="1:14">
      <c r="A1057" s="2" t="s">
        <v>77</v>
      </c>
      <c r="B1057" s="3">
        <v>10165</v>
      </c>
      <c r="C1057" s="3">
        <v>50</v>
      </c>
      <c r="D1057" s="13">
        <v>100</v>
      </c>
      <c r="E1057" s="5">
        <v>37916</v>
      </c>
      <c r="F1057" s="2" t="s">
        <v>13</v>
      </c>
      <c r="G1057" s="2" t="s">
        <v>217</v>
      </c>
      <c r="H1057" s="3">
        <v>4</v>
      </c>
      <c r="I1057" s="6">
        <v>2003</v>
      </c>
      <c r="J1057" s="2" t="s">
        <v>22</v>
      </c>
      <c r="K1057" s="2" t="s">
        <v>78</v>
      </c>
      <c r="L1057" s="7">
        <f t="shared" si="48"/>
        <v>5000</v>
      </c>
      <c r="M1057" s="2" t="str">
        <f t="shared" si="49"/>
        <v>October</v>
      </c>
      <c r="N1057" s="6">
        <f t="shared" si="50"/>
        <v>2003</v>
      </c>
    </row>
    <row r="1058" spans="1:14">
      <c r="A1058" s="2" t="s">
        <v>181</v>
      </c>
      <c r="B1058" s="3">
        <v>10177</v>
      </c>
      <c r="C1058" s="3">
        <v>29</v>
      </c>
      <c r="D1058" s="13">
        <v>100</v>
      </c>
      <c r="E1058" s="5">
        <v>37932</v>
      </c>
      <c r="F1058" s="2" t="s">
        <v>13</v>
      </c>
      <c r="G1058" s="2" t="s">
        <v>217</v>
      </c>
      <c r="H1058" s="3">
        <v>4</v>
      </c>
      <c r="I1058" s="6">
        <v>2003</v>
      </c>
      <c r="J1058" s="2" t="s">
        <v>22</v>
      </c>
      <c r="K1058" s="2" t="s">
        <v>182</v>
      </c>
      <c r="L1058" s="7">
        <f t="shared" si="48"/>
        <v>2900</v>
      </c>
      <c r="M1058" s="2" t="str">
        <f t="shared" si="49"/>
        <v>November</v>
      </c>
      <c r="N1058" s="6">
        <f t="shared" si="50"/>
        <v>2003</v>
      </c>
    </row>
    <row r="1059" spans="1:14">
      <c r="A1059" s="2" t="s">
        <v>126</v>
      </c>
      <c r="B1059" s="3">
        <v>10185</v>
      </c>
      <c r="C1059" s="3">
        <v>49</v>
      </c>
      <c r="D1059" s="13">
        <v>80.67</v>
      </c>
      <c r="E1059" s="5">
        <v>37939</v>
      </c>
      <c r="F1059" s="2" t="s">
        <v>13</v>
      </c>
      <c r="G1059" s="2" t="s">
        <v>217</v>
      </c>
      <c r="H1059" s="3">
        <v>4</v>
      </c>
      <c r="I1059" s="6">
        <v>2003</v>
      </c>
      <c r="J1059" s="2" t="s">
        <v>22</v>
      </c>
      <c r="K1059" s="2" t="s">
        <v>127</v>
      </c>
      <c r="L1059" s="7">
        <f t="shared" si="48"/>
        <v>3952.83</v>
      </c>
      <c r="M1059" s="2" t="str">
        <f t="shared" si="49"/>
        <v>November</v>
      </c>
      <c r="N1059" s="6">
        <f t="shared" si="50"/>
        <v>2003</v>
      </c>
    </row>
    <row r="1060" spans="1:14">
      <c r="A1060" s="2" t="s">
        <v>93</v>
      </c>
      <c r="B1060" s="3">
        <v>10196</v>
      </c>
      <c r="C1060" s="3">
        <v>35</v>
      </c>
      <c r="D1060" s="13">
        <v>100</v>
      </c>
      <c r="E1060" s="5">
        <v>37951</v>
      </c>
      <c r="F1060" s="2" t="s">
        <v>13</v>
      </c>
      <c r="G1060" s="2" t="s">
        <v>217</v>
      </c>
      <c r="H1060" s="3">
        <v>4</v>
      </c>
      <c r="I1060" s="6">
        <v>2003</v>
      </c>
      <c r="J1060" s="2" t="s">
        <v>22</v>
      </c>
      <c r="K1060" s="2" t="s">
        <v>94</v>
      </c>
      <c r="L1060" s="7">
        <f t="shared" si="48"/>
        <v>3500</v>
      </c>
      <c r="M1060" s="2" t="str">
        <f t="shared" si="49"/>
        <v>November</v>
      </c>
      <c r="N1060" s="6">
        <f t="shared" si="50"/>
        <v>2003</v>
      </c>
    </row>
    <row r="1061" spans="1:14">
      <c r="A1061" s="2" t="s">
        <v>85</v>
      </c>
      <c r="B1061" s="3">
        <v>10208</v>
      </c>
      <c r="C1061" s="3">
        <v>48</v>
      </c>
      <c r="D1061" s="13">
        <v>100</v>
      </c>
      <c r="E1061" s="5">
        <v>37988</v>
      </c>
      <c r="F1061" s="2" t="s">
        <v>13</v>
      </c>
      <c r="G1061" s="2" t="s">
        <v>217</v>
      </c>
      <c r="H1061" s="3">
        <v>1</v>
      </c>
      <c r="I1061" s="6">
        <v>2004</v>
      </c>
      <c r="J1061" s="2" t="s">
        <v>22</v>
      </c>
      <c r="K1061" s="2" t="s">
        <v>86</v>
      </c>
      <c r="L1061" s="7">
        <f t="shared" si="48"/>
        <v>4800</v>
      </c>
      <c r="M1061" s="2" t="str">
        <f t="shared" si="49"/>
        <v>January</v>
      </c>
      <c r="N1061" s="6">
        <f t="shared" si="50"/>
        <v>2004</v>
      </c>
    </row>
    <row r="1062" spans="1:14">
      <c r="A1062" s="2" t="s">
        <v>139</v>
      </c>
      <c r="B1062" s="3">
        <v>10221</v>
      </c>
      <c r="C1062" s="3">
        <v>23</v>
      </c>
      <c r="D1062" s="13">
        <v>80.67</v>
      </c>
      <c r="E1062" s="5">
        <v>38035</v>
      </c>
      <c r="F1062" s="2" t="s">
        <v>13</v>
      </c>
      <c r="G1062" s="2" t="s">
        <v>217</v>
      </c>
      <c r="H1062" s="3">
        <v>1</v>
      </c>
      <c r="I1062" s="6">
        <v>2004</v>
      </c>
      <c r="J1062" s="2" t="s">
        <v>15</v>
      </c>
      <c r="K1062" s="2" t="s">
        <v>140</v>
      </c>
      <c r="L1062" s="7">
        <f t="shared" si="48"/>
        <v>1855.41</v>
      </c>
      <c r="M1062" s="2" t="str">
        <f t="shared" si="49"/>
        <v>February</v>
      </c>
      <c r="N1062" s="6">
        <f t="shared" si="50"/>
        <v>2004</v>
      </c>
    </row>
    <row r="1063" spans="1:14">
      <c r="A1063" s="2" t="s">
        <v>145</v>
      </c>
      <c r="B1063" s="3">
        <v>10232</v>
      </c>
      <c r="C1063" s="3">
        <v>48</v>
      </c>
      <c r="D1063" s="13">
        <v>95.8</v>
      </c>
      <c r="E1063" s="5">
        <v>38066</v>
      </c>
      <c r="F1063" s="2" t="s">
        <v>13</v>
      </c>
      <c r="G1063" s="2" t="s">
        <v>217</v>
      </c>
      <c r="H1063" s="3">
        <v>1</v>
      </c>
      <c r="I1063" s="6">
        <v>2004</v>
      </c>
      <c r="J1063" s="2" t="s">
        <v>22</v>
      </c>
      <c r="K1063" s="2" t="s">
        <v>146</v>
      </c>
      <c r="L1063" s="7">
        <f t="shared" si="48"/>
        <v>4598.4</v>
      </c>
      <c r="M1063" s="2" t="str">
        <f t="shared" si="49"/>
        <v>March</v>
      </c>
      <c r="N1063" s="6">
        <f t="shared" si="50"/>
        <v>2004</v>
      </c>
    </row>
    <row r="1064" spans="1:14">
      <c r="A1064" s="2" t="s">
        <v>12</v>
      </c>
      <c r="B1064" s="3">
        <v>10248</v>
      </c>
      <c r="C1064" s="3">
        <v>42</v>
      </c>
      <c r="D1064" s="13">
        <v>100</v>
      </c>
      <c r="E1064" s="5">
        <v>38114</v>
      </c>
      <c r="F1064" s="2" t="s">
        <v>128</v>
      </c>
      <c r="G1064" s="2" t="s">
        <v>217</v>
      </c>
      <c r="H1064" s="3">
        <v>2</v>
      </c>
      <c r="I1064" s="6">
        <v>2004</v>
      </c>
      <c r="J1064" s="2" t="s">
        <v>22</v>
      </c>
      <c r="K1064" s="2" t="s">
        <v>16</v>
      </c>
      <c r="L1064" s="7">
        <f t="shared" si="48"/>
        <v>4200</v>
      </c>
      <c r="M1064" s="2" t="str">
        <f t="shared" si="49"/>
        <v>May</v>
      </c>
      <c r="N1064" s="6">
        <f t="shared" si="50"/>
        <v>2004</v>
      </c>
    </row>
    <row r="1065" spans="1:14">
      <c r="A1065" s="2" t="s">
        <v>139</v>
      </c>
      <c r="B1065" s="3">
        <v>10273</v>
      </c>
      <c r="C1065" s="3">
        <v>47</v>
      </c>
      <c r="D1065" s="13">
        <v>100</v>
      </c>
      <c r="E1065" s="5">
        <v>38189</v>
      </c>
      <c r="F1065" s="2" t="s">
        <v>13</v>
      </c>
      <c r="G1065" s="2" t="s">
        <v>217</v>
      </c>
      <c r="H1065" s="3">
        <v>3</v>
      </c>
      <c r="I1065" s="6">
        <v>2004</v>
      </c>
      <c r="J1065" s="2" t="s">
        <v>22</v>
      </c>
      <c r="K1065" s="2" t="s">
        <v>140</v>
      </c>
      <c r="L1065" s="7">
        <f t="shared" si="48"/>
        <v>4700</v>
      </c>
      <c r="M1065" s="2" t="str">
        <f t="shared" si="49"/>
        <v>July</v>
      </c>
      <c r="N1065" s="6">
        <f t="shared" si="50"/>
        <v>2004</v>
      </c>
    </row>
    <row r="1066" spans="1:14">
      <c r="A1066" s="2" t="s">
        <v>103</v>
      </c>
      <c r="B1066" s="3">
        <v>10282</v>
      </c>
      <c r="C1066" s="3">
        <v>36</v>
      </c>
      <c r="D1066" s="13">
        <v>100</v>
      </c>
      <c r="E1066" s="5">
        <v>38219</v>
      </c>
      <c r="F1066" s="2" t="s">
        <v>13</v>
      </c>
      <c r="G1066" s="2" t="s">
        <v>217</v>
      </c>
      <c r="H1066" s="3">
        <v>3</v>
      </c>
      <c r="I1066" s="6">
        <v>2004</v>
      </c>
      <c r="J1066" s="2" t="s">
        <v>22</v>
      </c>
      <c r="K1066" s="2" t="s">
        <v>104</v>
      </c>
      <c r="L1066" s="7">
        <f t="shared" si="48"/>
        <v>3600</v>
      </c>
      <c r="M1066" s="2" t="str">
        <f t="shared" si="49"/>
        <v>August</v>
      </c>
      <c r="N1066" s="6">
        <f t="shared" si="50"/>
        <v>2004</v>
      </c>
    </row>
    <row r="1067" spans="1:14">
      <c r="A1067" s="2" t="s">
        <v>97</v>
      </c>
      <c r="B1067" s="3">
        <v>10293</v>
      </c>
      <c r="C1067" s="3">
        <v>22</v>
      </c>
      <c r="D1067" s="13">
        <v>100</v>
      </c>
      <c r="E1067" s="5">
        <v>38239</v>
      </c>
      <c r="F1067" s="2" t="s">
        <v>13</v>
      </c>
      <c r="G1067" s="2" t="s">
        <v>217</v>
      </c>
      <c r="H1067" s="3">
        <v>3</v>
      </c>
      <c r="I1067" s="6">
        <v>2004</v>
      </c>
      <c r="J1067" s="2" t="s">
        <v>15</v>
      </c>
      <c r="K1067" s="2" t="s">
        <v>98</v>
      </c>
      <c r="L1067" s="7">
        <f t="shared" si="48"/>
        <v>2200</v>
      </c>
      <c r="M1067" s="2" t="str">
        <f t="shared" si="49"/>
        <v>September</v>
      </c>
      <c r="N1067" s="6">
        <f t="shared" si="50"/>
        <v>2004</v>
      </c>
    </row>
    <row r="1068" spans="1:14">
      <c r="A1068" s="2" t="s">
        <v>183</v>
      </c>
      <c r="B1068" s="3">
        <v>10306</v>
      </c>
      <c r="C1068" s="3">
        <v>40</v>
      </c>
      <c r="D1068" s="13">
        <v>91.76</v>
      </c>
      <c r="E1068" s="5">
        <v>38274</v>
      </c>
      <c r="F1068" s="2" t="s">
        <v>13</v>
      </c>
      <c r="G1068" s="2" t="s">
        <v>217</v>
      </c>
      <c r="H1068" s="3">
        <v>4</v>
      </c>
      <c r="I1068" s="6">
        <v>2004</v>
      </c>
      <c r="J1068" s="2" t="s">
        <v>22</v>
      </c>
      <c r="K1068" s="2" t="s">
        <v>184</v>
      </c>
      <c r="L1068" s="7">
        <f t="shared" si="48"/>
        <v>3670.4</v>
      </c>
      <c r="M1068" s="2" t="str">
        <f t="shared" si="49"/>
        <v>October</v>
      </c>
      <c r="N1068" s="6">
        <f t="shared" si="50"/>
        <v>2004</v>
      </c>
    </row>
    <row r="1069" spans="1:14">
      <c r="A1069" s="2" t="s">
        <v>185</v>
      </c>
      <c r="B1069" s="3">
        <v>10314</v>
      </c>
      <c r="C1069" s="3">
        <v>23</v>
      </c>
      <c r="D1069" s="13">
        <v>100</v>
      </c>
      <c r="E1069" s="5">
        <v>38282</v>
      </c>
      <c r="F1069" s="2" t="s">
        <v>13</v>
      </c>
      <c r="G1069" s="2" t="s">
        <v>217</v>
      </c>
      <c r="H1069" s="3">
        <v>4</v>
      </c>
      <c r="I1069" s="6">
        <v>2004</v>
      </c>
      <c r="J1069" s="2" t="s">
        <v>15</v>
      </c>
      <c r="K1069" s="2" t="s">
        <v>186</v>
      </c>
      <c r="L1069" s="7">
        <f t="shared" si="48"/>
        <v>2300</v>
      </c>
      <c r="M1069" s="2" t="str">
        <f t="shared" si="49"/>
        <v>October</v>
      </c>
      <c r="N1069" s="6">
        <f t="shared" si="50"/>
        <v>2004</v>
      </c>
    </row>
    <row r="1070" spans="1:14">
      <c r="A1070" s="2" t="s">
        <v>73</v>
      </c>
      <c r="B1070" s="3">
        <v>10326</v>
      </c>
      <c r="C1070" s="3">
        <v>32</v>
      </c>
      <c r="D1070" s="13">
        <v>100</v>
      </c>
      <c r="E1070" s="5">
        <v>38300</v>
      </c>
      <c r="F1070" s="2" t="s">
        <v>13</v>
      </c>
      <c r="G1070" s="2" t="s">
        <v>217</v>
      </c>
      <c r="H1070" s="3">
        <v>4</v>
      </c>
      <c r="I1070" s="6">
        <v>2004</v>
      </c>
      <c r="J1070" s="2" t="s">
        <v>22</v>
      </c>
      <c r="K1070" s="2" t="s">
        <v>74</v>
      </c>
      <c r="L1070" s="7">
        <f t="shared" si="48"/>
        <v>3200</v>
      </c>
      <c r="M1070" s="2" t="str">
        <f t="shared" si="49"/>
        <v>November</v>
      </c>
      <c r="N1070" s="6">
        <f t="shared" si="50"/>
        <v>2004</v>
      </c>
    </row>
    <row r="1071" spans="1:14">
      <c r="A1071" s="2" t="s">
        <v>152</v>
      </c>
      <c r="B1071" s="3">
        <v>10336</v>
      </c>
      <c r="C1071" s="3">
        <v>21</v>
      </c>
      <c r="D1071" s="13">
        <v>100</v>
      </c>
      <c r="E1071" s="5">
        <v>38311</v>
      </c>
      <c r="F1071" s="2" t="s">
        <v>13</v>
      </c>
      <c r="G1071" s="2" t="s">
        <v>217</v>
      </c>
      <c r="H1071" s="3">
        <v>4</v>
      </c>
      <c r="I1071" s="6">
        <v>2004</v>
      </c>
      <c r="J1071" s="2" t="s">
        <v>15</v>
      </c>
      <c r="K1071" s="2" t="s">
        <v>153</v>
      </c>
      <c r="L1071" s="7">
        <f t="shared" si="48"/>
        <v>2100</v>
      </c>
      <c r="M1071" s="2" t="str">
        <f t="shared" si="49"/>
        <v>November</v>
      </c>
      <c r="N1071" s="6">
        <f t="shared" si="50"/>
        <v>2004</v>
      </c>
    </row>
    <row r="1072" spans="1:14">
      <c r="A1072" s="2" t="s">
        <v>69</v>
      </c>
      <c r="B1072" s="3">
        <v>10350</v>
      </c>
      <c r="C1072" s="3">
        <v>41</v>
      </c>
      <c r="D1072" s="13">
        <v>93.04</v>
      </c>
      <c r="E1072" s="5">
        <v>38323</v>
      </c>
      <c r="F1072" s="2" t="s">
        <v>13</v>
      </c>
      <c r="G1072" s="2" t="s">
        <v>217</v>
      </c>
      <c r="H1072" s="3">
        <v>4</v>
      </c>
      <c r="I1072" s="6">
        <v>2004</v>
      </c>
      <c r="J1072" s="2" t="s">
        <v>22</v>
      </c>
      <c r="K1072" s="2" t="s">
        <v>71</v>
      </c>
      <c r="L1072" s="7">
        <f t="shared" si="48"/>
        <v>3814.64</v>
      </c>
      <c r="M1072" s="2" t="str">
        <f t="shared" si="49"/>
        <v>December</v>
      </c>
      <c r="N1072" s="6">
        <f t="shared" si="50"/>
        <v>2004</v>
      </c>
    </row>
    <row r="1073" spans="1:14">
      <c r="A1073" s="2" t="s">
        <v>95</v>
      </c>
      <c r="B1073" s="3">
        <v>10372</v>
      </c>
      <c r="C1073" s="3">
        <v>25</v>
      </c>
      <c r="D1073" s="13">
        <v>84.71</v>
      </c>
      <c r="E1073" s="5">
        <v>38378</v>
      </c>
      <c r="F1073" s="2" t="s">
        <v>13</v>
      </c>
      <c r="G1073" s="2" t="s">
        <v>217</v>
      </c>
      <c r="H1073" s="3">
        <v>1</v>
      </c>
      <c r="I1073" s="6">
        <v>2005</v>
      </c>
      <c r="J1073" s="2" t="s">
        <v>15</v>
      </c>
      <c r="K1073" s="2" t="s">
        <v>96</v>
      </c>
      <c r="L1073" s="7">
        <f t="shared" si="48"/>
        <v>2117.75</v>
      </c>
      <c r="M1073" s="2" t="str">
        <f t="shared" si="49"/>
        <v>January</v>
      </c>
      <c r="N1073" s="6">
        <f t="shared" si="50"/>
        <v>2005</v>
      </c>
    </row>
    <row r="1074" spans="1:14">
      <c r="A1074" s="2" t="s">
        <v>69</v>
      </c>
      <c r="B1074" s="3">
        <v>10383</v>
      </c>
      <c r="C1074" s="3">
        <v>26</v>
      </c>
      <c r="D1074" s="13">
        <v>100</v>
      </c>
      <c r="E1074" s="5">
        <v>38405</v>
      </c>
      <c r="F1074" s="2" t="s">
        <v>13</v>
      </c>
      <c r="G1074" s="2" t="s">
        <v>217</v>
      </c>
      <c r="H1074" s="3">
        <v>1</v>
      </c>
      <c r="I1074" s="6">
        <v>2005</v>
      </c>
      <c r="J1074" s="2" t="s">
        <v>22</v>
      </c>
      <c r="K1074" s="2" t="s">
        <v>71</v>
      </c>
      <c r="L1074" s="7">
        <f t="shared" si="48"/>
        <v>2600</v>
      </c>
      <c r="M1074" s="2" t="str">
        <f t="shared" si="49"/>
        <v>February</v>
      </c>
      <c r="N1074" s="6">
        <f t="shared" si="50"/>
        <v>2005</v>
      </c>
    </row>
    <row r="1075" spans="1:14">
      <c r="A1075" s="2" t="s">
        <v>103</v>
      </c>
      <c r="B1075" s="3">
        <v>10396</v>
      </c>
      <c r="C1075" s="3">
        <v>24</v>
      </c>
      <c r="D1075" s="13">
        <v>89.75</v>
      </c>
      <c r="E1075" s="5">
        <v>38434</v>
      </c>
      <c r="F1075" s="2" t="s">
        <v>13</v>
      </c>
      <c r="G1075" s="2" t="s">
        <v>217</v>
      </c>
      <c r="H1075" s="3">
        <v>1</v>
      </c>
      <c r="I1075" s="6">
        <v>2005</v>
      </c>
      <c r="J1075" s="2" t="s">
        <v>15</v>
      </c>
      <c r="K1075" s="2" t="s">
        <v>104</v>
      </c>
      <c r="L1075" s="7">
        <f t="shared" si="48"/>
        <v>2154</v>
      </c>
      <c r="M1075" s="2" t="str">
        <f t="shared" si="49"/>
        <v>March</v>
      </c>
      <c r="N1075" s="6">
        <f t="shared" si="50"/>
        <v>2005</v>
      </c>
    </row>
    <row r="1076" spans="1:14">
      <c r="A1076" s="2" t="s">
        <v>143</v>
      </c>
      <c r="B1076" s="3">
        <v>10414</v>
      </c>
      <c r="C1076" s="3">
        <v>48</v>
      </c>
      <c r="D1076" s="13">
        <v>100</v>
      </c>
      <c r="E1076" s="5">
        <v>38478</v>
      </c>
      <c r="F1076" s="2" t="s">
        <v>151</v>
      </c>
      <c r="G1076" s="2" t="s">
        <v>217</v>
      </c>
      <c r="H1076" s="3">
        <v>2</v>
      </c>
      <c r="I1076" s="6">
        <v>2005</v>
      </c>
      <c r="J1076" s="2" t="s">
        <v>22</v>
      </c>
      <c r="K1076" s="2" t="s">
        <v>144</v>
      </c>
      <c r="L1076" s="7">
        <f t="shared" si="48"/>
        <v>4800</v>
      </c>
      <c r="M1076" s="2" t="str">
        <f t="shared" si="49"/>
        <v>May</v>
      </c>
      <c r="N1076" s="6">
        <f t="shared" si="50"/>
        <v>2005</v>
      </c>
    </row>
    <row r="1077" spans="1:14">
      <c r="A1077" s="2" t="s">
        <v>161</v>
      </c>
      <c r="B1077" s="3">
        <v>10108</v>
      </c>
      <c r="C1077" s="3">
        <v>26</v>
      </c>
      <c r="D1077" s="13">
        <v>68.35</v>
      </c>
      <c r="E1077" s="5">
        <v>37683</v>
      </c>
      <c r="F1077" s="2" t="s">
        <v>13</v>
      </c>
      <c r="G1077" s="2" t="s">
        <v>72</v>
      </c>
      <c r="H1077" s="3">
        <v>1</v>
      </c>
      <c r="I1077" s="6">
        <v>2003</v>
      </c>
      <c r="J1077" s="2" t="s">
        <v>15</v>
      </c>
      <c r="K1077" s="2" t="s">
        <v>162</v>
      </c>
      <c r="L1077" s="7">
        <f t="shared" si="48"/>
        <v>1777.1</v>
      </c>
      <c r="M1077" s="2" t="str">
        <f t="shared" si="49"/>
        <v>March</v>
      </c>
      <c r="N1077" s="6">
        <f t="shared" si="50"/>
        <v>2003</v>
      </c>
    </row>
    <row r="1078" spans="1:14">
      <c r="A1078" s="2" t="s">
        <v>163</v>
      </c>
      <c r="B1078" s="3">
        <v>10122</v>
      </c>
      <c r="C1078" s="3">
        <v>21</v>
      </c>
      <c r="D1078" s="13">
        <v>73.17</v>
      </c>
      <c r="E1078" s="5">
        <v>37749</v>
      </c>
      <c r="F1078" s="2" t="s">
        <v>13</v>
      </c>
      <c r="G1078" s="2" t="s">
        <v>72</v>
      </c>
      <c r="H1078" s="3">
        <v>2</v>
      </c>
      <c r="I1078" s="6">
        <v>2003</v>
      </c>
      <c r="J1078" s="2" t="s">
        <v>15</v>
      </c>
      <c r="K1078" s="2" t="s">
        <v>164</v>
      </c>
      <c r="L1078" s="7">
        <f t="shared" si="48"/>
        <v>1536.57</v>
      </c>
      <c r="M1078" s="2" t="str">
        <f t="shared" si="49"/>
        <v>May</v>
      </c>
      <c r="N1078" s="6">
        <f t="shared" si="50"/>
        <v>2003</v>
      </c>
    </row>
    <row r="1079" spans="1:14">
      <c r="A1079" s="2" t="s">
        <v>103</v>
      </c>
      <c r="B1079" s="3">
        <v>10135</v>
      </c>
      <c r="C1079" s="3">
        <v>45</v>
      </c>
      <c r="D1079" s="13">
        <v>78</v>
      </c>
      <c r="E1079" s="5">
        <v>37804</v>
      </c>
      <c r="F1079" s="2" t="s">
        <v>13</v>
      </c>
      <c r="G1079" s="2" t="s">
        <v>72</v>
      </c>
      <c r="H1079" s="3">
        <v>3</v>
      </c>
      <c r="I1079" s="6">
        <v>2003</v>
      </c>
      <c r="J1079" s="2" t="s">
        <v>22</v>
      </c>
      <c r="K1079" s="2" t="s">
        <v>104</v>
      </c>
      <c r="L1079" s="7">
        <f t="shared" si="48"/>
        <v>3510</v>
      </c>
      <c r="M1079" s="2" t="str">
        <f t="shared" si="49"/>
        <v>July</v>
      </c>
      <c r="N1079" s="6">
        <f t="shared" si="50"/>
        <v>2003</v>
      </c>
    </row>
    <row r="1080" spans="1:14">
      <c r="A1080" s="2" t="s">
        <v>107</v>
      </c>
      <c r="B1080" s="3">
        <v>10147</v>
      </c>
      <c r="C1080" s="3">
        <v>36</v>
      </c>
      <c r="D1080" s="13">
        <v>86.04</v>
      </c>
      <c r="E1080" s="5">
        <v>37869</v>
      </c>
      <c r="F1080" s="2" t="s">
        <v>13</v>
      </c>
      <c r="G1080" s="2" t="s">
        <v>72</v>
      </c>
      <c r="H1080" s="3">
        <v>3</v>
      </c>
      <c r="I1080" s="6">
        <v>2003</v>
      </c>
      <c r="J1080" s="2" t="s">
        <v>22</v>
      </c>
      <c r="K1080" s="2" t="s">
        <v>108</v>
      </c>
      <c r="L1080" s="7">
        <f t="shared" si="48"/>
        <v>3097.44</v>
      </c>
      <c r="M1080" s="2" t="str">
        <f t="shared" si="49"/>
        <v>September</v>
      </c>
      <c r="N1080" s="6">
        <f t="shared" si="50"/>
        <v>2003</v>
      </c>
    </row>
    <row r="1081" spans="1:14">
      <c r="A1081" s="2" t="s">
        <v>28</v>
      </c>
      <c r="B1081" s="3">
        <v>10159</v>
      </c>
      <c r="C1081" s="3">
        <v>21</v>
      </c>
      <c r="D1081" s="13">
        <v>81.21</v>
      </c>
      <c r="E1081" s="5">
        <v>37904</v>
      </c>
      <c r="F1081" s="2" t="s">
        <v>13</v>
      </c>
      <c r="G1081" s="2" t="s">
        <v>72</v>
      </c>
      <c r="H1081" s="3">
        <v>4</v>
      </c>
      <c r="I1081" s="6">
        <v>2003</v>
      </c>
      <c r="J1081" s="2" t="s">
        <v>15</v>
      </c>
      <c r="K1081" s="2" t="s">
        <v>29</v>
      </c>
      <c r="L1081" s="7">
        <f t="shared" si="48"/>
        <v>1705.41</v>
      </c>
      <c r="M1081" s="2" t="str">
        <f t="shared" si="49"/>
        <v>October</v>
      </c>
      <c r="N1081" s="6">
        <f t="shared" si="50"/>
        <v>2003</v>
      </c>
    </row>
    <row r="1082" spans="1:14">
      <c r="A1082" s="2" t="s">
        <v>109</v>
      </c>
      <c r="B1082" s="3">
        <v>10169</v>
      </c>
      <c r="C1082" s="3">
        <v>32</v>
      </c>
      <c r="D1082" s="13">
        <v>70.76</v>
      </c>
      <c r="E1082" s="5">
        <v>37929</v>
      </c>
      <c r="F1082" s="2" t="s">
        <v>13</v>
      </c>
      <c r="G1082" s="2" t="s">
        <v>72</v>
      </c>
      <c r="H1082" s="3">
        <v>4</v>
      </c>
      <c r="I1082" s="6">
        <v>2003</v>
      </c>
      <c r="J1082" s="2" t="s">
        <v>15</v>
      </c>
      <c r="K1082" s="2" t="s">
        <v>110</v>
      </c>
      <c r="L1082" s="7">
        <f t="shared" si="48"/>
        <v>2264.32</v>
      </c>
      <c r="M1082" s="2" t="str">
        <f t="shared" si="49"/>
        <v>November</v>
      </c>
      <c r="N1082" s="6">
        <f t="shared" si="50"/>
        <v>2003</v>
      </c>
    </row>
    <row r="1083" spans="1:14">
      <c r="A1083" s="2" t="s">
        <v>36</v>
      </c>
      <c r="B1083" s="3">
        <v>10181</v>
      </c>
      <c r="C1083" s="3">
        <v>30</v>
      </c>
      <c r="D1083" s="13">
        <v>82.82</v>
      </c>
      <c r="E1083" s="5">
        <v>37937</v>
      </c>
      <c r="F1083" s="2" t="s">
        <v>13</v>
      </c>
      <c r="G1083" s="2" t="s">
        <v>72</v>
      </c>
      <c r="H1083" s="3">
        <v>4</v>
      </c>
      <c r="I1083" s="6">
        <v>2003</v>
      </c>
      <c r="J1083" s="2" t="s">
        <v>15</v>
      </c>
      <c r="K1083" s="2" t="s">
        <v>37</v>
      </c>
      <c r="L1083" s="7">
        <f t="shared" si="48"/>
        <v>2484.6</v>
      </c>
      <c r="M1083" s="2" t="str">
        <f t="shared" si="49"/>
        <v>November</v>
      </c>
      <c r="N1083" s="6">
        <f t="shared" si="50"/>
        <v>2003</v>
      </c>
    </row>
    <row r="1084" spans="1:14">
      <c r="A1084" s="2" t="s">
        <v>165</v>
      </c>
      <c r="B1084" s="3">
        <v>10191</v>
      </c>
      <c r="C1084" s="3">
        <v>36</v>
      </c>
      <c r="D1084" s="13">
        <v>94.88</v>
      </c>
      <c r="E1084" s="5">
        <v>37945</v>
      </c>
      <c r="F1084" s="2" t="s">
        <v>13</v>
      </c>
      <c r="G1084" s="2" t="s">
        <v>72</v>
      </c>
      <c r="H1084" s="3">
        <v>4</v>
      </c>
      <c r="I1084" s="6">
        <v>2003</v>
      </c>
      <c r="J1084" s="2" t="s">
        <v>22</v>
      </c>
      <c r="K1084" s="2" t="s">
        <v>166</v>
      </c>
      <c r="L1084" s="7">
        <f t="shared" si="48"/>
        <v>3415.68</v>
      </c>
      <c r="M1084" s="2" t="str">
        <f t="shared" si="49"/>
        <v>November</v>
      </c>
      <c r="N1084" s="6">
        <f t="shared" si="50"/>
        <v>2003</v>
      </c>
    </row>
    <row r="1085" spans="1:14">
      <c r="A1085" s="2" t="s">
        <v>69</v>
      </c>
      <c r="B1085" s="3">
        <v>10203</v>
      </c>
      <c r="C1085" s="3">
        <v>33</v>
      </c>
      <c r="D1085" s="13">
        <v>86.04</v>
      </c>
      <c r="E1085" s="5">
        <v>37957</v>
      </c>
      <c r="F1085" s="2" t="s">
        <v>13</v>
      </c>
      <c r="G1085" s="2" t="s">
        <v>72</v>
      </c>
      <c r="H1085" s="3">
        <v>4</v>
      </c>
      <c r="I1085" s="6">
        <v>2003</v>
      </c>
      <c r="J1085" s="2" t="s">
        <v>15</v>
      </c>
      <c r="K1085" s="2" t="s">
        <v>71</v>
      </c>
      <c r="L1085" s="7">
        <f t="shared" si="48"/>
        <v>2839.32</v>
      </c>
      <c r="M1085" s="2" t="str">
        <f t="shared" si="49"/>
        <v>December</v>
      </c>
      <c r="N1085" s="6">
        <f t="shared" si="50"/>
        <v>2003</v>
      </c>
    </row>
    <row r="1086" spans="1:14">
      <c r="A1086" s="2" t="s">
        <v>40</v>
      </c>
      <c r="B1086" s="3">
        <v>10211</v>
      </c>
      <c r="C1086" s="3">
        <v>35</v>
      </c>
      <c r="D1086" s="13">
        <v>78</v>
      </c>
      <c r="E1086" s="5">
        <v>38001</v>
      </c>
      <c r="F1086" s="2" t="s">
        <v>13</v>
      </c>
      <c r="G1086" s="2" t="s">
        <v>72</v>
      </c>
      <c r="H1086" s="3">
        <v>1</v>
      </c>
      <c r="I1086" s="6">
        <v>2004</v>
      </c>
      <c r="J1086" s="2" t="s">
        <v>15</v>
      </c>
      <c r="K1086" s="2" t="s">
        <v>41</v>
      </c>
      <c r="L1086" s="7">
        <f t="shared" si="48"/>
        <v>2730</v>
      </c>
      <c r="M1086" s="2" t="str">
        <f t="shared" si="49"/>
        <v>January</v>
      </c>
      <c r="N1086" s="6">
        <f t="shared" si="50"/>
        <v>2004</v>
      </c>
    </row>
    <row r="1087" spans="1:14">
      <c r="A1087" s="2" t="s">
        <v>167</v>
      </c>
      <c r="B1087" s="3">
        <v>10225</v>
      </c>
      <c r="C1087" s="3">
        <v>37</v>
      </c>
      <c r="D1087" s="13">
        <v>95.69</v>
      </c>
      <c r="E1087" s="5">
        <v>38039</v>
      </c>
      <c r="F1087" s="2" t="s">
        <v>13</v>
      </c>
      <c r="G1087" s="2" t="s">
        <v>72</v>
      </c>
      <c r="H1087" s="3">
        <v>1</v>
      </c>
      <c r="I1087" s="6">
        <v>2004</v>
      </c>
      <c r="J1087" s="2" t="s">
        <v>22</v>
      </c>
      <c r="K1087" s="2" t="s">
        <v>168</v>
      </c>
      <c r="L1087" s="7">
        <f t="shared" si="48"/>
        <v>3540.53</v>
      </c>
      <c r="M1087" s="2" t="str">
        <f t="shared" si="49"/>
        <v>February</v>
      </c>
      <c r="N1087" s="6">
        <f t="shared" si="50"/>
        <v>2004</v>
      </c>
    </row>
    <row r="1088" spans="1:14">
      <c r="A1088" s="2" t="s">
        <v>122</v>
      </c>
      <c r="B1088" s="3">
        <v>10238</v>
      </c>
      <c r="C1088" s="3">
        <v>41</v>
      </c>
      <c r="D1088" s="13">
        <v>73.17</v>
      </c>
      <c r="E1088" s="5">
        <v>38086</v>
      </c>
      <c r="F1088" s="2" t="s">
        <v>13</v>
      </c>
      <c r="G1088" s="2" t="s">
        <v>72</v>
      </c>
      <c r="H1088" s="3">
        <v>2</v>
      </c>
      <c r="I1088" s="6">
        <v>2004</v>
      </c>
      <c r="J1088" s="2" t="s">
        <v>15</v>
      </c>
      <c r="K1088" s="2" t="s">
        <v>123</v>
      </c>
      <c r="L1088" s="7">
        <f t="shared" si="48"/>
        <v>2999.97</v>
      </c>
      <c r="M1088" s="2" t="str">
        <f t="shared" si="49"/>
        <v>April</v>
      </c>
      <c r="N1088" s="6">
        <f t="shared" si="50"/>
        <v>2004</v>
      </c>
    </row>
    <row r="1089" spans="1:14">
      <c r="A1089" s="2" t="s">
        <v>40</v>
      </c>
      <c r="B1089" s="3">
        <v>10252</v>
      </c>
      <c r="C1089" s="3">
        <v>20</v>
      </c>
      <c r="D1089" s="13">
        <v>76.39</v>
      </c>
      <c r="E1089" s="5">
        <v>38133</v>
      </c>
      <c r="F1089" s="2" t="s">
        <v>13</v>
      </c>
      <c r="G1089" s="2" t="s">
        <v>72</v>
      </c>
      <c r="H1089" s="3">
        <v>2</v>
      </c>
      <c r="I1089" s="6">
        <v>2004</v>
      </c>
      <c r="J1089" s="2" t="s">
        <v>15</v>
      </c>
      <c r="K1089" s="2" t="s">
        <v>41</v>
      </c>
      <c r="L1089" s="7">
        <f t="shared" si="48"/>
        <v>1527.8</v>
      </c>
      <c r="M1089" s="2" t="str">
        <f t="shared" si="49"/>
        <v>May</v>
      </c>
      <c r="N1089" s="6">
        <f t="shared" si="50"/>
        <v>2004</v>
      </c>
    </row>
    <row r="1090" spans="1:14">
      <c r="A1090" s="2" t="s">
        <v>205</v>
      </c>
      <c r="B1090" s="3">
        <v>10265</v>
      </c>
      <c r="C1090" s="3">
        <v>45</v>
      </c>
      <c r="D1090" s="13">
        <v>86.84</v>
      </c>
      <c r="E1090" s="5">
        <v>38170</v>
      </c>
      <c r="F1090" s="2" t="s">
        <v>13</v>
      </c>
      <c r="G1090" s="2" t="s">
        <v>72</v>
      </c>
      <c r="H1090" s="3">
        <v>3</v>
      </c>
      <c r="I1090" s="6">
        <v>2004</v>
      </c>
      <c r="J1090" s="2" t="s">
        <v>22</v>
      </c>
      <c r="K1090" s="2" t="s">
        <v>206</v>
      </c>
      <c r="L1090" s="7">
        <f t="shared" ref="L1090:L1153" si="51">PRODUCT(C1090,D1090)</f>
        <v>3907.8</v>
      </c>
      <c r="M1090" s="2" t="str">
        <f t="shared" ref="M1090:M1153" si="52">TEXT(E1090,"MMMM")</f>
        <v>July</v>
      </c>
      <c r="N1090" s="6">
        <f t="shared" ref="N1090:N1153" si="53">YEAR(E1090)</f>
        <v>2004</v>
      </c>
    </row>
    <row r="1091" spans="1:14">
      <c r="A1091" s="2" t="s">
        <v>171</v>
      </c>
      <c r="B1091" s="3">
        <v>10276</v>
      </c>
      <c r="C1091" s="3">
        <v>38</v>
      </c>
      <c r="D1091" s="13">
        <v>69.96</v>
      </c>
      <c r="E1091" s="5">
        <v>38201</v>
      </c>
      <c r="F1091" s="2" t="s">
        <v>13</v>
      </c>
      <c r="G1091" s="2" t="s">
        <v>72</v>
      </c>
      <c r="H1091" s="3">
        <v>3</v>
      </c>
      <c r="I1091" s="6">
        <v>2004</v>
      </c>
      <c r="J1091" s="2" t="s">
        <v>15</v>
      </c>
      <c r="K1091" s="2" t="s">
        <v>172</v>
      </c>
      <c r="L1091" s="7">
        <f t="shared" si="51"/>
        <v>2658.48</v>
      </c>
      <c r="M1091" s="2" t="str">
        <f t="shared" si="52"/>
        <v>August</v>
      </c>
      <c r="N1091" s="6">
        <f t="shared" si="53"/>
        <v>2004</v>
      </c>
    </row>
    <row r="1092" spans="1:14">
      <c r="A1092" s="2" t="s">
        <v>167</v>
      </c>
      <c r="B1092" s="3">
        <v>10287</v>
      </c>
      <c r="C1092" s="3">
        <v>43</v>
      </c>
      <c r="D1092" s="13">
        <v>70.76</v>
      </c>
      <c r="E1092" s="5">
        <v>38229</v>
      </c>
      <c r="F1092" s="2" t="s">
        <v>13</v>
      </c>
      <c r="G1092" s="2" t="s">
        <v>72</v>
      </c>
      <c r="H1092" s="3">
        <v>3</v>
      </c>
      <c r="I1092" s="6">
        <v>2004</v>
      </c>
      <c r="J1092" s="2" t="s">
        <v>22</v>
      </c>
      <c r="K1092" s="2" t="s">
        <v>168</v>
      </c>
      <c r="L1092" s="7">
        <f t="shared" si="51"/>
        <v>3042.68</v>
      </c>
      <c r="M1092" s="2" t="str">
        <f t="shared" si="52"/>
        <v>August</v>
      </c>
      <c r="N1092" s="6">
        <f t="shared" si="53"/>
        <v>2004</v>
      </c>
    </row>
    <row r="1093" spans="1:14">
      <c r="A1093" s="2" t="s">
        <v>173</v>
      </c>
      <c r="B1093" s="3">
        <v>10300</v>
      </c>
      <c r="C1093" s="3">
        <v>49</v>
      </c>
      <c r="D1093" s="13">
        <v>78.8</v>
      </c>
      <c r="E1093" s="5">
        <v>37898</v>
      </c>
      <c r="F1093" s="2" t="s">
        <v>13</v>
      </c>
      <c r="G1093" s="2" t="s">
        <v>72</v>
      </c>
      <c r="H1093" s="3">
        <v>4</v>
      </c>
      <c r="I1093" s="6">
        <v>2003</v>
      </c>
      <c r="J1093" s="2" t="s">
        <v>22</v>
      </c>
      <c r="K1093" s="2" t="s">
        <v>174</v>
      </c>
      <c r="L1093" s="7">
        <f t="shared" si="51"/>
        <v>3861.2</v>
      </c>
      <c r="M1093" s="2" t="str">
        <f t="shared" si="52"/>
        <v>October</v>
      </c>
      <c r="N1093" s="6">
        <f t="shared" si="53"/>
        <v>2003</v>
      </c>
    </row>
    <row r="1094" spans="1:14">
      <c r="A1094" s="2" t="s">
        <v>165</v>
      </c>
      <c r="B1094" s="3">
        <v>10310</v>
      </c>
      <c r="C1094" s="3">
        <v>27</v>
      </c>
      <c r="D1094" s="13">
        <v>80.41</v>
      </c>
      <c r="E1094" s="5">
        <v>38276</v>
      </c>
      <c r="F1094" s="2" t="s">
        <v>13</v>
      </c>
      <c r="G1094" s="2" t="s">
        <v>72</v>
      </c>
      <c r="H1094" s="3">
        <v>4</v>
      </c>
      <c r="I1094" s="6">
        <v>2004</v>
      </c>
      <c r="J1094" s="2" t="s">
        <v>15</v>
      </c>
      <c r="K1094" s="2" t="s">
        <v>166</v>
      </c>
      <c r="L1094" s="7">
        <f t="shared" si="51"/>
        <v>2171.07</v>
      </c>
      <c r="M1094" s="2" t="str">
        <f t="shared" si="52"/>
        <v>October</v>
      </c>
      <c r="N1094" s="6">
        <f t="shared" si="53"/>
        <v>2004</v>
      </c>
    </row>
    <row r="1095" spans="1:14">
      <c r="A1095" s="2" t="s">
        <v>188</v>
      </c>
      <c r="B1095" s="3">
        <v>10319</v>
      </c>
      <c r="C1095" s="3">
        <v>46</v>
      </c>
      <c r="D1095" s="13">
        <v>73.98</v>
      </c>
      <c r="E1095" s="5">
        <v>38294</v>
      </c>
      <c r="F1095" s="2" t="s">
        <v>13</v>
      </c>
      <c r="G1095" s="2" t="s">
        <v>72</v>
      </c>
      <c r="H1095" s="3">
        <v>4</v>
      </c>
      <c r="I1095" s="6">
        <v>2004</v>
      </c>
      <c r="J1095" s="2" t="s">
        <v>22</v>
      </c>
      <c r="K1095" s="2" t="s">
        <v>189</v>
      </c>
      <c r="L1095" s="7">
        <f t="shared" si="51"/>
        <v>3403.08</v>
      </c>
      <c r="M1095" s="2" t="str">
        <f t="shared" si="52"/>
        <v>November</v>
      </c>
      <c r="N1095" s="6">
        <f t="shared" si="53"/>
        <v>2004</v>
      </c>
    </row>
    <row r="1096" spans="1:14">
      <c r="A1096" s="2" t="s">
        <v>12</v>
      </c>
      <c r="B1096" s="3">
        <v>10329</v>
      </c>
      <c r="C1096" s="3">
        <v>38</v>
      </c>
      <c r="D1096" s="13">
        <v>59.1</v>
      </c>
      <c r="E1096" s="5">
        <v>38306</v>
      </c>
      <c r="F1096" s="2" t="s">
        <v>13</v>
      </c>
      <c r="G1096" s="2" t="s">
        <v>72</v>
      </c>
      <c r="H1096" s="3">
        <v>4</v>
      </c>
      <c r="I1096" s="6">
        <v>2004</v>
      </c>
      <c r="J1096" s="2" t="s">
        <v>15</v>
      </c>
      <c r="K1096" s="2" t="s">
        <v>16</v>
      </c>
      <c r="L1096" s="7">
        <f t="shared" si="51"/>
        <v>2245.8</v>
      </c>
      <c r="M1096" s="2" t="str">
        <f t="shared" si="52"/>
        <v>November</v>
      </c>
      <c r="N1096" s="6">
        <f t="shared" si="53"/>
        <v>2004</v>
      </c>
    </row>
    <row r="1097" spans="1:14">
      <c r="A1097" s="2" t="s">
        <v>42</v>
      </c>
      <c r="B1097" s="3">
        <v>10342</v>
      </c>
      <c r="C1097" s="3">
        <v>25</v>
      </c>
      <c r="D1097" s="13">
        <v>66.74</v>
      </c>
      <c r="E1097" s="5">
        <v>38315</v>
      </c>
      <c r="F1097" s="2" t="s">
        <v>13</v>
      </c>
      <c r="G1097" s="2" t="s">
        <v>72</v>
      </c>
      <c r="H1097" s="3">
        <v>4</v>
      </c>
      <c r="I1097" s="6">
        <v>2004</v>
      </c>
      <c r="J1097" s="2" t="s">
        <v>15</v>
      </c>
      <c r="K1097" s="2" t="s">
        <v>43</v>
      </c>
      <c r="L1097" s="7">
        <f t="shared" si="51"/>
        <v>1668.5</v>
      </c>
      <c r="M1097" s="2" t="str">
        <f t="shared" si="52"/>
        <v>November</v>
      </c>
      <c r="N1097" s="6">
        <f t="shared" si="53"/>
        <v>2004</v>
      </c>
    </row>
    <row r="1098" spans="1:14">
      <c r="A1098" s="2" t="s">
        <v>175</v>
      </c>
      <c r="B1098" s="3">
        <v>10363</v>
      </c>
      <c r="C1098" s="3">
        <v>46</v>
      </c>
      <c r="D1098" s="13">
        <v>60.3</v>
      </c>
      <c r="E1098" s="5">
        <v>38358</v>
      </c>
      <c r="F1098" s="2" t="s">
        <v>13</v>
      </c>
      <c r="G1098" s="2" t="s">
        <v>72</v>
      </c>
      <c r="H1098" s="3">
        <v>1</v>
      </c>
      <c r="I1098" s="6">
        <v>2005</v>
      </c>
      <c r="J1098" s="2" t="s">
        <v>15</v>
      </c>
      <c r="K1098" s="2" t="s">
        <v>176</v>
      </c>
      <c r="L1098" s="7">
        <f t="shared" si="51"/>
        <v>2773.8</v>
      </c>
      <c r="M1098" s="2" t="str">
        <f t="shared" si="52"/>
        <v>January</v>
      </c>
      <c r="N1098" s="6">
        <f t="shared" si="53"/>
        <v>2005</v>
      </c>
    </row>
    <row r="1099" spans="1:14">
      <c r="A1099" s="2" t="s">
        <v>69</v>
      </c>
      <c r="B1099" s="3">
        <v>10378</v>
      </c>
      <c r="C1099" s="3">
        <v>22</v>
      </c>
      <c r="D1099" s="13">
        <v>100</v>
      </c>
      <c r="E1099" s="5">
        <v>38393</v>
      </c>
      <c r="F1099" s="2" t="s">
        <v>13</v>
      </c>
      <c r="G1099" s="2" t="s">
        <v>72</v>
      </c>
      <c r="H1099" s="3">
        <v>1</v>
      </c>
      <c r="I1099" s="6">
        <v>2005</v>
      </c>
      <c r="J1099" s="2" t="s">
        <v>15</v>
      </c>
      <c r="K1099" s="2" t="s">
        <v>71</v>
      </c>
      <c r="L1099" s="7">
        <f t="shared" si="51"/>
        <v>2200</v>
      </c>
      <c r="M1099" s="2" t="str">
        <f t="shared" si="52"/>
        <v>February</v>
      </c>
      <c r="N1099" s="6">
        <f t="shared" si="53"/>
        <v>2005</v>
      </c>
    </row>
    <row r="1100" spans="1:14">
      <c r="A1100" s="2" t="s">
        <v>103</v>
      </c>
      <c r="B1100" s="3">
        <v>10390</v>
      </c>
      <c r="C1100" s="3">
        <v>40</v>
      </c>
      <c r="D1100" s="13">
        <v>100</v>
      </c>
      <c r="E1100" s="5">
        <v>38415</v>
      </c>
      <c r="F1100" s="2" t="s">
        <v>13</v>
      </c>
      <c r="G1100" s="2" t="s">
        <v>72</v>
      </c>
      <c r="H1100" s="3">
        <v>1</v>
      </c>
      <c r="I1100" s="6">
        <v>2005</v>
      </c>
      <c r="J1100" s="2" t="s">
        <v>22</v>
      </c>
      <c r="K1100" s="2" t="s">
        <v>104</v>
      </c>
      <c r="L1100" s="7">
        <f t="shared" si="51"/>
        <v>4000</v>
      </c>
      <c r="M1100" s="2" t="str">
        <f t="shared" si="52"/>
        <v>March</v>
      </c>
      <c r="N1100" s="6">
        <f t="shared" si="53"/>
        <v>2005</v>
      </c>
    </row>
    <row r="1101" spans="1:14">
      <c r="A1101" s="2" t="s">
        <v>56</v>
      </c>
      <c r="B1101" s="3">
        <v>10103</v>
      </c>
      <c r="C1101" s="3">
        <v>46</v>
      </c>
      <c r="D1101" s="13">
        <v>100</v>
      </c>
      <c r="E1101" s="5">
        <v>37650</v>
      </c>
      <c r="F1101" s="2" t="s">
        <v>13</v>
      </c>
      <c r="G1101" s="2" t="s">
        <v>202</v>
      </c>
      <c r="H1101" s="3">
        <v>1</v>
      </c>
      <c r="I1101" s="6">
        <v>2003</v>
      </c>
      <c r="J1101" s="2" t="s">
        <v>22</v>
      </c>
      <c r="K1101" s="2" t="s">
        <v>57</v>
      </c>
      <c r="L1101" s="7">
        <f t="shared" si="51"/>
        <v>4600</v>
      </c>
      <c r="M1101" s="2" t="str">
        <f t="shared" si="52"/>
        <v>January</v>
      </c>
      <c r="N1101" s="6">
        <f t="shared" si="53"/>
        <v>2003</v>
      </c>
    </row>
    <row r="1102" spans="1:14">
      <c r="A1102" s="2" t="s">
        <v>38</v>
      </c>
      <c r="B1102" s="3">
        <v>10111</v>
      </c>
      <c r="C1102" s="3">
        <v>39</v>
      </c>
      <c r="D1102" s="13">
        <v>100</v>
      </c>
      <c r="E1102" s="5">
        <v>37705</v>
      </c>
      <c r="F1102" s="2" t="s">
        <v>13</v>
      </c>
      <c r="G1102" s="2" t="s">
        <v>202</v>
      </c>
      <c r="H1102" s="3">
        <v>1</v>
      </c>
      <c r="I1102" s="6">
        <v>2003</v>
      </c>
      <c r="J1102" s="2" t="s">
        <v>22</v>
      </c>
      <c r="K1102" s="2" t="s">
        <v>39</v>
      </c>
      <c r="L1102" s="7">
        <f t="shared" si="51"/>
        <v>3900</v>
      </c>
      <c r="M1102" s="2" t="str">
        <f t="shared" si="52"/>
        <v>March</v>
      </c>
      <c r="N1102" s="6">
        <f t="shared" si="53"/>
        <v>2003</v>
      </c>
    </row>
    <row r="1103" spans="1:14">
      <c r="A1103" s="2" t="s">
        <v>75</v>
      </c>
      <c r="B1103" s="3">
        <v>10126</v>
      </c>
      <c r="C1103" s="3">
        <v>38</v>
      </c>
      <c r="D1103" s="13">
        <v>82.34</v>
      </c>
      <c r="E1103" s="5">
        <v>37769</v>
      </c>
      <c r="F1103" s="2" t="s">
        <v>13</v>
      </c>
      <c r="G1103" s="2" t="s">
        <v>202</v>
      </c>
      <c r="H1103" s="3">
        <v>2</v>
      </c>
      <c r="I1103" s="6">
        <v>2003</v>
      </c>
      <c r="J1103" s="2" t="s">
        <v>22</v>
      </c>
      <c r="K1103" s="2" t="s">
        <v>76</v>
      </c>
      <c r="L1103" s="7">
        <f t="shared" si="51"/>
        <v>3128.92</v>
      </c>
      <c r="M1103" s="2" t="str">
        <f t="shared" si="52"/>
        <v>May</v>
      </c>
      <c r="N1103" s="6">
        <f t="shared" si="53"/>
        <v>2003</v>
      </c>
    </row>
    <row r="1104" spans="1:14">
      <c r="A1104" s="2" t="s">
        <v>63</v>
      </c>
      <c r="B1104" s="3">
        <v>10139</v>
      </c>
      <c r="C1104" s="3">
        <v>30</v>
      </c>
      <c r="D1104" s="13">
        <v>100</v>
      </c>
      <c r="E1104" s="5">
        <v>37818</v>
      </c>
      <c r="F1104" s="2" t="s">
        <v>13</v>
      </c>
      <c r="G1104" s="2" t="s">
        <v>202</v>
      </c>
      <c r="H1104" s="3">
        <v>3</v>
      </c>
      <c r="I1104" s="6">
        <v>2003</v>
      </c>
      <c r="J1104" s="2" t="s">
        <v>22</v>
      </c>
      <c r="K1104" s="2" t="s">
        <v>64</v>
      </c>
      <c r="L1104" s="7">
        <f t="shared" si="51"/>
        <v>3000</v>
      </c>
      <c r="M1104" s="2" t="str">
        <f t="shared" si="52"/>
        <v>July</v>
      </c>
      <c r="N1104" s="6">
        <f t="shared" si="53"/>
        <v>2003</v>
      </c>
    </row>
    <row r="1105" spans="1:14">
      <c r="A1105" s="2" t="s">
        <v>194</v>
      </c>
      <c r="B1105" s="3">
        <v>10149</v>
      </c>
      <c r="C1105" s="3">
        <v>42</v>
      </c>
      <c r="D1105" s="13">
        <v>94.25</v>
      </c>
      <c r="E1105" s="5">
        <v>37876</v>
      </c>
      <c r="F1105" s="2" t="s">
        <v>13</v>
      </c>
      <c r="G1105" s="2" t="s">
        <v>202</v>
      </c>
      <c r="H1105" s="3">
        <v>3</v>
      </c>
      <c r="I1105" s="6">
        <v>2003</v>
      </c>
      <c r="J1105" s="2" t="s">
        <v>22</v>
      </c>
      <c r="K1105" s="2" t="s">
        <v>195</v>
      </c>
      <c r="L1105" s="7">
        <f t="shared" si="51"/>
        <v>3958.5</v>
      </c>
      <c r="M1105" s="2" t="str">
        <f t="shared" si="52"/>
        <v>September</v>
      </c>
      <c r="N1105" s="6">
        <f t="shared" si="53"/>
        <v>2003</v>
      </c>
    </row>
    <row r="1106" spans="1:14">
      <c r="A1106" s="2" t="s">
        <v>79</v>
      </c>
      <c r="B1106" s="3">
        <v>10163</v>
      </c>
      <c r="C1106" s="3">
        <v>43</v>
      </c>
      <c r="D1106" s="13">
        <v>100</v>
      </c>
      <c r="E1106" s="5">
        <v>37914</v>
      </c>
      <c r="F1106" s="2" t="s">
        <v>13</v>
      </c>
      <c r="G1106" s="2" t="s">
        <v>202</v>
      </c>
      <c r="H1106" s="3">
        <v>4</v>
      </c>
      <c r="I1106" s="6">
        <v>2003</v>
      </c>
      <c r="J1106" s="2" t="s">
        <v>22</v>
      </c>
      <c r="K1106" s="2" t="s">
        <v>80</v>
      </c>
      <c r="L1106" s="7">
        <f t="shared" si="51"/>
        <v>4300</v>
      </c>
      <c r="M1106" s="2" t="str">
        <f t="shared" si="52"/>
        <v>October</v>
      </c>
      <c r="N1106" s="6">
        <f t="shared" si="53"/>
        <v>2003</v>
      </c>
    </row>
    <row r="1107" spans="1:14">
      <c r="A1107" s="2" t="s">
        <v>203</v>
      </c>
      <c r="B1107" s="3">
        <v>10173</v>
      </c>
      <c r="C1107" s="3">
        <v>29</v>
      </c>
      <c r="D1107" s="13">
        <v>95.24</v>
      </c>
      <c r="E1107" s="5">
        <v>37930</v>
      </c>
      <c r="F1107" s="2" t="s">
        <v>13</v>
      </c>
      <c r="G1107" s="2" t="s">
        <v>202</v>
      </c>
      <c r="H1107" s="3">
        <v>4</v>
      </c>
      <c r="I1107" s="6">
        <v>2003</v>
      </c>
      <c r="J1107" s="2" t="s">
        <v>15</v>
      </c>
      <c r="K1107" s="2" t="s">
        <v>204</v>
      </c>
      <c r="L1107" s="7">
        <f t="shared" si="51"/>
        <v>2761.96</v>
      </c>
      <c r="M1107" s="2" t="str">
        <f t="shared" si="52"/>
        <v>November</v>
      </c>
      <c r="N1107" s="6">
        <f t="shared" si="53"/>
        <v>2003</v>
      </c>
    </row>
    <row r="1108" spans="1:14">
      <c r="A1108" s="2" t="s">
        <v>103</v>
      </c>
      <c r="B1108" s="3">
        <v>10182</v>
      </c>
      <c r="C1108" s="3">
        <v>33</v>
      </c>
      <c r="D1108" s="13">
        <v>86.31</v>
      </c>
      <c r="E1108" s="5">
        <v>37937</v>
      </c>
      <c r="F1108" s="2" t="s">
        <v>13</v>
      </c>
      <c r="G1108" s="2" t="s">
        <v>202</v>
      </c>
      <c r="H1108" s="3">
        <v>4</v>
      </c>
      <c r="I1108" s="6">
        <v>2003</v>
      </c>
      <c r="J1108" s="2" t="s">
        <v>15</v>
      </c>
      <c r="K1108" s="2" t="s">
        <v>104</v>
      </c>
      <c r="L1108" s="7">
        <f t="shared" si="51"/>
        <v>2848.23</v>
      </c>
      <c r="M1108" s="2" t="str">
        <f t="shared" si="52"/>
        <v>November</v>
      </c>
      <c r="N1108" s="6">
        <f t="shared" si="53"/>
        <v>2003</v>
      </c>
    </row>
    <row r="1109" spans="1:14">
      <c r="A1109" s="2" t="s">
        <v>205</v>
      </c>
      <c r="B1109" s="3">
        <v>10193</v>
      </c>
      <c r="C1109" s="3">
        <v>32</v>
      </c>
      <c r="D1109" s="13">
        <v>79.37</v>
      </c>
      <c r="E1109" s="5">
        <v>37946</v>
      </c>
      <c r="F1109" s="2" t="s">
        <v>13</v>
      </c>
      <c r="G1109" s="2" t="s">
        <v>202</v>
      </c>
      <c r="H1109" s="3">
        <v>4</v>
      </c>
      <c r="I1109" s="6">
        <v>2003</v>
      </c>
      <c r="J1109" s="2" t="s">
        <v>15</v>
      </c>
      <c r="K1109" s="2" t="s">
        <v>206</v>
      </c>
      <c r="L1109" s="7">
        <f t="shared" si="51"/>
        <v>2539.84</v>
      </c>
      <c r="M1109" s="2" t="str">
        <f t="shared" si="52"/>
        <v>November</v>
      </c>
      <c r="N1109" s="6">
        <f t="shared" si="53"/>
        <v>2003</v>
      </c>
    </row>
    <row r="1110" spans="1:14">
      <c r="A1110" s="2" t="s">
        <v>87</v>
      </c>
      <c r="B1110" s="3">
        <v>10206</v>
      </c>
      <c r="C1110" s="3">
        <v>28</v>
      </c>
      <c r="D1110" s="13">
        <v>87.3</v>
      </c>
      <c r="E1110" s="5">
        <v>37960</v>
      </c>
      <c r="F1110" s="2" t="s">
        <v>13</v>
      </c>
      <c r="G1110" s="2" t="s">
        <v>202</v>
      </c>
      <c r="H1110" s="3">
        <v>4</v>
      </c>
      <c r="I1110" s="6">
        <v>2003</v>
      </c>
      <c r="J1110" s="2" t="s">
        <v>15</v>
      </c>
      <c r="K1110" s="2" t="s">
        <v>88</v>
      </c>
      <c r="L1110" s="7">
        <f t="shared" si="51"/>
        <v>2444.4</v>
      </c>
      <c r="M1110" s="2" t="str">
        <f t="shared" si="52"/>
        <v>December</v>
      </c>
      <c r="N1110" s="6">
        <f t="shared" si="53"/>
        <v>2003</v>
      </c>
    </row>
    <row r="1111" spans="1:14">
      <c r="A1111" s="2" t="s">
        <v>89</v>
      </c>
      <c r="B1111" s="3">
        <v>10215</v>
      </c>
      <c r="C1111" s="3">
        <v>41</v>
      </c>
      <c r="D1111" s="13">
        <v>100</v>
      </c>
      <c r="E1111" s="5">
        <v>38015</v>
      </c>
      <c r="F1111" s="2" t="s">
        <v>13</v>
      </c>
      <c r="G1111" s="2" t="s">
        <v>202</v>
      </c>
      <c r="H1111" s="3">
        <v>1</v>
      </c>
      <c r="I1111" s="6">
        <v>2004</v>
      </c>
      <c r="J1111" s="2" t="s">
        <v>22</v>
      </c>
      <c r="K1111" s="2" t="s">
        <v>90</v>
      </c>
      <c r="L1111" s="7">
        <f t="shared" si="51"/>
        <v>4100</v>
      </c>
      <c r="M1111" s="2" t="str">
        <f t="shared" si="52"/>
        <v>January</v>
      </c>
      <c r="N1111" s="6">
        <f t="shared" si="53"/>
        <v>2004</v>
      </c>
    </row>
    <row r="1112" spans="1:14">
      <c r="A1112" s="2" t="s">
        <v>85</v>
      </c>
      <c r="B1112" s="3">
        <v>10227</v>
      </c>
      <c r="C1112" s="3">
        <v>33</v>
      </c>
      <c r="D1112" s="13">
        <v>100</v>
      </c>
      <c r="E1112" s="5">
        <v>38048</v>
      </c>
      <c r="F1112" s="2" t="s">
        <v>13</v>
      </c>
      <c r="G1112" s="2" t="s">
        <v>202</v>
      </c>
      <c r="H1112" s="3">
        <v>1</v>
      </c>
      <c r="I1112" s="6">
        <v>2004</v>
      </c>
      <c r="J1112" s="2" t="s">
        <v>22</v>
      </c>
      <c r="K1112" s="2" t="s">
        <v>86</v>
      </c>
      <c r="L1112" s="7">
        <f t="shared" si="51"/>
        <v>3300</v>
      </c>
      <c r="M1112" s="2" t="str">
        <f t="shared" si="52"/>
        <v>March</v>
      </c>
      <c r="N1112" s="6">
        <f t="shared" si="53"/>
        <v>2004</v>
      </c>
    </row>
    <row r="1113" spans="1:14">
      <c r="A1113" s="2" t="s">
        <v>69</v>
      </c>
      <c r="B1113" s="3">
        <v>10244</v>
      </c>
      <c r="C1113" s="3">
        <v>36</v>
      </c>
      <c r="D1113" s="13">
        <v>84.33</v>
      </c>
      <c r="E1113" s="5">
        <v>38106</v>
      </c>
      <c r="F1113" s="2" t="s">
        <v>13</v>
      </c>
      <c r="G1113" s="2" t="s">
        <v>202</v>
      </c>
      <c r="H1113" s="3">
        <v>2</v>
      </c>
      <c r="I1113" s="6">
        <v>2004</v>
      </c>
      <c r="J1113" s="2" t="s">
        <v>22</v>
      </c>
      <c r="K1113" s="2" t="s">
        <v>71</v>
      </c>
      <c r="L1113" s="7">
        <f t="shared" si="51"/>
        <v>3035.88</v>
      </c>
      <c r="M1113" s="2" t="str">
        <f t="shared" si="52"/>
        <v>April</v>
      </c>
      <c r="N1113" s="6">
        <f t="shared" si="53"/>
        <v>2004</v>
      </c>
    </row>
    <row r="1114" spans="1:14">
      <c r="A1114" s="2" t="s">
        <v>149</v>
      </c>
      <c r="B1114" s="3">
        <v>10257</v>
      </c>
      <c r="C1114" s="3">
        <v>26</v>
      </c>
      <c r="D1114" s="13">
        <v>89.29</v>
      </c>
      <c r="E1114" s="5">
        <v>38152</v>
      </c>
      <c r="F1114" s="2" t="s">
        <v>13</v>
      </c>
      <c r="G1114" s="2" t="s">
        <v>202</v>
      </c>
      <c r="H1114" s="3">
        <v>2</v>
      </c>
      <c r="I1114" s="6">
        <v>2004</v>
      </c>
      <c r="J1114" s="2" t="s">
        <v>15</v>
      </c>
      <c r="K1114" s="2" t="s">
        <v>150</v>
      </c>
      <c r="L1114" s="7">
        <f t="shared" si="51"/>
        <v>2321.54</v>
      </c>
      <c r="M1114" s="2" t="str">
        <f t="shared" si="52"/>
        <v>June</v>
      </c>
      <c r="N1114" s="6">
        <f t="shared" si="53"/>
        <v>2004</v>
      </c>
    </row>
    <row r="1115" spans="1:14">
      <c r="A1115" s="2" t="s">
        <v>97</v>
      </c>
      <c r="B1115" s="3">
        <v>10280</v>
      </c>
      <c r="C1115" s="3">
        <v>34</v>
      </c>
      <c r="D1115" s="13">
        <v>100</v>
      </c>
      <c r="E1115" s="5">
        <v>38216</v>
      </c>
      <c r="F1115" s="2" t="s">
        <v>13</v>
      </c>
      <c r="G1115" s="2" t="s">
        <v>202</v>
      </c>
      <c r="H1115" s="3">
        <v>3</v>
      </c>
      <c r="I1115" s="6">
        <v>2004</v>
      </c>
      <c r="J1115" s="2" t="s">
        <v>22</v>
      </c>
      <c r="K1115" s="2" t="s">
        <v>98</v>
      </c>
      <c r="L1115" s="7">
        <f t="shared" si="51"/>
        <v>3400</v>
      </c>
      <c r="M1115" s="2" t="str">
        <f t="shared" si="52"/>
        <v>August</v>
      </c>
      <c r="N1115" s="6">
        <f t="shared" si="53"/>
        <v>2004</v>
      </c>
    </row>
    <row r="1116" spans="1:14">
      <c r="A1116" s="2" t="s">
        <v>215</v>
      </c>
      <c r="B1116" s="3">
        <v>10290</v>
      </c>
      <c r="C1116" s="3">
        <v>26</v>
      </c>
      <c r="D1116" s="13">
        <v>96.23</v>
      </c>
      <c r="E1116" s="5">
        <v>38237</v>
      </c>
      <c r="F1116" s="2" t="s">
        <v>13</v>
      </c>
      <c r="G1116" s="2" t="s">
        <v>202</v>
      </c>
      <c r="H1116" s="3">
        <v>3</v>
      </c>
      <c r="I1116" s="6">
        <v>2004</v>
      </c>
      <c r="J1116" s="2" t="s">
        <v>15</v>
      </c>
      <c r="K1116" s="2" t="s">
        <v>216</v>
      </c>
      <c r="L1116" s="7">
        <f t="shared" si="51"/>
        <v>2501.98</v>
      </c>
      <c r="M1116" s="2" t="str">
        <f t="shared" si="52"/>
        <v>September</v>
      </c>
      <c r="N1116" s="6">
        <f t="shared" si="53"/>
        <v>2004</v>
      </c>
    </row>
    <row r="1117" spans="1:14">
      <c r="A1117" s="2" t="s">
        <v>101</v>
      </c>
      <c r="B1117" s="3">
        <v>10304</v>
      </c>
      <c r="C1117" s="3">
        <v>38</v>
      </c>
      <c r="D1117" s="13">
        <v>100</v>
      </c>
      <c r="E1117" s="5">
        <v>38271</v>
      </c>
      <c r="F1117" s="2" t="s">
        <v>13</v>
      </c>
      <c r="G1117" s="2" t="s">
        <v>202</v>
      </c>
      <c r="H1117" s="3">
        <v>4</v>
      </c>
      <c r="I1117" s="6">
        <v>2004</v>
      </c>
      <c r="J1117" s="2" t="s">
        <v>22</v>
      </c>
      <c r="K1117" s="2" t="s">
        <v>102</v>
      </c>
      <c r="L1117" s="7">
        <f t="shared" si="51"/>
        <v>3800</v>
      </c>
      <c r="M1117" s="2" t="str">
        <f t="shared" si="52"/>
        <v>October</v>
      </c>
      <c r="N1117" s="6">
        <f t="shared" si="53"/>
        <v>2004</v>
      </c>
    </row>
    <row r="1118" spans="1:14">
      <c r="A1118" s="2" t="s">
        <v>103</v>
      </c>
      <c r="B1118" s="3">
        <v>10312</v>
      </c>
      <c r="C1118" s="3">
        <v>33</v>
      </c>
      <c r="D1118" s="13">
        <v>100</v>
      </c>
      <c r="E1118" s="5">
        <v>38281</v>
      </c>
      <c r="F1118" s="2" t="s">
        <v>13</v>
      </c>
      <c r="G1118" s="2" t="s">
        <v>202</v>
      </c>
      <c r="H1118" s="3">
        <v>4</v>
      </c>
      <c r="I1118" s="6">
        <v>2004</v>
      </c>
      <c r="J1118" s="2" t="s">
        <v>22</v>
      </c>
      <c r="K1118" s="2" t="s">
        <v>104</v>
      </c>
      <c r="L1118" s="7">
        <f t="shared" si="51"/>
        <v>3300</v>
      </c>
      <c r="M1118" s="2" t="str">
        <f t="shared" si="52"/>
        <v>October</v>
      </c>
      <c r="N1118" s="6">
        <f t="shared" si="53"/>
        <v>2004</v>
      </c>
    </row>
    <row r="1119" spans="1:14">
      <c r="A1119" s="2" t="s">
        <v>173</v>
      </c>
      <c r="B1119" s="3">
        <v>10323</v>
      </c>
      <c r="C1119" s="3">
        <v>33</v>
      </c>
      <c r="D1119" s="13">
        <v>91.27</v>
      </c>
      <c r="E1119" s="5">
        <v>38296</v>
      </c>
      <c r="F1119" s="2" t="s">
        <v>13</v>
      </c>
      <c r="G1119" s="2" t="s">
        <v>202</v>
      </c>
      <c r="H1119" s="3">
        <v>4</v>
      </c>
      <c r="I1119" s="6">
        <v>2004</v>
      </c>
      <c r="J1119" s="2" t="s">
        <v>22</v>
      </c>
      <c r="K1119" s="2" t="s">
        <v>174</v>
      </c>
      <c r="L1119" s="7">
        <f t="shared" si="51"/>
        <v>3011.91</v>
      </c>
      <c r="M1119" s="2" t="str">
        <f t="shared" si="52"/>
        <v>November</v>
      </c>
      <c r="N1119" s="6">
        <f t="shared" si="53"/>
        <v>2004</v>
      </c>
    </row>
    <row r="1120" spans="1:14">
      <c r="A1120" s="2" t="s">
        <v>38</v>
      </c>
      <c r="B1120" s="3">
        <v>10333</v>
      </c>
      <c r="C1120" s="3">
        <v>46</v>
      </c>
      <c r="D1120" s="13">
        <v>100</v>
      </c>
      <c r="E1120" s="5">
        <v>38309</v>
      </c>
      <c r="F1120" s="2" t="s">
        <v>13</v>
      </c>
      <c r="G1120" s="2" t="s">
        <v>202</v>
      </c>
      <c r="H1120" s="3">
        <v>4</v>
      </c>
      <c r="I1120" s="6">
        <v>2004</v>
      </c>
      <c r="J1120" s="2" t="s">
        <v>61</v>
      </c>
      <c r="K1120" s="2" t="s">
        <v>39</v>
      </c>
      <c r="L1120" s="7">
        <f t="shared" si="51"/>
        <v>4600</v>
      </c>
      <c r="M1120" s="2" t="str">
        <f t="shared" si="52"/>
        <v>November</v>
      </c>
      <c r="N1120" s="6">
        <f t="shared" si="53"/>
        <v>2004</v>
      </c>
    </row>
    <row r="1121" spans="1:14">
      <c r="A1121" s="2" t="s">
        <v>42</v>
      </c>
      <c r="B1121" s="3">
        <v>10347</v>
      </c>
      <c r="C1121" s="3">
        <v>26</v>
      </c>
      <c r="D1121" s="13">
        <v>100</v>
      </c>
      <c r="E1121" s="5">
        <v>38320</v>
      </c>
      <c r="F1121" s="2" t="s">
        <v>13</v>
      </c>
      <c r="G1121" s="2" t="s">
        <v>202</v>
      </c>
      <c r="H1121" s="3">
        <v>4</v>
      </c>
      <c r="I1121" s="6">
        <v>2004</v>
      </c>
      <c r="J1121" s="2" t="s">
        <v>15</v>
      </c>
      <c r="K1121" s="2" t="s">
        <v>43</v>
      </c>
      <c r="L1121" s="7">
        <f t="shared" si="51"/>
        <v>2600</v>
      </c>
      <c r="M1121" s="2" t="str">
        <f t="shared" si="52"/>
        <v>November</v>
      </c>
      <c r="N1121" s="6">
        <f t="shared" si="53"/>
        <v>2004</v>
      </c>
    </row>
    <row r="1122" spans="1:14">
      <c r="A1122" s="2" t="s">
        <v>103</v>
      </c>
      <c r="B1122" s="3">
        <v>10357</v>
      </c>
      <c r="C1122" s="3">
        <v>25</v>
      </c>
      <c r="D1122" s="13">
        <v>100</v>
      </c>
      <c r="E1122" s="5">
        <v>38331</v>
      </c>
      <c r="F1122" s="2" t="s">
        <v>13</v>
      </c>
      <c r="G1122" s="2" t="s">
        <v>202</v>
      </c>
      <c r="H1122" s="3">
        <v>4</v>
      </c>
      <c r="I1122" s="6">
        <v>2004</v>
      </c>
      <c r="J1122" s="2" t="s">
        <v>15</v>
      </c>
      <c r="K1122" s="2" t="s">
        <v>104</v>
      </c>
      <c r="L1122" s="7">
        <f t="shared" si="51"/>
        <v>2500</v>
      </c>
      <c r="M1122" s="2" t="str">
        <f t="shared" si="52"/>
        <v>December</v>
      </c>
      <c r="N1122" s="6">
        <f t="shared" si="53"/>
        <v>2004</v>
      </c>
    </row>
    <row r="1123" spans="1:14">
      <c r="A1123" s="2" t="s">
        <v>107</v>
      </c>
      <c r="B1123" s="3">
        <v>10369</v>
      </c>
      <c r="C1123" s="3">
        <v>45</v>
      </c>
      <c r="D1123" s="13">
        <v>73.08</v>
      </c>
      <c r="E1123" s="5">
        <v>38372</v>
      </c>
      <c r="F1123" s="2" t="s">
        <v>13</v>
      </c>
      <c r="G1123" s="2" t="s">
        <v>202</v>
      </c>
      <c r="H1123" s="3">
        <v>1</v>
      </c>
      <c r="I1123" s="6">
        <v>2005</v>
      </c>
      <c r="J1123" s="2" t="s">
        <v>22</v>
      </c>
      <c r="K1123" s="2" t="s">
        <v>108</v>
      </c>
      <c r="L1123" s="7">
        <f t="shared" si="51"/>
        <v>3288.6</v>
      </c>
      <c r="M1123" s="2" t="str">
        <f t="shared" si="52"/>
        <v>January</v>
      </c>
      <c r="N1123" s="6">
        <f t="shared" si="53"/>
        <v>2005</v>
      </c>
    </row>
    <row r="1124" spans="1:14">
      <c r="A1124" s="2" t="s">
        <v>103</v>
      </c>
      <c r="B1124" s="3">
        <v>10382</v>
      </c>
      <c r="C1124" s="3">
        <v>50</v>
      </c>
      <c r="D1124" s="13">
        <v>100</v>
      </c>
      <c r="E1124" s="5">
        <v>38400</v>
      </c>
      <c r="F1124" s="2" t="s">
        <v>13</v>
      </c>
      <c r="G1124" s="2" t="s">
        <v>202</v>
      </c>
      <c r="H1124" s="3">
        <v>1</v>
      </c>
      <c r="I1124" s="6">
        <v>2005</v>
      </c>
      <c r="J1124" s="2" t="s">
        <v>61</v>
      </c>
      <c r="K1124" s="2" t="s">
        <v>104</v>
      </c>
      <c r="L1124" s="7">
        <f t="shared" si="51"/>
        <v>5000</v>
      </c>
      <c r="M1124" s="2" t="str">
        <f t="shared" si="52"/>
        <v>February</v>
      </c>
      <c r="N1124" s="6">
        <f t="shared" si="53"/>
        <v>2005</v>
      </c>
    </row>
    <row r="1125" spans="1:14">
      <c r="A1125" s="2" t="s">
        <v>154</v>
      </c>
      <c r="B1125" s="3">
        <v>10392</v>
      </c>
      <c r="C1125" s="3">
        <v>36</v>
      </c>
      <c r="D1125" s="13">
        <v>100</v>
      </c>
      <c r="E1125" s="5">
        <v>38421</v>
      </c>
      <c r="F1125" s="2" t="s">
        <v>13</v>
      </c>
      <c r="G1125" s="2" t="s">
        <v>202</v>
      </c>
      <c r="H1125" s="3">
        <v>1</v>
      </c>
      <c r="I1125" s="6">
        <v>2005</v>
      </c>
      <c r="J1125" s="2" t="s">
        <v>22</v>
      </c>
      <c r="K1125" s="2" t="s">
        <v>156</v>
      </c>
      <c r="L1125" s="7">
        <f t="shared" si="51"/>
        <v>3600</v>
      </c>
      <c r="M1125" s="2" t="str">
        <f t="shared" si="52"/>
        <v>March</v>
      </c>
      <c r="N1125" s="6">
        <f t="shared" si="53"/>
        <v>2005</v>
      </c>
    </row>
    <row r="1126" spans="1:14">
      <c r="A1126" s="2" t="s">
        <v>139</v>
      </c>
      <c r="B1126" s="3">
        <v>10423</v>
      </c>
      <c r="C1126" s="3">
        <v>21</v>
      </c>
      <c r="D1126" s="13">
        <v>89.29</v>
      </c>
      <c r="E1126" s="5">
        <v>38502</v>
      </c>
      <c r="F1126" s="2" t="s">
        <v>113</v>
      </c>
      <c r="G1126" s="2" t="s">
        <v>202</v>
      </c>
      <c r="H1126" s="3">
        <v>2</v>
      </c>
      <c r="I1126" s="6">
        <v>2005</v>
      </c>
      <c r="J1126" s="2" t="s">
        <v>15</v>
      </c>
      <c r="K1126" s="2" t="s">
        <v>140</v>
      </c>
      <c r="L1126" s="7">
        <f t="shared" si="51"/>
        <v>1875.09</v>
      </c>
      <c r="M1126" s="2" t="str">
        <f t="shared" si="52"/>
        <v>May</v>
      </c>
      <c r="N1126" s="6">
        <f t="shared" si="53"/>
        <v>2005</v>
      </c>
    </row>
    <row r="1127" spans="1:14">
      <c r="A1127" s="2" t="s">
        <v>161</v>
      </c>
      <c r="B1127" s="3">
        <v>10108</v>
      </c>
      <c r="C1127" s="3">
        <v>29</v>
      </c>
      <c r="D1127" s="13">
        <v>100</v>
      </c>
      <c r="E1127" s="5">
        <v>37683</v>
      </c>
      <c r="F1127" s="2" t="s">
        <v>13</v>
      </c>
      <c r="G1127" s="2" t="s">
        <v>72</v>
      </c>
      <c r="H1127" s="3">
        <v>1</v>
      </c>
      <c r="I1127" s="6">
        <v>2003</v>
      </c>
      <c r="J1127" s="2" t="s">
        <v>22</v>
      </c>
      <c r="K1127" s="2" t="s">
        <v>162</v>
      </c>
      <c r="L1127" s="7">
        <f t="shared" si="51"/>
        <v>2900</v>
      </c>
      <c r="M1127" s="2" t="str">
        <f t="shared" si="52"/>
        <v>March</v>
      </c>
      <c r="N1127" s="6">
        <f t="shared" si="53"/>
        <v>2003</v>
      </c>
    </row>
    <row r="1128" spans="1:14">
      <c r="A1128" s="2" t="s">
        <v>163</v>
      </c>
      <c r="B1128" s="3">
        <v>10122</v>
      </c>
      <c r="C1128" s="3">
        <v>21</v>
      </c>
      <c r="D1128" s="13">
        <v>100</v>
      </c>
      <c r="E1128" s="5">
        <v>37749</v>
      </c>
      <c r="F1128" s="2" t="s">
        <v>13</v>
      </c>
      <c r="G1128" s="2" t="s">
        <v>72</v>
      </c>
      <c r="H1128" s="3">
        <v>2</v>
      </c>
      <c r="I1128" s="6">
        <v>2003</v>
      </c>
      <c r="J1128" s="2" t="s">
        <v>15</v>
      </c>
      <c r="K1128" s="2" t="s">
        <v>164</v>
      </c>
      <c r="L1128" s="7">
        <f t="shared" si="51"/>
        <v>2100</v>
      </c>
      <c r="M1128" s="2" t="str">
        <f t="shared" si="52"/>
        <v>May</v>
      </c>
      <c r="N1128" s="6">
        <f t="shared" si="53"/>
        <v>2003</v>
      </c>
    </row>
    <row r="1129" spans="1:14">
      <c r="A1129" s="2" t="s">
        <v>103</v>
      </c>
      <c r="B1129" s="3">
        <v>10135</v>
      </c>
      <c r="C1129" s="3">
        <v>42</v>
      </c>
      <c r="D1129" s="13">
        <v>100</v>
      </c>
      <c r="E1129" s="5">
        <v>37804</v>
      </c>
      <c r="F1129" s="2" t="s">
        <v>13</v>
      </c>
      <c r="G1129" s="2" t="s">
        <v>72</v>
      </c>
      <c r="H1129" s="3">
        <v>3</v>
      </c>
      <c r="I1129" s="6">
        <v>2003</v>
      </c>
      <c r="J1129" s="2" t="s">
        <v>22</v>
      </c>
      <c r="K1129" s="2" t="s">
        <v>104</v>
      </c>
      <c r="L1129" s="7">
        <f t="shared" si="51"/>
        <v>4200</v>
      </c>
      <c r="M1129" s="2" t="str">
        <f t="shared" si="52"/>
        <v>July</v>
      </c>
      <c r="N1129" s="6">
        <f t="shared" si="53"/>
        <v>2003</v>
      </c>
    </row>
    <row r="1130" spans="1:14">
      <c r="A1130" s="2" t="s">
        <v>107</v>
      </c>
      <c r="B1130" s="3">
        <v>10147</v>
      </c>
      <c r="C1130" s="3">
        <v>37</v>
      </c>
      <c r="D1130" s="13">
        <v>100</v>
      </c>
      <c r="E1130" s="5">
        <v>37869</v>
      </c>
      <c r="F1130" s="2" t="s">
        <v>13</v>
      </c>
      <c r="G1130" s="2" t="s">
        <v>72</v>
      </c>
      <c r="H1130" s="3">
        <v>3</v>
      </c>
      <c r="I1130" s="6">
        <v>2003</v>
      </c>
      <c r="J1130" s="2" t="s">
        <v>22</v>
      </c>
      <c r="K1130" s="2" t="s">
        <v>108</v>
      </c>
      <c r="L1130" s="7">
        <f t="shared" si="51"/>
        <v>3700</v>
      </c>
      <c r="M1130" s="2" t="str">
        <f t="shared" si="52"/>
        <v>September</v>
      </c>
      <c r="N1130" s="6">
        <f t="shared" si="53"/>
        <v>2003</v>
      </c>
    </row>
    <row r="1131" spans="1:14">
      <c r="A1131" s="2" t="s">
        <v>28</v>
      </c>
      <c r="B1131" s="3">
        <v>10159</v>
      </c>
      <c r="C1131" s="3">
        <v>25</v>
      </c>
      <c r="D1131" s="13">
        <v>100</v>
      </c>
      <c r="E1131" s="5">
        <v>37904</v>
      </c>
      <c r="F1131" s="2" t="s">
        <v>13</v>
      </c>
      <c r="G1131" s="2" t="s">
        <v>72</v>
      </c>
      <c r="H1131" s="3">
        <v>4</v>
      </c>
      <c r="I1131" s="6">
        <v>2003</v>
      </c>
      <c r="J1131" s="2" t="s">
        <v>22</v>
      </c>
      <c r="K1131" s="2" t="s">
        <v>29</v>
      </c>
      <c r="L1131" s="7">
        <f t="shared" si="51"/>
        <v>2500</v>
      </c>
      <c r="M1131" s="2" t="str">
        <f t="shared" si="52"/>
        <v>October</v>
      </c>
      <c r="N1131" s="6">
        <f t="shared" si="53"/>
        <v>2003</v>
      </c>
    </row>
    <row r="1132" spans="1:14">
      <c r="A1132" s="2" t="s">
        <v>109</v>
      </c>
      <c r="B1132" s="3">
        <v>10169</v>
      </c>
      <c r="C1132" s="3">
        <v>36</v>
      </c>
      <c r="D1132" s="13">
        <v>100</v>
      </c>
      <c r="E1132" s="5">
        <v>37929</v>
      </c>
      <c r="F1132" s="2" t="s">
        <v>13</v>
      </c>
      <c r="G1132" s="2" t="s">
        <v>72</v>
      </c>
      <c r="H1132" s="3">
        <v>4</v>
      </c>
      <c r="I1132" s="6">
        <v>2003</v>
      </c>
      <c r="J1132" s="2" t="s">
        <v>22</v>
      </c>
      <c r="K1132" s="2" t="s">
        <v>110</v>
      </c>
      <c r="L1132" s="7">
        <f t="shared" si="51"/>
        <v>3600</v>
      </c>
      <c r="M1132" s="2" t="str">
        <f t="shared" si="52"/>
        <v>November</v>
      </c>
      <c r="N1132" s="6">
        <f t="shared" si="53"/>
        <v>2003</v>
      </c>
    </row>
    <row r="1133" spans="1:14">
      <c r="A1133" s="2" t="s">
        <v>36</v>
      </c>
      <c r="B1133" s="3">
        <v>10181</v>
      </c>
      <c r="C1133" s="3">
        <v>22</v>
      </c>
      <c r="D1133" s="13">
        <v>100</v>
      </c>
      <c r="E1133" s="5">
        <v>37937</v>
      </c>
      <c r="F1133" s="2" t="s">
        <v>13</v>
      </c>
      <c r="G1133" s="2" t="s">
        <v>72</v>
      </c>
      <c r="H1133" s="3">
        <v>4</v>
      </c>
      <c r="I1133" s="6">
        <v>2003</v>
      </c>
      <c r="J1133" s="2" t="s">
        <v>22</v>
      </c>
      <c r="K1133" s="2" t="s">
        <v>37</v>
      </c>
      <c r="L1133" s="7">
        <f t="shared" si="51"/>
        <v>2200</v>
      </c>
      <c r="M1133" s="2" t="str">
        <f t="shared" si="52"/>
        <v>November</v>
      </c>
      <c r="N1133" s="6">
        <f t="shared" si="53"/>
        <v>2003</v>
      </c>
    </row>
    <row r="1134" spans="1:14">
      <c r="A1134" s="2" t="s">
        <v>165</v>
      </c>
      <c r="B1134" s="3">
        <v>10191</v>
      </c>
      <c r="C1134" s="3">
        <v>23</v>
      </c>
      <c r="D1134" s="13">
        <v>100</v>
      </c>
      <c r="E1134" s="5">
        <v>37945</v>
      </c>
      <c r="F1134" s="2" t="s">
        <v>13</v>
      </c>
      <c r="G1134" s="2" t="s">
        <v>72</v>
      </c>
      <c r="H1134" s="3">
        <v>4</v>
      </c>
      <c r="I1134" s="6">
        <v>2003</v>
      </c>
      <c r="J1134" s="2" t="s">
        <v>22</v>
      </c>
      <c r="K1134" s="2" t="s">
        <v>166</v>
      </c>
      <c r="L1134" s="7">
        <f t="shared" si="51"/>
        <v>2300</v>
      </c>
      <c r="M1134" s="2" t="str">
        <f t="shared" si="52"/>
        <v>November</v>
      </c>
      <c r="N1134" s="6">
        <f t="shared" si="53"/>
        <v>2003</v>
      </c>
    </row>
    <row r="1135" spans="1:14">
      <c r="A1135" s="2" t="s">
        <v>69</v>
      </c>
      <c r="B1135" s="3">
        <v>10203</v>
      </c>
      <c r="C1135" s="3">
        <v>32</v>
      </c>
      <c r="D1135" s="13">
        <v>100</v>
      </c>
      <c r="E1135" s="5">
        <v>37957</v>
      </c>
      <c r="F1135" s="2" t="s">
        <v>13</v>
      </c>
      <c r="G1135" s="2" t="s">
        <v>72</v>
      </c>
      <c r="H1135" s="3">
        <v>4</v>
      </c>
      <c r="I1135" s="6">
        <v>2003</v>
      </c>
      <c r="J1135" s="2" t="s">
        <v>22</v>
      </c>
      <c r="K1135" s="2" t="s">
        <v>71</v>
      </c>
      <c r="L1135" s="7">
        <f t="shared" si="51"/>
        <v>3200</v>
      </c>
      <c r="M1135" s="2" t="str">
        <f t="shared" si="52"/>
        <v>December</v>
      </c>
      <c r="N1135" s="6">
        <f t="shared" si="53"/>
        <v>2003</v>
      </c>
    </row>
    <row r="1136" spans="1:14">
      <c r="A1136" s="2" t="s">
        <v>40</v>
      </c>
      <c r="B1136" s="3">
        <v>10211</v>
      </c>
      <c r="C1136" s="3">
        <v>28</v>
      </c>
      <c r="D1136" s="13">
        <v>100</v>
      </c>
      <c r="E1136" s="5">
        <v>38001</v>
      </c>
      <c r="F1136" s="2" t="s">
        <v>13</v>
      </c>
      <c r="G1136" s="2" t="s">
        <v>72</v>
      </c>
      <c r="H1136" s="3">
        <v>1</v>
      </c>
      <c r="I1136" s="6">
        <v>2004</v>
      </c>
      <c r="J1136" s="2" t="s">
        <v>22</v>
      </c>
      <c r="K1136" s="2" t="s">
        <v>41</v>
      </c>
      <c r="L1136" s="7">
        <f t="shared" si="51"/>
        <v>2800</v>
      </c>
      <c r="M1136" s="2" t="str">
        <f t="shared" si="52"/>
        <v>January</v>
      </c>
      <c r="N1136" s="6">
        <f t="shared" si="53"/>
        <v>2004</v>
      </c>
    </row>
    <row r="1137" spans="1:14">
      <c r="A1137" s="2" t="s">
        <v>122</v>
      </c>
      <c r="B1137" s="3">
        <v>10238</v>
      </c>
      <c r="C1137" s="3">
        <v>49</v>
      </c>
      <c r="D1137" s="13">
        <v>100</v>
      </c>
      <c r="E1137" s="5">
        <v>38086</v>
      </c>
      <c r="F1137" s="2" t="s">
        <v>13</v>
      </c>
      <c r="G1137" s="2" t="s">
        <v>72</v>
      </c>
      <c r="H1137" s="3">
        <v>2</v>
      </c>
      <c r="I1137" s="6">
        <v>2004</v>
      </c>
      <c r="J1137" s="2" t="s">
        <v>22</v>
      </c>
      <c r="K1137" s="2" t="s">
        <v>123</v>
      </c>
      <c r="L1137" s="7">
        <f t="shared" si="51"/>
        <v>4900</v>
      </c>
      <c r="M1137" s="2" t="str">
        <f t="shared" si="52"/>
        <v>April</v>
      </c>
      <c r="N1137" s="6">
        <f t="shared" si="53"/>
        <v>2004</v>
      </c>
    </row>
    <row r="1138" spans="1:14">
      <c r="A1138" s="2" t="s">
        <v>40</v>
      </c>
      <c r="B1138" s="3">
        <v>10252</v>
      </c>
      <c r="C1138" s="3">
        <v>41</v>
      </c>
      <c r="D1138" s="13">
        <v>100</v>
      </c>
      <c r="E1138" s="5">
        <v>38133</v>
      </c>
      <c r="F1138" s="2" t="s">
        <v>13</v>
      </c>
      <c r="G1138" s="2" t="s">
        <v>72</v>
      </c>
      <c r="H1138" s="3">
        <v>2</v>
      </c>
      <c r="I1138" s="6">
        <v>2004</v>
      </c>
      <c r="J1138" s="2" t="s">
        <v>22</v>
      </c>
      <c r="K1138" s="2" t="s">
        <v>41</v>
      </c>
      <c r="L1138" s="7">
        <f t="shared" si="51"/>
        <v>4100</v>
      </c>
      <c r="M1138" s="2" t="str">
        <f t="shared" si="52"/>
        <v>May</v>
      </c>
      <c r="N1138" s="6">
        <f t="shared" si="53"/>
        <v>2004</v>
      </c>
    </row>
    <row r="1139" spans="1:14">
      <c r="A1139" s="2" t="s">
        <v>205</v>
      </c>
      <c r="B1139" s="3">
        <v>10265</v>
      </c>
      <c r="C1139" s="3">
        <v>49</v>
      </c>
      <c r="D1139" s="13">
        <v>100</v>
      </c>
      <c r="E1139" s="5">
        <v>38170</v>
      </c>
      <c r="F1139" s="2" t="s">
        <v>13</v>
      </c>
      <c r="G1139" s="2" t="s">
        <v>72</v>
      </c>
      <c r="H1139" s="3">
        <v>3</v>
      </c>
      <c r="I1139" s="6">
        <v>2004</v>
      </c>
      <c r="J1139" s="2" t="s">
        <v>61</v>
      </c>
      <c r="K1139" s="2" t="s">
        <v>206</v>
      </c>
      <c r="L1139" s="7">
        <f t="shared" si="51"/>
        <v>4900</v>
      </c>
      <c r="M1139" s="2" t="str">
        <f t="shared" si="52"/>
        <v>July</v>
      </c>
      <c r="N1139" s="6">
        <f t="shared" si="53"/>
        <v>2004</v>
      </c>
    </row>
    <row r="1140" spans="1:14">
      <c r="A1140" s="2" t="s">
        <v>171</v>
      </c>
      <c r="B1140" s="3">
        <v>10276</v>
      </c>
      <c r="C1140" s="3">
        <v>30</v>
      </c>
      <c r="D1140" s="13">
        <v>100</v>
      </c>
      <c r="E1140" s="5">
        <v>38201</v>
      </c>
      <c r="F1140" s="2" t="s">
        <v>13</v>
      </c>
      <c r="G1140" s="2" t="s">
        <v>72</v>
      </c>
      <c r="H1140" s="3">
        <v>3</v>
      </c>
      <c r="I1140" s="6">
        <v>2004</v>
      </c>
      <c r="J1140" s="2" t="s">
        <v>22</v>
      </c>
      <c r="K1140" s="2" t="s">
        <v>172</v>
      </c>
      <c r="L1140" s="7">
        <f t="shared" si="51"/>
        <v>3000</v>
      </c>
      <c r="M1140" s="2" t="str">
        <f t="shared" si="52"/>
        <v>August</v>
      </c>
      <c r="N1140" s="6">
        <f t="shared" si="53"/>
        <v>2004</v>
      </c>
    </row>
    <row r="1141" spans="1:14">
      <c r="A1141" s="2" t="s">
        <v>167</v>
      </c>
      <c r="B1141" s="3">
        <v>10287</v>
      </c>
      <c r="C1141" s="3">
        <v>40</v>
      </c>
      <c r="D1141" s="13">
        <v>100</v>
      </c>
      <c r="E1141" s="5">
        <v>38229</v>
      </c>
      <c r="F1141" s="2" t="s">
        <v>13</v>
      </c>
      <c r="G1141" s="2" t="s">
        <v>72</v>
      </c>
      <c r="H1141" s="3">
        <v>3</v>
      </c>
      <c r="I1141" s="6">
        <v>2004</v>
      </c>
      <c r="J1141" s="2" t="s">
        <v>22</v>
      </c>
      <c r="K1141" s="2" t="s">
        <v>168</v>
      </c>
      <c r="L1141" s="7">
        <f t="shared" si="51"/>
        <v>4000</v>
      </c>
      <c r="M1141" s="2" t="str">
        <f t="shared" si="52"/>
        <v>August</v>
      </c>
      <c r="N1141" s="6">
        <f t="shared" si="53"/>
        <v>2004</v>
      </c>
    </row>
    <row r="1142" spans="1:14">
      <c r="A1142" s="2" t="s">
        <v>173</v>
      </c>
      <c r="B1142" s="3">
        <v>10300</v>
      </c>
      <c r="C1142" s="3">
        <v>23</v>
      </c>
      <c r="D1142" s="13">
        <v>100</v>
      </c>
      <c r="E1142" s="5">
        <v>37898</v>
      </c>
      <c r="F1142" s="2" t="s">
        <v>13</v>
      </c>
      <c r="G1142" s="2" t="s">
        <v>72</v>
      </c>
      <c r="H1142" s="3">
        <v>4</v>
      </c>
      <c r="I1142" s="6">
        <v>2003</v>
      </c>
      <c r="J1142" s="2" t="s">
        <v>22</v>
      </c>
      <c r="K1142" s="2" t="s">
        <v>174</v>
      </c>
      <c r="L1142" s="7">
        <f t="shared" si="51"/>
        <v>2300</v>
      </c>
      <c r="M1142" s="2" t="str">
        <f t="shared" si="52"/>
        <v>October</v>
      </c>
      <c r="N1142" s="6">
        <f t="shared" si="53"/>
        <v>2003</v>
      </c>
    </row>
    <row r="1143" spans="1:14">
      <c r="A1143" s="2" t="s">
        <v>165</v>
      </c>
      <c r="B1143" s="3">
        <v>10310</v>
      </c>
      <c r="C1143" s="3">
        <v>49</v>
      </c>
      <c r="D1143" s="13">
        <v>100</v>
      </c>
      <c r="E1143" s="5">
        <v>38276</v>
      </c>
      <c r="F1143" s="2" t="s">
        <v>13</v>
      </c>
      <c r="G1143" s="2" t="s">
        <v>72</v>
      </c>
      <c r="H1143" s="3">
        <v>4</v>
      </c>
      <c r="I1143" s="6">
        <v>2004</v>
      </c>
      <c r="J1143" s="2" t="s">
        <v>22</v>
      </c>
      <c r="K1143" s="2" t="s">
        <v>166</v>
      </c>
      <c r="L1143" s="7">
        <f t="shared" si="51"/>
        <v>4900</v>
      </c>
      <c r="M1143" s="2" t="str">
        <f t="shared" si="52"/>
        <v>October</v>
      </c>
      <c r="N1143" s="6">
        <f t="shared" si="53"/>
        <v>2004</v>
      </c>
    </row>
    <row r="1144" spans="1:14">
      <c r="A1144" s="2" t="s">
        <v>73</v>
      </c>
      <c r="B1144" s="3">
        <v>10320</v>
      </c>
      <c r="C1144" s="3">
        <v>25</v>
      </c>
      <c r="D1144" s="13">
        <v>100</v>
      </c>
      <c r="E1144" s="5">
        <v>38294</v>
      </c>
      <c r="F1144" s="2" t="s">
        <v>13</v>
      </c>
      <c r="G1144" s="2" t="s">
        <v>72</v>
      </c>
      <c r="H1144" s="3">
        <v>4</v>
      </c>
      <c r="I1144" s="6">
        <v>2004</v>
      </c>
      <c r="J1144" s="2" t="s">
        <v>22</v>
      </c>
      <c r="K1144" s="2" t="s">
        <v>74</v>
      </c>
      <c r="L1144" s="7">
        <f t="shared" si="51"/>
        <v>2500</v>
      </c>
      <c r="M1144" s="2" t="str">
        <f t="shared" si="52"/>
        <v>November</v>
      </c>
      <c r="N1144" s="6">
        <f t="shared" si="53"/>
        <v>2004</v>
      </c>
    </row>
    <row r="1145" spans="1:14">
      <c r="A1145" s="2" t="s">
        <v>161</v>
      </c>
      <c r="B1145" s="3">
        <v>10330</v>
      </c>
      <c r="C1145" s="3">
        <v>37</v>
      </c>
      <c r="D1145" s="13">
        <v>100</v>
      </c>
      <c r="E1145" s="5">
        <v>38307</v>
      </c>
      <c r="F1145" s="2" t="s">
        <v>13</v>
      </c>
      <c r="G1145" s="2" t="s">
        <v>72</v>
      </c>
      <c r="H1145" s="3">
        <v>4</v>
      </c>
      <c r="I1145" s="6">
        <v>2004</v>
      </c>
      <c r="J1145" s="2" t="s">
        <v>22</v>
      </c>
      <c r="K1145" s="2" t="s">
        <v>162</v>
      </c>
      <c r="L1145" s="7">
        <f t="shared" si="51"/>
        <v>3700</v>
      </c>
      <c r="M1145" s="2" t="str">
        <f t="shared" si="52"/>
        <v>November</v>
      </c>
      <c r="N1145" s="6">
        <f t="shared" si="53"/>
        <v>2004</v>
      </c>
    </row>
    <row r="1146" spans="1:14">
      <c r="A1146" s="2" t="s">
        <v>42</v>
      </c>
      <c r="B1146" s="3">
        <v>10342</v>
      </c>
      <c r="C1146" s="3">
        <v>55</v>
      </c>
      <c r="D1146" s="13">
        <v>100</v>
      </c>
      <c r="E1146" s="5">
        <v>38315</v>
      </c>
      <c r="F1146" s="2" t="s">
        <v>13</v>
      </c>
      <c r="G1146" s="2" t="s">
        <v>72</v>
      </c>
      <c r="H1146" s="3">
        <v>4</v>
      </c>
      <c r="I1146" s="6">
        <v>2004</v>
      </c>
      <c r="J1146" s="2" t="s">
        <v>22</v>
      </c>
      <c r="K1146" s="2" t="s">
        <v>43</v>
      </c>
      <c r="L1146" s="7">
        <f t="shared" si="51"/>
        <v>5500</v>
      </c>
      <c r="M1146" s="2" t="str">
        <f t="shared" si="52"/>
        <v>November</v>
      </c>
      <c r="N1146" s="6">
        <f t="shared" si="53"/>
        <v>2004</v>
      </c>
    </row>
    <row r="1147" spans="1:14">
      <c r="A1147" s="2" t="s">
        <v>69</v>
      </c>
      <c r="B1147" s="3">
        <v>10355</v>
      </c>
      <c r="C1147" s="3">
        <v>23</v>
      </c>
      <c r="D1147" s="13">
        <v>100</v>
      </c>
      <c r="E1147" s="5">
        <v>38328</v>
      </c>
      <c r="F1147" s="2" t="s">
        <v>13</v>
      </c>
      <c r="G1147" s="2" t="s">
        <v>72</v>
      </c>
      <c r="H1147" s="3">
        <v>4</v>
      </c>
      <c r="I1147" s="6">
        <v>2004</v>
      </c>
      <c r="J1147" s="2" t="s">
        <v>22</v>
      </c>
      <c r="K1147" s="2" t="s">
        <v>71</v>
      </c>
      <c r="L1147" s="7">
        <f t="shared" si="51"/>
        <v>2300</v>
      </c>
      <c r="M1147" s="2" t="str">
        <f t="shared" si="52"/>
        <v>December</v>
      </c>
      <c r="N1147" s="6">
        <f t="shared" si="53"/>
        <v>2004</v>
      </c>
    </row>
    <row r="1148" spans="1:14">
      <c r="A1148" s="2" t="s">
        <v>175</v>
      </c>
      <c r="B1148" s="3">
        <v>10363</v>
      </c>
      <c r="C1148" s="3">
        <v>24</v>
      </c>
      <c r="D1148" s="13">
        <v>100</v>
      </c>
      <c r="E1148" s="5">
        <v>38358</v>
      </c>
      <c r="F1148" s="2" t="s">
        <v>13</v>
      </c>
      <c r="G1148" s="2" t="s">
        <v>72</v>
      </c>
      <c r="H1148" s="3">
        <v>1</v>
      </c>
      <c r="I1148" s="6">
        <v>2005</v>
      </c>
      <c r="J1148" s="2" t="s">
        <v>22</v>
      </c>
      <c r="K1148" s="2" t="s">
        <v>176</v>
      </c>
      <c r="L1148" s="7">
        <f t="shared" si="51"/>
        <v>2400</v>
      </c>
      <c r="M1148" s="2" t="str">
        <f t="shared" si="52"/>
        <v>January</v>
      </c>
      <c r="N1148" s="6">
        <f t="shared" si="53"/>
        <v>2005</v>
      </c>
    </row>
    <row r="1149" spans="1:14">
      <c r="A1149" s="2" t="s">
        <v>69</v>
      </c>
      <c r="B1149" s="3">
        <v>10378</v>
      </c>
      <c r="C1149" s="3">
        <v>43</v>
      </c>
      <c r="D1149" s="13">
        <v>96.49</v>
      </c>
      <c r="E1149" s="5">
        <v>38393</v>
      </c>
      <c r="F1149" s="2" t="s">
        <v>13</v>
      </c>
      <c r="G1149" s="2" t="s">
        <v>72</v>
      </c>
      <c r="H1149" s="3">
        <v>1</v>
      </c>
      <c r="I1149" s="6">
        <v>2005</v>
      </c>
      <c r="J1149" s="2" t="s">
        <v>22</v>
      </c>
      <c r="K1149" s="2" t="s">
        <v>71</v>
      </c>
      <c r="L1149" s="7">
        <f t="shared" si="51"/>
        <v>4149.07</v>
      </c>
      <c r="M1149" s="2" t="str">
        <f t="shared" si="52"/>
        <v>February</v>
      </c>
      <c r="N1149" s="6">
        <f t="shared" si="53"/>
        <v>2005</v>
      </c>
    </row>
    <row r="1150" spans="1:14">
      <c r="A1150" s="2" t="s">
        <v>103</v>
      </c>
      <c r="B1150" s="3">
        <v>10390</v>
      </c>
      <c r="C1150" s="3">
        <v>50</v>
      </c>
      <c r="D1150" s="13">
        <v>100</v>
      </c>
      <c r="E1150" s="5">
        <v>38415</v>
      </c>
      <c r="F1150" s="2" t="s">
        <v>13</v>
      </c>
      <c r="G1150" s="2" t="s">
        <v>72</v>
      </c>
      <c r="H1150" s="3">
        <v>1</v>
      </c>
      <c r="I1150" s="6">
        <v>2005</v>
      </c>
      <c r="J1150" s="2" t="s">
        <v>61</v>
      </c>
      <c r="K1150" s="2" t="s">
        <v>104</v>
      </c>
      <c r="L1150" s="7">
        <f t="shared" si="51"/>
        <v>5000</v>
      </c>
      <c r="M1150" s="2" t="str">
        <f t="shared" si="52"/>
        <v>March</v>
      </c>
      <c r="N1150" s="6">
        <f t="shared" si="53"/>
        <v>2005</v>
      </c>
    </row>
    <row r="1151" spans="1:14">
      <c r="A1151" s="2" t="s">
        <v>116</v>
      </c>
      <c r="B1151" s="3">
        <v>10109</v>
      </c>
      <c r="C1151" s="3">
        <v>47</v>
      </c>
      <c r="D1151" s="13">
        <v>100</v>
      </c>
      <c r="E1151" s="5">
        <v>37690</v>
      </c>
      <c r="F1151" s="2" t="s">
        <v>13</v>
      </c>
      <c r="G1151" s="2" t="s">
        <v>72</v>
      </c>
      <c r="H1151" s="3">
        <v>1</v>
      </c>
      <c r="I1151" s="6">
        <v>2003</v>
      </c>
      <c r="J1151" s="2" t="s">
        <v>22</v>
      </c>
      <c r="K1151" s="2" t="s">
        <v>117</v>
      </c>
      <c r="L1151" s="7">
        <f t="shared" si="51"/>
        <v>4700</v>
      </c>
      <c r="M1151" s="2" t="str">
        <f t="shared" si="52"/>
        <v>March</v>
      </c>
      <c r="N1151" s="6">
        <f t="shared" si="53"/>
        <v>2003</v>
      </c>
    </row>
    <row r="1152" spans="1:14">
      <c r="A1152" s="2" t="s">
        <v>118</v>
      </c>
      <c r="B1152" s="3">
        <v>10123</v>
      </c>
      <c r="C1152" s="3">
        <v>34</v>
      </c>
      <c r="D1152" s="13">
        <v>100</v>
      </c>
      <c r="E1152" s="5">
        <v>37761</v>
      </c>
      <c r="F1152" s="2" t="s">
        <v>13</v>
      </c>
      <c r="G1152" s="2" t="s">
        <v>72</v>
      </c>
      <c r="H1152" s="3">
        <v>2</v>
      </c>
      <c r="I1152" s="6">
        <v>2003</v>
      </c>
      <c r="J1152" s="2" t="s">
        <v>22</v>
      </c>
      <c r="K1152" s="2" t="s">
        <v>119</v>
      </c>
      <c r="L1152" s="7">
        <f t="shared" si="51"/>
        <v>3400</v>
      </c>
      <c r="M1152" s="2" t="str">
        <f t="shared" si="52"/>
        <v>May</v>
      </c>
      <c r="N1152" s="6">
        <f t="shared" si="53"/>
        <v>2003</v>
      </c>
    </row>
    <row r="1153" spans="1:14">
      <c r="A1153" s="2" t="s">
        <v>18</v>
      </c>
      <c r="B1153" s="3">
        <v>10137</v>
      </c>
      <c r="C1153" s="3">
        <v>31</v>
      </c>
      <c r="D1153" s="13">
        <v>100</v>
      </c>
      <c r="E1153" s="5">
        <v>37812</v>
      </c>
      <c r="F1153" s="2" t="s">
        <v>13</v>
      </c>
      <c r="G1153" s="2" t="s">
        <v>72</v>
      </c>
      <c r="H1153" s="3">
        <v>3</v>
      </c>
      <c r="I1153" s="6">
        <v>2003</v>
      </c>
      <c r="J1153" s="2" t="s">
        <v>22</v>
      </c>
      <c r="K1153" s="2" t="s">
        <v>19</v>
      </c>
      <c r="L1153" s="7">
        <f t="shared" si="51"/>
        <v>3100</v>
      </c>
      <c r="M1153" s="2" t="str">
        <f t="shared" si="52"/>
        <v>July</v>
      </c>
      <c r="N1153" s="6">
        <f t="shared" si="53"/>
        <v>2003</v>
      </c>
    </row>
    <row r="1154" spans="1:14">
      <c r="A1154" s="2" t="s">
        <v>109</v>
      </c>
      <c r="B1154" s="3">
        <v>10148</v>
      </c>
      <c r="C1154" s="3">
        <v>28</v>
      </c>
      <c r="D1154" s="13">
        <v>100</v>
      </c>
      <c r="E1154" s="5">
        <v>37875</v>
      </c>
      <c r="F1154" s="2" t="s">
        <v>13</v>
      </c>
      <c r="G1154" s="2" t="s">
        <v>72</v>
      </c>
      <c r="H1154" s="3">
        <v>3</v>
      </c>
      <c r="I1154" s="6">
        <v>2003</v>
      </c>
      <c r="J1154" s="2" t="s">
        <v>22</v>
      </c>
      <c r="K1154" s="2" t="s">
        <v>110</v>
      </c>
      <c r="L1154" s="7">
        <f t="shared" ref="L1154:L1217" si="54">PRODUCT(C1154,D1154)</f>
        <v>2800</v>
      </c>
      <c r="M1154" s="2" t="str">
        <f t="shared" ref="M1154:M1217" si="55">TEXT(E1154,"MMMM")</f>
        <v>September</v>
      </c>
      <c r="N1154" s="6">
        <f t="shared" ref="N1154:N1217" si="56">YEAR(E1154)</f>
        <v>2003</v>
      </c>
    </row>
    <row r="1155" spans="1:14">
      <c r="A1155" s="2" t="s">
        <v>185</v>
      </c>
      <c r="B1155" s="3">
        <v>10161</v>
      </c>
      <c r="C1155" s="3">
        <v>36</v>
      </c>
      <c r="D1155" s="13">
        <v>100</v>
      </c>
      <c r="E1155" s="5">
        <v>37911</v>
      </c>
      <c r="F1155" s="2" t="s">
        <v>13</v>
      </c>
      <c r="G1155" s="2" t="s">
        <v>72</v>
      </c>
      <c r="H1155" s="3">
        <v>4</v>
      </c>
      <c r="I1155" s="6">
        <v>2003</v>
      </c>
      <c r="J1155" s="2" t="s">
        <v>22</v>
      </c>
      <c r="K1155" s="2" t="s">
        <v>186</v>
      </c>
      <c r="L1155" s="7">
        <f t="shared" si="54"/>
        <v>3600</v>
      </c>
      <c r="M1155" s="2" t="str">
        <f t="shared" si="55"/>
        <v>October</v>
      </c>
      <c r="N1155" s="6">
        <f t="shared" si="56"/>
        <v>2003</v>
      </c>
    </row>
    <row r="1156" spans="1:14">
      <c r="A1156" s="2" t="s">
        <v>48</v>
      </c>
      <c r="B1156" s="3">
        <v>10172</v>
      </c>
      <c r="C1156" s="3">
        <v>48</v>
      </c>
      <c r="D1156" s="13">
        <v>100</v>
      </c>
      <c r="E1156" s="5">
        <v>37930</v>
      </c>
      <c r="F1156" s="2" t="s">
        <v>13</v>
      </c>
      <c r="G1156" s="2" t="s">
        <v>72</v>
      </c>
      <c r="H1156" s="3">
        <v>4</v>
      </c>
      <c r="I1156" s="6">
        <v>2003</v>
      </c>
      <c r="J1156" s="2" t="s">
        <v>22</v>
      </c>
      <c r="K1156" s="2" t="s">
        <v>49</v>
      </c>
      <c r="L1156" s="7">
        <f t="shared" si="54"/>
        <v>4800</v>
      </c>
      <c r="M1156" s="2" t="str">
        <f t="shared" si="55"/>
        <v>November</v>
      </c>
      <c r="N1156" s="6">
        <f t="shared" si="56"/>
        <v>2003</v>
      </c>
    </row>
    <row r="1157" spans="1:14">
      <c r="A1157" s="2" t="s">
        <v>36</v>
      </c>
      <c r="B1157" s="3">
        <v>10181</v>
      </c>
      <c r="C1157" s="3">
        <v>39</v>
      </c>
      <c r="D1157" s="13">
        <v>100</v>
      </c>
      <c r="E1157" s="5">
        <v>37937</v>
      </c>
      <c r="F1157" s="2" t="s">
        <v>13</v>
      </c>
      <c r="G1157" s="2" t="s">
        <v>72</v>
      </c>
      <c r="H1157" s="3">
        <v>4</v>
      </c>
      <c r="I1157" s="6">
        <v>2003</v>
      </c>
      <c r="J1157" s="2" t="s">
        <v>22</v>
      </c>
      <c r="K1157" s="2" t="s">
        <v>37</v>
      </c>
      <c r="L1157" s="7">
        <f t="shared" si="54"/>
        <v>3900</v>
      </c>
      <c r="M1157" s="2" t="str">
        <f t="shared" si="55"/>
        <v>November</v>
      </c>
      <c r="N1157" s="6">
        <f t="shared" si="56"/>
        <v>2003</v>
      </c>
    </row>
    <row r="1158" spans="1:14">
      <c r="A1158" s="2" t="s">
        <v>105</v>
      </c>
      <c r="B1158" s="3">
        <v>10192</v>
      </c>
      <c r="C1158" s="3">
        <v>45</v>
      </c>
      <c r="D1158" s="13">
        <v>100</v>
      </c>
      <c r="E1158" s="5">
        <v>37945</v>
      </c>
      <c r="F1158" s="2" t="s">
        <v>13</v>
      </c>
      <c r="G1158" s="2" t="s">
        <v>72</v>
      </c>
      <c r="H1158" s="3">
        <v>4</v>
      </c>
      <c r="I1158" s="6">
        <v>2003</v>
      </c>
      <c r="J1158" s="2" t="s">
        <v>22</v>
      </c>
      <c r="K1158" s="2" t="s">
        <v>106</v>
      </c>
      <c r="L1158" s="7">
        <f t="shared" si="54"/>
        <v>4500</v>
      </c>
      <c r="M1158" s="2" t="str">
        <f t="shared" si="55"/>
        <v>November</v>
      </c>
      <c r="N1158" s="6">
        <f t="shared" si="56"/>
        <v>2003</v>
      </c>
    </row>
    <row r="1159" spans="1:14">
      <c r="A1159" s="2" t="s">
        <v>177</v>
      </c>
      <c r="B1159" s="3">
        <v>10204</v>
      </c>
      <c r="C1159" s="3">
        <v>35</v>
      </c>
      <c r="D1159" s="13">
        <v>100</v>
      </c>
      <c r="E1159" s="5">
        <v>37957</v>
      </c>
      <c r="F1159" s="2" t="s">
        <v>13</v>
      </c>
      <c r="G1159" s="2" t="s">
        <v>72</v>
      </c>
      <c r="H1159" s="3">
        <v>4</v>
      </c>
      <c r="I1159" s="6">
        <v>2003</v>
      </c>
      <c r="J1159" s="2" t="s">
        <v>22</v>
      </c>
      <c r="K1159" s="2" t="s">
        <v>178</v>
      </c>
      <c r="L1159" s="7">
        <f t="shared" si="54"/>
        <v>3500</v>
      </c>
      <c r="M1159" s="2" t="str">
        <f t="shared" si="55"/>
        <v>December</v>
      </c>
      <c r="N1159" s="6">
        <f t="shared" si="56"/>
        <v>2003</v>
      </c>
    </row>
    <row r="1160" spans="1:14">
      <c r="A1160" s="2" t="s">
        <v>69</v>
      </c>
      <c r="B1160" s="3">
        <v>10212</v>
      </c>
      <c r="C1160" s="3">
        <v>45</v>
      </c>
      <c r="D1160" s="13">
        <v>100</v>
      </c>
      <c r="E1160" s="5">
        <v>38002</v>
      </c>
      <c r="F1160" s="2" t="s">
        <v>13</v>
      </c>
      <c r="G1160" s="2" t="s">
        <v>72</v>
      </c>
      <c r="H1160" s="3">
        <v>1</v>
      </c>
      <c r="I1160" s="6">
        <v>2004</v>
      </c>
      <c r="J1160" s="2" t="s">
        <v>22</v>
      </c>
      <c r="K1160" s="2" t="s">
        <v>71</v>
      </c>
      <c r="L1160" s="7">
        <f t="shared" si="54"/>
        <v>4500</v>
      </c>
      <c r="M1160" s="2" t="str">
        <f t="shared" si="55"/>
        <v>January</v>
      </c>
      <c r="N1160" s="6">
        <f t="shared" si="56"/>
        <v>2004</v>
      </c>
    </row>
    <row r="1161" spans="1:14">
      <c r="A1161" s="2" t="s">
        <v>137</v>
      </c>
      <c r="B1161" s="3">
        <v>10226</v>
      </c>
      <c r="C1161" s="3">
        <v>46</v>
      </c>
      <c r="D1161" s="13">
        <v>100</v>
      </c>
      <c r="E1161" s="5">
        <v>38043</v>
      </c>
      <c r="F1161" s="2" t="s">
        <v>13</v>
      </c>
      <c r="G1161" s="2" t="s">
        <v>72</v>
      </c>
      <c r="H1161" s="3">
        <v>1</v>
      </c>
      <c r="I1161" s="6">
        <v>2004</v>
      </c>
      <c r="J1161" s="2" t="s">
        <v>61</v>
      </c>
      <c r="K1161" s="2" t="s">
        <v>138</v>
      </c>
      <c r="L1161" s="7">
        <f t="shared" si="54"/>
        <v>4600</v>
      </c>
      <c r="M1161" s="2" t="str">
        <f t="shared" si="55"/>
        <v>February</v>
      </c>
      <c r="N1161" s="6">
        <f t="shared" si="56"/>
        <v>2004</v>
      </c>
    </row>
    <row r="1162" spans="1:14">
      <c r="A1162" s="2" t="s">
        <v>67</v>
      </c>
      <c r="B1162" s="3">
        <v>10253</v>
      </c>
      <c r="C1162" s="3">
        <v>31</v>
      </c>
      <c r="D1162" s="13">
        <v>100</v>
      </c>
      <c r="E1162" s="5">
        <v>38139</v>
      </c>
      <c r="F1162" s="2" t="s">
        <v>128</v>
      </c>
      <c r="G1162" s="2" t="s">
        <v>72</v>
      </c>
      <c r="H1162" s="3">
        <v>2</v>
      </c>
      <c r="I1162" s="6">
        <v>2004</v>
      </c>
      <c r="J1162" s="2" t="s">
        <v>22</v>
      </c>
      <c r="K1162" s="2" t="s">
        <v>68</v>
      </c>
      <c r="L1162" s="7">
        <f t="shared" si="54"/>
        <v>3100</v>
      </c>
      <c r="M1162" s="2" t="str">
        <f t="shared" si="55"/>
        <v>June</v>
      </c>
      <c r="N1162" s="6">
        <f t="shared" si="56"/>
        <v>2004</v>
      </c>
    </row>
    <row r="1163" spans="1:14">
      <c r="A1163" s="2" t="s">
        <v>169</v>
      </c>
      <c r="B1163" s="3">
        <v>10266</v>
      </c>
      <c r="C1163" s="3">
        <v>33</v>
      </c>
      <c r="D1163" s="13">
        <v>100</v>
      </c>
      <c r="E1163" s="5">
        <v>38174</v>
      </c>
      <c r="F1163" s="2" t="s">
        <v>13</v>
      </c>
      <c r="G1163" s="2" t="s">
        <v>72</v>
      </c>
      <c r="H1163" s="3">
        <v>3</v>
      </c>
      <c r="I1163" s="6">
        <v>2004</v>
      </c>
      <c r="J1163" s="2" t="s">
        <v>22</v>
      </c>
      <c r="K1163" s="2" t="s">
        <v>170</v>
      </c>
      <c r="L1163" s="7">
        <f t="shared" si="54"/>
        <v>3300</v>
      </c>
      <c r="M1163" s="2" t="str">
        <f t="shared" si="55"/>
        <v>July</v>
      </c>
      <c r="N1163" s="6">
        <f t="shared" si="56"/>
        <v>2004</v>
      </c>
    </row>
    <row r="1164" spans="1:14">
      <c r="A1164" s="2" t="s">
        <v>198</v>
      </c>
      <c r="B1164" s="3">
        <v>10278</v>
      </c>
      <c r="C1164" s="3">
        <v>31</v>
      </c>
      <c r="D1164" s="13">
        <v>100</v>
      </c>
      <c r="E1164" s="5">
        <v>38205</v>
      </c>
      <c r="F1164" s="2" t="s">
        <v>13</v>
      </c>
      <c r="G1164" s="2" t="s">
        <v>72</v>
      </c>
      <c r="H1164" s="3">
        <v>3</v>
      </c>
      <c r="I1164" s="6">
        <v>2004</v>
      </c>
      <c r="J1164" s="2" t="s">
        <v>22</v>
      </c>
      <c r="K1164" s="2" t="s">
        <v>199</v>
      </c>
      <c r="L1164" s="7">
        <f t="shared" si="54"/>
        <v>3100</v>
      </c>
      <c r="M1164" s="2" t="str">
        <f t="shared" si="55"/>
        <v>August</v>
      </c>
      <c r="N1164" s="6">
        <f t="shared" si="56"/>
        <v>2004</v>
      </c>
    </row>
    <row r="1165" spans="1:14">
      <c r="A1165" s="2" t="s">
        <v>167</v>
      </c>
      <c r="B1165" s="3">
        <v>10287</v>
      </c>
      <c r="C1165" s="3">
        <v>27</v>
      </c>
      <c r="D1165" s="13">
        <v>100</v>
      </c>
      <c r="E1165" s="5">
        <v>38229</v>
      </c>
      <c r="F1165" s="2" t="s">
        <v>13</v>
      </c>
      <c r="G1165" s="2" t="s">
        <v>72</v>
      </c>
      <c r="H1165" s="3">
        <v>3</v>
      </c>
      <c r="I1165" s="6">
        <v>2004</v>
      </c>
      <c r="J1165" s="2" t="s">
        <v>22</v>
      </c>
      <c r="K1165" s="2" t="s">
        <v>168</v>
      </c>
      <c r="L1165" s="7">
        <f t="shared" si="54"/>
        <v>2700</v>
      </c>
      <c r="M1165" s="2" t="str">
        <f t="shared" si="55"/>
        <v>August</v>
      </c>
      <c r="N1165" s="6">
        <f t="shared" si="56"/>
        <v>2004</v>
      </c>
    </row>
    <row r="1166" spans="1:14">
      <c r="A1166" s="2" t="s">
        <v>200</v>
      </c>
      <c r="B1166" s="3">
        <v>10301</v>
      </c>
      <c r="C1166" s="3">
        <v>39</v>
      </c>
      <c r="D1166" s="13">
        <v>100</v>
      </c>
      <c r="E1166" s="5">
        <v>37899</v>
      </c>
      <c r="F1166" s="2" t="s">
        <v>13</v>
      </c>
      <c r="G1166" s="2" t="s">
        <v>72</v>
      </c>
      <c r="H1166" s="3">
        <v>4</v>
      </c>
      <c r="I1166" s="6">
        <v>2003</v>
      </c>
      <c r="J1166" s="2" t="s">
        <v>22</v>
      </c>
      <c r="K1166" s="2" t="s">
        <v>201</v>
      </c>
      <c r="L1166" s="7">
        <f t="shared" si="54"/>
        <v>3900</v>
      </c>
      <c r="M1166" s="2" t="str">
        <f t="shared" si="55"/>
        <v>October</v>
      </c>
      <c r="N1166" s="6">
        <f t="shared" si="56"/>
        <v>2003</v>
      </c>
    </row>
    <row r="1167" spans="1:14">
      <c r="A1167" s="2" t="s">
        <v>69</v>
      </c>
      <c r="B1167" s="3">
        <v>10311</v>
      </c>
      <c r="C1167" s="3">
        <v>32</v>
      </c>
      <c r="D1167" s="13">
        <v>100</v>
      </c>
      <c r="E1167" s="5">
        <v>38276</v>
      </c>
      <c r="F1167" s="2" t="s">
        <v>13</v>
      </c>
      <c r="G1167" s="2" t="s">
        <v>72</v>
      </c>
      <c r="H1167" s="3">
        <v>4</v>
      </c>
      <c r="I1167" s="6">
        <v>2004</v>
      </c>
      <c r="J1167" s="2" t="s">
        <v>22</v>
      </c>
      <c r="K1167" s="2" t="s">
        <v>71</v>
      </c>
      <c r="L1167" s="7">
        <f t="shared" si="54"/>
        <v>3200</v>
      </c>
      <c r="M1167" s="2" t="str">
        <f t="shared" si="55"/>
        <v>October</v>
      </c>
      <c r="N1167" s="6">
        <f t="shared" si="56"/>
        <v>2004</v>
      </c>
    </row>
    <row r="1168" spans="1:14">
      <c r="A1168" s="2" t="s">
        <v>65</v>
      </c>
      <c r="B1168" s="3">
        <v>10321</v>
      </c>
      <c r="C1168" s="3">
        <v>28</v>
      </c>
      <c r="D1168" s="13">
        <v>100</v>
      </c>
      <c r="E1168" s="5">
        <v>38295</v>
      </c>
      <c r="F1168" s="2" t="s">
        <v>13</v>
      </c>
      <c r="G1168" s="2" t="s">
        <v>72</v>
      </c>
      <c r="H1168" s="3">
        <v>4</v>
      </c>
      <c r="I1168" s="6">
        <v>2004</v>
      </c>
      <c r="J1168" s="2" t="s">
        <v>22</v>
      </c>
      <c r="K1168" s="2" t="s">
        <v>66</v>
      </c>
      <c r="L1168" s="7">
        <f t="shared" si="54"/>
        <v>2800</v>
      </c>
      <c r="M1168" s="2" t="str">
        <f t="shared" si="55"/>
        <v>November</v>
      </c>
      <c r="N1168" s="6">
        <f t="shared" si="56"/>
        <v>2004</v>
      </c>
    </row>
    <row r="1169" spans="1:14">
      <c r="A1169" s="2" t="s">
        <v>116</v>
      </c>
      <c r="B1169" s="3">
        <v>10331</v>
      </c>
      <c r="C1169" s="3">
        <v>26</v>
      </c>
      <c r="D1169" s="13">
        <v>67.91</v>
      </c>
      <c r="E1169" s="5">
        <v>38308</v>
      </c>
      <c r="F1169" s="2" t="s">
        <v>13</v>
      </c>
      <c r="G1169" s="2" t="s">
        <v>72</v>
      </c>
      <c r="H1169" s="3">
        <v>4</v>
      </c>
      <c r="I1169" s="6">
        <v>2004</v>
      </c>
      <c r="J1169" s="2" t="s">
        <v>15</v>
      </c>
      <c r="K1169" s="2" t="s">
        <v>117</v>
      </c>
      <c r="L1169" s="7">
        <f t="shared" si="54"/>
        <v>1765.66</v>
      </c>
      <c r="M1169" s="2" t="str">
        <f t="shared" si="55"/>
        <v>November</v>
      </c>
      <c r="N1169" s="6">
        <f t="shared" si="56"/>
        <v>2004</v>
      </c>
    </row>
    <row r="1170" spans="1:14">
      <c r="A1170" s="2" t="s">
        <v>18</v>
      </c>
      <c r="B1170" s="3">
        <v>10343</v>
      </c>
      <c r="C1170" s="3">
        <v>44</v>
      </c>
      <c r="D1170" s="13">
        <v>84.88</v>
      </c>
      <c r="E1170" s="5">
        <v>38315</v>
      </c>
      <c r="F1170" s="2" t="s">
        <v>13</v>
      </c>
      <c r="G1170" s="2" t="s">
        <v>72</v>
      </c>
      <c r="H1170" s="3">
        <v>4</v>
      </c>
      <c r="I1170" s="6">
        <v>2004</v>
      </c>
      <c r="J1170" s="2" t="s">
        <v>22</v>
      </c>
      <c r="K1170" s="2" t="s">
        <v>19</v>
      </c>
      <c r="L1170" s="7">
        <f t="shared" si="54"/>
        <v>3734.72</v>
      </c>
      <c r="M1170" s="2" t="str">
        <f t="shared" si="55"/>
        <v>November</v>
      </c>
      <c r="N1170" s="6">
        <f t="shared" si="56"/>
        <v>2004</v>
      </c>
    </row>
    <row r="1171" spans="1:14">
      <c r="A1171" s="2" t="s">
        <v>25</v>
      </c>
      <c r="B1171" s="3">
        <v>10367</v>
      </c>
      <c r="C1171" s="3">
        <v>46</v>
      </c>
      <c r="D1171" s="13">
        <v>100</v>
      </c>
      <c r="E1171" s="5">
        <v>38364</v>
      </c>
      <c r="F1171" s="2" t="s">
        <v>155</v>
      </c>
      <c r="G1171" s="2" t="s">
        <v>72</v>
      </c>
      <c r="H1171" s="3">
        <v>1</v>
      </c>
      <c r="I1171" s="6">
        <v>2005</v>
      </c>
      <c r="J1171" s="2" t="s">
        <v>22</v>
      </c>
      <c r="K1171" s="2" t="s">
        <v>26</v>
      </c>
      <c r="L1171" s="7">
        <f t="shared" si="54"/>
        <v>4600</v>
      </c>
      <c r="M1171" s="2" t="str">
        <f t="shared" si="55"/>
        <v>January</v>
      </c>
      <c r="N1171" s="6">
        <f t="shared" si="56"/>
        <v>2005</v>
      </c>
    </row>
    <row r="1172" spans="1:14">
      <c r="A1172" s="2" t="s">
        <v>69</v>
      </c>
      <c r="B1172" s="3">
        <v>10379</v>
      </c>
      <c r="C1172" s="3">
        <v>32</v>
      </c>
      <c r="D1172" s="13">
        <v>70.83</v>
      </c>
      <c r="E1172" s="5">
        <v>38393</v>
      </c>
      <c r="F1172" s="2" t="s">
        <v>13</v>
      </c>
      <c r="G1172" s="2" t="s">
        <v>72</v>
      </c>
      <c r="H1172" s="3">
        <v>1</v>
      </c>
      <c r="I1172" s="6">
        <v>2005</v>
      </c>
      <c r="J1172" s="2" t="s">
        <v>15</v>
      </c>
      <c r="K1172" s="2" t="s">
        <v>71</v>
      </c>
      <c r="L1172" s="7">
        <f t="shared" si="54"/>
        <v>2266.56</v>
      </c>
      <c r="M1172" s="2" t="str">
        <f t="shared" si="55"/>
        <v>February</v>
      </c>
      <c r="N1172" s="6">
        <f t="shared" si="56"/>
        <v>2005</v>
      </c>
    </row>
    <row r="1173" spans="1:14">
      <c r="A1173" s="2" t="s">
        <v>122</v>
      </c>
      <c r="B1173" s="3">
        <v>10406</v>
      </c>
      <c r="C1173" s="3">
        <v>65</v>
      </c>
      <c r="D1173" s="13">
        <v>100</v>
      </c>
      <c r="E1173" s="5">
        <v>38457</v>
      </c>
      <c r="F1173" s="2" t="s">
        <v>70</v>
      </c>
      <c r="G1173" s="2" t="s">
        <v>72</v>
      </c>
      <c r="H1173" s="3">
        <v>2</v>
      </c>
      <c r="I1173" s="6">
        <v>2005</v>
      </c>
      <c r="J1173" s="2" t="s">
        <v>61</v>
      </c>
      <c r="K1173" s="2" t="s">
        <v>123</v>
      </c>
      <c r="L1173" s="7">
        <f t="shared" si="54"/>
        <v>6500</v>
      </c>
      <c r="M1173" s="2" t="str">
        <f t="shared" si="55"/>
        <v>April</v>
      </c>
      <c r="N1173" s="6">
        <f t="shared" si="56"/>
        <v>2005</v>
      </c>
    </row>
    <row r="1174" spans="1:14">
      <c r="A1174" s="2" t="s">
        <v>60</v>
      </c>
      <c r="B1174" s="3">
        <v>10419</v>
      </c>
      <c r="C1174" s="3">
        <v>43</v>
      </c>
      <c r="D1174" s="13">
        <v>100</v>
      </c>
      <c r="E1174" s="5">
        <v>38489</v>
      </c>
      <c r="F1174" s="2" t="s">
        <v>13</v>
      </c>
      <c r="G1174" s="2" t="s">
        <v>72</v>
      </c>
      <c r="H1174" s="3">
        <v>2</v>
      </c>
      <c r="I1174" s="6">
        <v>2005</v>
      </c>
      <c r="J1174" s="2" t="s">
        <v>22</v>
      </c>
      <c r="K1174" s="2" t="s">
        <v>62</v>
      </c>
      <c r="L1174" s="7">
        <f t="shared" si="54"/>
        <v>4300</v>
      </c>
      <c r="M1174" s="2" t="str">
        <f t="shared" si="55"/>
        <v>May</v>
      </c>
      <c r="N1174" s="6">
        <f t="shared" si="56"/>
        <v>2005</v>
      </c>
    </row>
    <row r="1175" spans="1:14">
      <c r="A1175" s="2" t="s">
        <v>161</v>
      </c>
      <c r="B1175" s="3">
        <v>10108</v>
      </c>
      <c r="C1175" s="3">
        <v>43</v>
      </c>
      <c r="D1175" s="13">
        <v>67.77</v>
      </c>
      <c r="E1175" s="5">
        <v>37683</v>
      </c>
      <c r="F1175" s="2" t="s">
        <v>13</v>
      </c>
      <c r="G1175" s="2" t="s">
        <v>14</v>
      </c>
      <c r="H1175" s="3">
        <v>1</v>
      </c>
      <c r="I1175" s="6">
        <v>2003</v>
      </c>
      <c r="J1175" s="2" t="s">
        <v>15</v>
      </c>
      <c r="K1175" s="2" t="s">
        <v>162</v>
      </c>
      <c r="L1175" s="7">
        <f t="shared" si="54"/>
        <v>2914.11</v>
      </c>
      <c r="M1175" s="2" t="str">
        <f t="shared" si="55"/>
        <v>March</v>
      </c>
      <c r="N1175" s="6">
        <f t="shared" si="56"/>
        <v>2003</v>
      </c>
    </row>
    <row r="1176" spans="1:14">
      <c r="A1176" s="2" t="s">
        <v>163</v>
      </c>
      <c r="B1176" s="3">
        <v>10122</v>
      </c>
      <c r="C1176" s="3">
        <v>35</v>
      </c>
      <c r="D1176" s="13">
        <v>49.74</v>
      </c>
      <c r="E1176" s="5">
        <v>37749</v>
      </c>
      <c r="F1176" s="2" t="s">
        <v>13</v>
      </c>
      <c r="G1176" s="2" t="s">
        <v>14</v>
      </c>
      <c r="H1176" s="3">
        <v>2</v>
      </c>
      <c r="I1176" s="6">
        <v>2003</v>
      </c>
      <c r="J1176" s="2" t="s">
        <v>15</v>
      </c>
      <c r="K1176" s="2" t="s">
        <v>164</v>
      </c>
      <c r="L1176" s="7">
        <f t="shared" si="54"/>
        <v>1740.9</v>
      </c>
      <c r="M1176" s="2" t="str">
        <f t="shared" si="55"/>
        <v>May</v>
      </c>
      <c r="N1176" s="6">
        <f t="shared" si="56"/>
        <v>2003</v>
      </c>
    </row>
    <row r="1177" spans="1:14">
      <c r="A1177" s="2" t="s">
        <v>103</v>
      </c>
      <c r="B1177" s="3">
        <v>10135</v>
      </c>
      <c r="C1177" s="3">
        <v>45</v>
      </c>
      <c r="D1177" s="13">
        <v>50.36</v>
      </c>
      <c r="E1177" s="5">
        <v>37804</v>
      </c>
      <c r="F1177" s="2" t="s">
        <v>13</v>
      </c>
      <c r="G1177" s="2" t="s">
        <v>14</v>
      </c>
      <c r="H1177" s="3">
        <v>3</v>
      </c>
      <c r="I1177" s="6">
        <v>2003</v>
      </c>
      <c r="J1177" s="2" t="s">
        <v>15</v>
      </c>
      <c r="K1177" s="2" t="s">
        <v>104</v>
      </c>
      <c r="L1177" s="7">
        <f t="shared" si="54"/>
        <v>2266.2</v>
      </c>
      <c r="M1177" s="2" t="str">
        <f t="shared" si="55"/>
        <v>July</v>
      </c>
      <c r="N1177" s="6">
        <f t="shared" si="56"/>
        <v>2003</v>
      </c>
    </row>
    <row r="1178" spans="1:14">
      <c r="A1178" s="2" t="s">
        <v>208</v>
      </c>
      <c r="B1178" s="3">
        <v>10146</v>
      </c>
      <c r="C1178" s="3">
        <v>47</v>
      </c>
      <c r="D1178" s="13">
        <v>67.14</v>
      </c>
      <c r="E1178" s="5">
        <v>37867</v>
      </c>
      <c r="F1178" s="2" t="s">
        <v>13</v>
      </c>
      <c r="G1178" s="2" t="s">
        <v>14</v>
      </c>
      <c r="H1178" s="3">
        <v>3</v>
      </c>
      <c r="I1178" s="6">
        <v>2003</v>
      </c>
      <c r="J1178" s="2" t="s">
        <v>22</v>
      </c>
      <c r="K1178" s="2" t="s">
        <v>209</v>
      </c>
      <c r="L1178" s="7">
        <f t="shared" si="54"/>
        <v>3155.58</v>
      </c>
      <c r="M1178" s="2" t="str">
        <f t="shared" si="55"/>
        <v>September</v>
      </c>
      <c r="N1178" s="6">
        <f t="shared" si="56"/>
        <v>2003</v>
      </c>
    </row>
    <row r="1179" spans="1:14">
      <c r="A1179" s="2" t="s">
        <v>28</v>
      </c>
      <c r="B1179" s="3">
        <v>10159</v>
      </c>
      <c r="C1179" s="3">
        <v>21</v>
      </c>
      <c r="D1179" s="13">
        <v>64.66</v>
      </c>
      <c r="E1179" s="5">
        <v>37904</v>
      </c>
      <c r="F1179" s="2" t="s">
        <v>13</v>
      </c>
      <c r="G1179" s="2" t="s">
        <v>14</v>
      </c>
      <c r="H1179" s="3">
        <v>4</v>
      </c>
      <c r="I1179" s="6">
        <v>2003</v>
      </c>
      <c r="J1179" s="2" t="s">
        <v>15</v>
      </c>
      <c r="K1179" s="2" t="s">
        <v>29</v>
      </c>
      <c r="L1179" s="7">
        <f t="shared" si="54"/>
        <v>1357.86</v>
      </c>
      <c r="M1179" s="2" t="str">
        <f t="shared" si="55"/>
        <v>October</v>
      </c>
      <c r="N1179" s="6">
        <f t="shared" si="56"/>
        <v>2003</v>
      </c>
    </row>
    <row r="1180" spans="1:14">
      <c r="A1180" s="2" t="s">
        <v>109</v>
      </c>
      <c r="B1180" s="3">
        <v>10169</v>
      </c>
      <c r="C1180" s="3">
        <v>38</v>
      </c>
      <c r="D1180" s="13">
        <v>68.39</v>
      </c>
      <c r="E1180" s="5">
        <v>37929</v>
      </c>
      <c r="F1180" s="2" t="s">
        <v>13</v>
      </c>
      <c r="G1180" s="2" t="s">
        <v>14</v>
      </c>
      <c r="H1180" s="3">
        <v>4</v>
      </c>
      <c r="I1180" s="6">
        <v>2003</v>
      </c>
      <c r="J1180" s="2" t="s">
        <v>15</v>
      </c>
      <c r="K1180" s="2" t="s">
        <v>110</v>
      </c>
      <c r="L1180" s="7">
        <f t="shared" si="54"/>
        <v>2598.82</v>
      </c>
      <c r="M1180" s="2" t="str">
        <f t="shared" si="55"/>
        <v>November</v>
      </c>
      <c r="N1180" s="6">
        <f t="shared" si="56"/>
        <v>2003</v>
      </c>
    </row>
    <row r="1181" spans="1:14">
      <c r="A1181" s="2" t="s">
        <v>34</v>
      </c>
      <c r="B1181" s="3">
        <v>10180</v>
      </c>
      <c r="C1181" s="3">
        <v>21</v>
      </c>
      <c r="D1181" s="13">
        <v>50.36</v>
      </c>
      <c r="E1181" s="5">
        <v>37936</v>
      </c>
      <c r="F1181" s="2" t="s">
        <v>13</v>
      </c>
      <c r="G1181" s="2" t="s">
        <v>14</v>
      </c>
      <c r="H1181" s="3">
        <v>4</v>
      </c>
      <c r="I1181" s="6">
        <v>2003</v>
      </c>
      <c r="J1181" s="2" t="s">
        <v>15</v>
      </c>
      <c r="K1181" s="2" t="s">
        <v>35</v>
      </c>
      <c r="L1181" s="7">
        <f t="shared" si="54"/>
        <v>1057.56</v>
      </c>
      <c r="M1181" s="2" t="str">
        <f t="shared" si="55"/>
        <v>November</v>
      </c>
      <c r="N1181" s="6">
        <f t="shared" si="56"/>
        <v>2003</v>
      </c>
    </row>
    <row r="1182" spans="1:14">
      <c r="A1182" s="2" t="s">
        <v>165</v>
      </c>
      <c r="B1182" s="3">
        <v>10191</v>
      </c>
      <c r="C1182" s="3">
        <v>43</v>
      </c>
      <c r="D1182" s="13">
        <v>72.74</v>
      </c>
      <c r="E1182" s="5">
        <v>37945</v>
      </c>
      <c r="F1182" s="2" t="s">
        <v>13</v>
      </c>
      <c r="G1182" s="2" t="s">
        <v>14</v>
      </c>
      <c r="H1182" s="3">
        <v>4</v>
      </c>
      <c r="I1182" s="6">
        <v>2003</v>
      </c>
      <c r="J1182" s="2" t="s">
        <v>22</v>
      </c>
      <c r="K1182" s="2" t="s">
        <v>166</v>
      </c>
      <c r="L1182" s="7">
        <f t="shared" si="54"/>
        <v>3127.82</v>
      </c>
      <c r="M1182" s="2" t="str">
        <f t="shared" si="55"/>
        <v>November</v>
      </c>
      <c r="N1182" s="6">
        <f t="shared" si="56"/>
        <v>2003</v>
      </c>
    </row>
    <row r="1183" spans="1:14">
      <c r="A1183" s="2" t="s">
        <v>40</v>
      </c>
      <c r="B1183" s="3">
        <v>10211</v>
      </c>
      <c r="C1183" s="3">
        <v>46</v>
      </c>
      <c r="D1183" s="13">
        <v>54.09</v>
      </c>
      <c r="E1183" s="5">
        <v>38001</v>
      </c>
      <c r="F1183" s="2" t="s">
        <v>13</v>
      </c>
      <c r="G1183" s="2" t="s">
        <v>14</v>
      </c>
      <c r="H1183" s="3">
        <v>1</v>
      </c>
      <c r="I1183" s="6">
        <v>2004</v>
      </c>
      <c r="J1183" s="2" t="s">
        <v>15</v>
      </c>
      <c r="K1183" s="2" t="s">
        <v>41</v>
      </c>
      <c r="L1183" s="7">
        <f t="shared" si="54"/>
        <v>2488.14</v>
      </c>
      <c r="M1183" s="2" t="str">
        <f t="shared" si="55"/>
        <v>January</v>
      </c>
      <c r="N1183" s="6">
        <f t="shared" si="56"/>
        <v>2004</v>
      </c>
    </row>
    <row r="1184" spans="1:14">
      <c r="A1184" s="2" t="s">
        <v>34</v>
      </c>
      <c r="B1184" s="3">
        <v>10224</v>
      </c>
      <c r="C1184" s="3">
        <v>38</v>
      </c>
      <c r="D1184" s="13">
        <v>58.44</v>
      </c>
      <c r="E1184" s="5">
        <v>38038</v>
      </c>
      <c r="F1184" s="2" t="s">
        <v>13</v>
      </c>
      <c r="G1184" s="2" t="s">
        <v>14</v>
      </c>
      <c r="H1184" s="3">
        <v>1</v>
      </c>
      <c r="I1184" s="6">
        <v>2004</v>
      </c>
      <c r="J1184" s="2" t="s">
        <v>15</v>
      </c>
      <c r="K1184" s="2" t="s">
        <v>35</v>
      </c>
      <c r="L1184" s="7">
        <f t="shared" si="54"/>
        <v>2220.72</v>
      </c>
      <c r="M1184" s="2" t="str">
        <f t="shared" si="55"/>
        <v>February</v>
      </c>
      <c r="N1184" s="6">
        <f t="shared" si="56"/>
        <v>2004</v>
      </c>
    </row>
    <row r="1185" spans="1:14">
      <c r="A1185" s="2" t="s">
        <v>44</v>
      </c>
      <c r="B1185" s="3">
        <v>10237</v>
      </c>
      <c r="C1185" s="3">
        <v>26</v>
      </c>
      <c r="D1185" s="13">
        <v>52.22</v>
      </c>
      <c r="E1185" s="5">
        <v>38082</v>
      </c>
      <c r="F1185" s="2" t="s">
        <v>13</v>
      </c>
      <c r="G1185" s="2" t="s">
        <v>14</v>
      </c>
      <c r="H1185" s="3">
        <v>2</v>
      </c>
      <c r="I1185" s="6">
        <v>2004</v>
      </c>
      <c r="J1185" s="2" t="s">
        <v>15</v>
      </c>
      <c r="K1185" s="2" t="s">
        <v>45</v>
      </c>
      <c r="L1185" s="7">
        <f t="shared" si="54"/>
        <v>1357.72</v>
      </c>
      <c r="M1185" s="2" t="str">
        <f t="shared" si="55"/>
        <v>April</v>
      </c>
      <c r="N1185" s="6">
        <f t="shared" si="56"/>
        <v>2004</v>
      </c>
    </row>
    <row r="1186" spans="1:14">
      <c r="A1186" s="2" t="s">
        <v>40</v>
      </c>
      <c r="B1186" s="3">
        <v>10252</v>
      </c>
      <c r="C1186" s="3">
        <v>31</v>
      </c>
      <c r="D1186" s="13">
        <v>52.84</v>
      </c>
      <c r="E1186" s="5">
        <v>38133</v>
      </c>
      <c r="F1186" s="2" t="s">
        <v>13</v>
      </c>
      <c r="G1186" s="2" t="s">
        <v>14</v>
      </c>
      <c r="H1186" s="3">
        <v>2</v>
      </c>
      <c r="I1186" s="6">
        <v>2004</v>
      </c>
      <c r="J1186" s="2" t="s">
        <v>15</v>
      </c>
      <c r="K1186" s="2" t="s">
        <v>41</v>
      </c>
      <c r="L1186" s="7">
        <f t="shared" si="54"/>
        <v>1638.04</v>
      </c>
      <c r="M1186" s="2" t="str">
        <f t="shared" si="55"/>
        <v>May</v>
      </c>
      <c r="N1186" s="6">
        <f t="shared" si="56"/>
        <v>2004</v>
      </c>
    </row>
    <row r="1187" spans="1:14">
      <c r="A1187" s="2" t="s">
        <v>143</v>
      </c>
      <c r="B1187" s="3">
        <v>10264</v>
      </c>
      <c r="C1187" s="3">
        <v>48</v>
      </c>
      <c r="D1187" s="13">
        <v>54.71</v>
      </c>
      <c r="E1187" s="5">
        <v>38168</v>
      </c>
      <c r="F1187" s="2" t="s">
        <v>13</v>
      </c>
      <c r="G1187" s="2" t="s">
        <v>14</v>
      </c>
      <c r="H1187" s="3">
        <v>2</v>
      </c>
      <c r="I1187" s="6">
        <v>2004</v>
      </c>
      <c r="J1187" s="2" t="s">
        <v>15</v>
      </c>
      <c r="K1187" s="2" t="s">
        <v>144</v>
      </c>
      <c r="L1187" s="7">
        <f t="shared" si="54"/>
        <v>2626.08</v>
      </c>
      <c r="M1187" s="2" t="str">
        <f t="shared" si="55"/>
        <v>June</v>
      </c>
      <c r="N1187" s="6">
        <f t="shared" si="56"/>
        <v>2004</v>
      </c>
    </row>
    <row r="1188" spans="1:14">
      <c r="A1188" s="2" t="s">
        <v>171</v>
      </c>
      <c r="B1188" s="3">
        <v>10276</v>
      </c>
      <c r="C1188" s="3">
        <v>33</v>
      </c>
      <c r="D1188" s="13">
        <v>50.36</v>
      </c>
      <c r="E1188" s="5">
        <v>38201</v>
      </c>
      <c r="F1188" s="2" t="s">
        <v>13</v>
      </c>
      <c r="G1188" s="2" t="s">
        <v>14</v>
      </c>
      <c r="H1188" s="3">
        <v>3</v>
      </c>
      <c r="I1188" s="6">
        <v>2004</v>
      </c>
      <c r="J1188" s="2" t="s">
        <v>15</v>
      </c>
      <c r="K1188" s="2" t="s">
        <v>172</v>
      </c>
      <c r="L1188" s="7">
        <f t="shared" si="54"/>
        <v>1661.88</v>
      </c>
      <c r="M1188" s="2" t="str">
        <f t="shared" si="55"/>
        <v>August</v>
      </c>
      <c r="N1188" s="6">
        <f t="shared" si="56"/>
        <v>2004</v>
      </c>
    </row>
    <row r="1189" spans="1:14">
      <c r="A1189" s="2" t="s">
        <v>152</v>
      </c>
      <c r="B1189" s="3">
        <v>10286</v>
      </c>
      <c r="C1189" s="3">
        <v>38</v>
      </c>
      <c r="D1189" s="13">
        <v>57.2</v>
      </c>
      <c r="E1189" s="5">
        <v>38227</v>
      </c>
      <c r="F1189" s="2" t="s">
        <v>13</v>
      </c>
      <c r="G1189" s="2" t="s">
        <v>14</v>
      </c>
      <c r="H1189" s="3">
        <v>3</v>
      </c>
      <c r="I1189" s="6">
        <v>2004</v>
      </c>
      <c r="J1189" s="2" t="s">
        <v>15</v>
      </c>
      <c r="K1189" s="2" t="s">
        <v>153</v>
      </c>
      <c r="L1189" s="7">
        <f t="shared" si="54"/>
        <v>2173.6</v>
      </c>
      <c r="M1189" s="2" t="str">
        <f t="shared" si="55"/>
        <v>August</v>
      </c>
      <c r="N1189" s="6">
        <f t="shared" si="56"/>
        <v>2004</v>
      </c>
    </row>
    <row r="1190" spans="1:14">
      <c r="A1190" s="2" t="s">
        <v>54</v>
      </c>
      <c r="B1190" s="3">
        <v>10299</v>
      </c>
      <c r="C1190" s="3">
        <v>39</v>
      </c>
      <c r="D1190" s="13">
        <v>55.95</v>
      </c>
      <c r="E1190" s="5">
        <v>38260</v>
      </c>
      <c r="F1190" s="2" t="s">
        <v>13</v>
      </c>
      <c r="G1190" s="2" t="s">
        <v>14</v>
      </c>
      <c r="H1190" s="3">
        <v>3</v>
      </c>
      <c r="I1190" s="6">
        <v>2004</v>
      </c>
      <c r="J1190" s="2" t="s">
        <v>15</v>
      </c>
      <c r="K1190" s="2" t="s">
        <v>55</v>
      </c>
      <c r="L1190" s="7">
        <f t="shared" si="54"/>
        <v>2182.05</v>
      </c>
      <c r="M1190" s="2" t="str">
        <f t="shared" si="55"/>
        <v>September</v>
      </c>
      <c r="N1190" s="6">
        <f t="shared" si="56"/>
        <v>2004</v>
      </c>
    </row>
    <row r="1191" spans="1:14">
      <c r="A1191" s="2" t="s">
        <v>165</v>
      </c>
      <c r="B1191" s="3">
        <v>10310</v>
      </c>
      <c r="C1191" s="3">
        <v>42</v>
      </c>
      <c r="D1191" s="13">
        <v>67.14</v>
      </c>
      <c r="E1191" s="5">
        <v>38276</v>
      </c>
      <c r="F1191" s="2" t="s">
        <v>13</v>
      </c>
      <c r="G1191" s="2" t="s">
        <v>14</v>
      </c>
      <c r="H1191" s="3">
        <v>4</v>
      </c>
      <c r="I1191" s="6">
        <v>2004</v>
      </c>
      <c r="J1191" s="2" t="s">
        <v>15</v>
      </c>
      <c r="K1191" s="2" t="s">
        <v>166</v>
      </c>
      <c r="L1191" s="7">
        <f t="shared" si="54"/>
        <v>2819.88</v>
      </c>
      <c r="M1191" s="2" t="str">
        <f t="shared" si="55"/>
        <v>October</v>
      </c>
      <c r="N1191" s="6">
        <f t="shared" si="56"/>
        <v>2004</v>
      </c>
    </row>
    <row r="1192" spans="1:14">
      <c r="A1192" s="2" t="s">
        <v>188</v>
      </c>
      <c r="B1192" s="3">
        <v>10319</v>
      </c>
      <c r="C1192" s="3">
        <v>44</v>
      </c>
      <c r="D1192" s="13">
        <v>59.06</v>
      </c>
      <c r="E1192" s="5">
        <v>38294</v>
      </c>
      <c r="F1192" s="2" t="s">
        <v>13</v>
      </c>
      <c r="G1192" s="2" t="s">
        <v>14</v>
      </c>
      <c r="H1192" s="3">
        <v>4</v>
      </c>
      <c r="I1192" s="6">
        <v>2004</v>
      </c>
      <c r="J1192" s="2" t="s">
        <v>15</v>
      </c>
      <c r="K1192" s="2" t="s">
        <v>189</v>
      </c>
      <c r="L1192" s="7">
        <f t="shared" si="54"/>
        <v>2598.64</v>
      </c>
      <c r="M1192" s="2" t="str">
        <f t="shared" si="55"/>
        <v>November</v>
      </c>
      <c r="N1192" s="6">
        <f t="shared" si="56"/>
        <v>2004</v>
      </c>
    </row>
    <row r="1193" spans="1:14">
      <c r="A1193" s="2" t="s">
        <v>161</v>
      </c>
      <c r="B1193" s="3">
        <v>10330</v>
      </c>
      <c r="C1193" s="3">
        <v>29</v>
      </c>
      <c r="D1193" s="13">
        <v>69.63</v>
      </c>
      <c r="E1193" s="5">
        <v>38307</v>
      </c>
      <c r="F1193" s="2" t="s">
        <v>13</v>
      </c>
      <c r="G1193" s="2" t="s">
        <v>14</v>
      </c>
      <c r="H1193" s="3">
        <v>4</v>
      </c>
      <c r="I1193" s="6">
        <v>2004</v>
      </c>
      <c r="J1193" s="2" t="s">
        <v>15</v>
      </c>
      <c r="K1193" s="2" t="s">
        <v>162</v>
      </c>
      <c r="L1193" s="7">
        <f t="shared" si="54"/>
        <v>2019.27</v>
      </c>
      <c r="M1193" s="2" t="str">
        <f t="shared" si="55"/>
        <v>November</v>
      </c>
      <c r="N1193" s="6">
        <f t="shared" si="56"/>
        <v>2004</v>
      </c>
    </row>
    <row r="1194" spans="1:14">
      <c r="A1194" s="2" t="s">
        <v>42</v>
      </c>
      <c r="B1194" s="3">
        <v>10342</v>
      </c>
      <c r="C1194" s="3">
        <v>26</v>
      </c>
      <c r="D1194" s="13">
        <v>55.95</v>
      </c>
      <c r="E1194" s="5">
        <v>38315</v>
      </c>
      <c r="F1194" s="2" t="s">
        <v>13</v>
      </c>
      <c r="G1194" s="2" t="s">
        <v>14</v>
      </c>
      <c r="H1194" s="3">
        <v>4</v>
      </c>
      <c r="I1194" s="6">
        <v>2004</v>
      </c>
      <c r="J1194" s="2" t="s">
        <v>15</v>
      </c>
      <c r="K1194" s="2" t="s">
        <v>43</v>
      </c>
      <c r="L1194" s="7">
        <f t="shared" si="54"/>
        <v>1454.7</v>
      </c>
      <c r="M1194" s="2" t="str">
        <f t="shared" si="55"/>
        <v>November</v>
      </c>
      <c r="N1194" s="6">
        <f t="shared" si="56"/>
        <v>2004</v>
      </c>
    </row>
    <row r="1195" spans="1:14">
      <c r="A1195" s="2" t="s">
        <v>69</v>
      </c>
      <c r="B1195" s="3">
        <v>10355</v>
      </c>
      <c r="C1195" s="3">
        <v>31</v>
      </c>
      <c r="D1195" s="13">
        <v>53.47</v>
      </c>
      <c r="E1195" s="5">
        <v>38328</v>
      </c>
      <c r="F1195" s="2" t="s">
        <v>13</v>
      </c>
      <c r="G1195" s="2" t="s">
        <v>14</v>
      </c>
      <c r="H1195" s="3">
        <v>4</v>
      </c>
      <c r="I1195" s="6">
        <v>2004</v>
      </c>
      <c r="J1195" s="2" t="s">
        <v>15</v>
      </c>
      <c r="K1195" s="2" t="s">
        <v>71</v>
      </c>
      <c r="L1195" s="7">
        <f t="shared" si="54"/>
        <v>1657.57</v>
      </c>
      <c r="M1195" s="2" t="str">
        <f t="shared" si="55"/>
        <v>December</v>
      </c>
      <c r="N1195" s="6">
        <f t="shared" si="56"/>
        <v>2004</v>
      </c>
    </row>
    <row r="1196" spans="1:14">
      <c r="A1196" s="2" t="s">
        <v>175</v>
      </c>
      <c r="B1196" s="3">
        <v>10363</v>
      </c>
      <c r="C1196" s="3">
        <v>32</v>
      </c>
      <c r="D1196" s="13">
        <v>89.12</v>
      </c>
      <c r="E1196" s="5">
        <v>38358</v>
      </c>
      <c r="F1196" s="2" t="s">
        <v>13</v>
      </c>
      <c r="G1196" s="2" t="s">
        <v>14</v>
      </c>
      <c r="H1196" s="3">
        <v>1</v>
      </c>
      <c r="I1196" s="6">
        <v>2005</v>
      </c>
      <c r="J1196" s="2" t="s">
        <v>15</v>
      </c>
      <c r="K1196" s="2" t="s">
        <v>176</v>
      </c>
      <c r="L1196" s="7">
        <f t="shared" si="54"/>
        <v>2851.84</v>
      </c>
      <c r="M1196" s="2" t="str">
        <f t="shared" si="55"/>
        <v>January</v>
      </c>
      <c r="N1196" s="6">
        <f t="shared" si="56"/>
        <v>2005</v>
      </c>
    </row>
    <row r="1197" spans="1:14">
      <c r="A1197" s="2" t="s">
        <v>69</v>
      </c>
      <c r="B1197" s="3">
        <v>10378</v>
      </c>
      <c r="C1197" s="3">
        <v>28</v>
      </c>
      <c r="D1197" s="13">
        <v>100</v>
      </c>
      <c r="E1197" s="5">
        <v>38393</v>
      </c>
      <c r="F1197" s="2" t="s">
        <v>13</v>
      </c>
      <c r="G1197" s="2" t="s">
        <v>14</v>
      </c>
      <c r="H1197" s="3">
        <v>1</v>
      </c>
      <c r="I1197" s="6">
        <v>2005</v>
      </c>
      <c r="J1197" s="2" t="s">
        <v>22</v>
      </c>
      <c r="K1197" s="2" t="s">
        <v>71</v>
      </c>
      <c r="L1197" s="7">
        <f t="shared" si="54"/>
        <v>2800</v>
      </c>
      <c r="M1197" s="2" t="str">
        <f t="shared" si="55"/>
        <v>February</v>
      </c>
      <c r="N1197" s="6">
        <f t="shared" si="56"/>
        <v>2005</v>
      </c>
    </row>
    <row r="1198" spans="1:14">
      <c r="A1198" s="2" t="s">
        <v>103</v>
      </c>
      <c r="B1198" s="3">
        <v>10390</v>
      </c>
      <c r="C1198" s="3">
        <v>36</v>
      </c>
      <c r="D1198" s="13">
        <v>100</v>
      </c>
      <c r="E1198" s="5">
        <v>38415</v>
      </c>
      <c r="F1198" s="2" t="s">
        <v>13</v>
      </c>
      <c r="G1198" s="2" t="s">
        <v>14</v>
      </c>
      <c r="H1198" s="3">
        <v>1</v>
      </c>
      <c r="I1198" s="6">
        <v>2005</v>
      </c>
      <c r="J1198" s="2" t="s">
        <v>22</v>
      </c>
      <c r="K1198" s="2" t="s">
        <v>104</v>
      </c>
      <c r="L1198" s="7">
        <f t="shared" si="54"/>
        <v>3600</v>
      </c>
      <c r="M1198" s="2" t="str">
        <f t="shared" si="55"/>
        <v>March</v>
      </c>
      <c r="N1198" s="6">
        <f t="shared" si="56"/>
        <v>2005</v>
      </c>
    </row>
    <row r="1199" spans="1:14">
      <c r="A1199" s="2" t="s">
        <v>67</v>
      </c>
      <c r="B1199" s="3">
        <v>10403</v>
      </c>
      <c r="C1199" s="3">
        <v>36</v>
      </c>
      <c r="D1199" s="13">
        <v>52.22</v>
      </c>
      <c r="E1199" s="5">
        <v>38450</v>
      </c>
      <c r="F1199" s="2" t="s">
        <v>13</v>
      </c>
      <c r="G1199" s="2" t="s">
        <v>14</v>
      </c>
      <c r="H1199" s="3">
        <v>2</v>
      </c>
      <c r="I1199" s="6">
        <v>2005</v>
      </c>
      <c r="J1199" s="2" t="s">
        <v>15</v>
      </c>
      <c r="K1199" s="2" t="s">
        <v>68</v>
      </c>
      <c r="L1199" s="7">
        <f t="shared" si="54"/>
        <v>1879.92</v>
      </c>
      <c r="M1199" s="2" t="str">
        <f t="shared" si="55"/>
        <v>April</v>
      </c>
      <c r="N1199" s="6">
        <f t="shared" si="56"/>
        <v>2005</v>
      </c>
    </row>
    <row r="1200" spans="1:14">
      <c r="A1200" s="2" t="s">
        <v>203</v>
      </c>
      <c r="B1200" s="3">
        <v>10106</v>
      </c>
      <c r="C1200" s="3">
        <v>41</v>
      </c>
      <c r="D1200" s="13">
        <v>100</v>
      </c>
      <c r="E1200" s="5">
        <v>37669</v>
      </c>
      <c r="F1200" s="2" t="s">
        <v>13</v>
      </c>
      <c r="G1200" s="2" t="s">
        <v>202</v>
      </c>
      <c r="H1200" s="3">
        <v>1</v>
      </c>
      <c r="I1200" s="6">
        <v>2003</v>
      </c>
      <c r="J1200" s="2" t="s">
        <v>22</v>
      </c>
      <c r="K1200" s="2" t="s">
        <v>204</v>
      </c>
      <c r="L1200" s="7">
        <f t="shared" si="54"/>
        <v>4100</v>
      </c>
      <c r="M1200" s="2" t="str">
        <f t="shared" si="55"/>
        <v>February</v>
      </c>
      <c r="N1200" s="6">
        <f t="shared" si="56"/>
        <v>2003</v>
      </c>
    </row>
    <row r="1201" spans="1:14">
      <c r="A1201" s="2" t="s">
        <v>60</v>
      </c>
      <c r="B1201" s="3">
        <v>10119</v>
      </c>
      <c r="C1201" s="3">
        <v>27</v>
      </c>
      <c r="D1201" s="13">
        <v>99.52</v>
      </c>
      <c r="E1201" s="5">
        <v>37739</v>
      </c>
      <c r="F1201" s="2" t="s">
        <v>13</v>
      </c>
      <c r="G1201" s="2" t="s">
        <v>202</v>
      </c>
      <c r="H1201" s="3">
        <v>2</v>
      </c>
      <c r="I1201" s="6">
        <v>2003</v>
      </c>
      <c r="J1201" s="2" t="s">
        <v>15</v>
      </c>
      <c r="K1201" s="2" t="s">
        <v>62</v>
      </c>
      <c r="L1201" s="7">
        <f t="shared" si="54"/>
        <v>2687.04</v>
      </c>
      <c r="M1201" s="2" t="str">
        <f t="shared" si="55"/>
        <v>April</v>
      </c>
      <c r="N1201" s="6">
        <f t="shared" si="56"/>
        <v>2003</v>
      </c>
    </row>
    <row r="1202" spans="1:14">
      <c r="A1202" s="2" t="s">
        <v>215</v>
      </c>
      <c r="B1202" s="3">
        <v>10130</v>
      </c>
      <c r="C1202" s="3">
        <v>33</v>
      </c>
      <c r="D1202" s="13">
        <v>100</v>
      </c>
      <c r="E1202" s="5">
        <v>37788</v>
      </c>
      <c r="F1202" s="2" t="s">
        <v>13</v>
      </c>
      <c r="G1202" s="2" t="s">
        <v>202</v>
      </c>
      <c r="H1202" s="3">
        <v>2</v>
      </c>
      <c r="I1202" s="6">
        <v>2003</v>
      </c>
      <c r="J1202" s="2" t="s">
        <v>22</v>
      </c>
      <c r="K1202" s="2" t="s">
        <v>216</v>
      </c>
      <c r="L1202" s="7">
        <f t="shared" si="54"/>
        <v>3300</v>
      </c>
      <c r="M1202" s="2" t="str">
        <f t="shared" si="55"/>
        <v>June</v>
      </c>
      <c r="N1202" s="6">
        <f t="shared" si="56"/>
        <v>2003</v>
      </c>
    </row>
    <row r="1203" spans="1:14">
      <c r="A1203" s="2" t="s">
        <v>126</v>
      </c>
      <c r="B1203" s="3">
        <v>10143</v>
      </c>
      <c r="C1203" s="3">
        <v>34</v>
      </c>
      <c r="D1203" s="13">
        <v>100</v>
      </c>
      <c r="E1203" s="5">
        <v>37843</v>
      </c>
      <c r="F1203" s="2" t="s">
        <v>13</v>
      </c>
      <c r="G1203" s="2" t="s">
        <v>202</v>
      </c>
      <c r="H1203" s="3">
        <v>3</v>
      </c>
      <c r="I1203" s="6">
        <v>2003</v>
      </c>
      <c r="J1203" s="2" t="s">
        <v>22</v>
      </c>
      <c r="K1203" s="2" t="s">
        <v>127</v>
      </c>
      <c r="L1203" s="7">
        <f t="shared" si="54"/>
        <v>3400</v>
      </c>
      <c r="M1203" s="2" t="str">
        <f t="shared" si="55"/>
        <v>August</v>
      </c>
      <c r="N1203" s="6">
        <f t="shared" si="56"/>
        <v>2003</v>
      </c>
    </row>
    <row r="1204" spans="1:14">
      <c r="A1204" s="2" t="s">
        <v>54</v>
      </c>
      <c r="B1204" s="3">
        <v>10155</v>
      </c>
      <c r="C1204" s="3">
        <v>29</v>
      </c>
      <c r="D1204" s="13">
        <v>100</v>
      </c>
      <c r="E1204" s="5">
        <v>37900</v>
      </c>
      <c r="F1204" s="2" t="s">
        <v>13</v>
      </c>
      <c r="G1204" s="2" t="s">
        <v>202</v>
      </c>
      <c r="H1204" s="3">
        <v>4</v>
      </c>
      <c r="I1204" s="6">
        <v>2003</v>
      </c>
      <c r="J1204" s="2" t="s">
        <v>22</v>
      </c>
      <c r="K1204" s="2" t="s">
        <v>55</v>
      </c>
      <c r="L1204" s="7">
        <f t="shared" si="54"/>
        <v>2900</v>
      </c>
      <c r="M1204" s="2" t="str">
        <f t="shared" si="55"/>
        <v>October</v>
      </c>
      <c r="N1204" s="6">
        <f t="shared" si="56"/>
        <v>2003</v>
      </c>
    </row>
    <row r="1205" spans="1:14">
      <c r="A1205" s="2" t="s">
        <v>99</v>
      </c>
      <c r="B1205" s="3">
        <v>10167</v>
      </c>
      <c r="C1205" s="3">
        <v>34</v>
      </c>
      <c r="D1205" s="13">
        <v>100</v>
      </c>
      <c r="E1205" s="5">
        <v>37917</v>
      </c>
      <c r="F1205" s="2" t="s">
        <v>128</v>
      </c>
      <c r="G1205" s="2" t="s">
        <v>202</v>
      </c>
      <c r="H1205" s="3">
        <v>4</v>
      </c>
      <c r="I1205" s="6">
        <v>2003</v>
      </c>
      <c r="J1205" s="2" t="s">
        <v>22</v>
      </c>
      <c r="K1205" s="2" t="s">
        <v>100</v>
      </c>
      <c r="L1205" s="7">
        <f t="shared" si="54"/>
        <v>3400</v>
      </c>
      <c r="M1205" s="2" t="str">
        <f t="shared" si="55"/>
        <v>October</v>
      </c>
      <c r="N1205" s="6">
        <f t="shared" si="56"/>
        <v>2003</v>
      </c>
    </row>
    <row r="1206" spans="1:14">
      <c r="A1206" s="2" t="s">
        <v>129</v>
      </c>
      <c r="B1206" s="3">
        <v>10178</v>
      </c>
      <c r="C1206" s="3">
        <v>48</v>
      </c>
      <c r="D1206" s="13">
        <v>100</v>
      </c>
      <c r="E1206" s="5">
        <v>37933</v>
      </c>
      <c r="F1206" s="2" t="s">
        <v>13</v>
      </c>
      <c r="G1206" s="2" t="s">
        <v>202</v>
      </c>
      <c r="H1206" s="3">
        <v>4</v>
      </c>
      <c r="I1206" s="6">
        <v>2003</v>
      </c>
      <c r="J1206" s="2" t="s">
        <v>22</v>
      </c>
      <c r="K1206" s="2" t="s">
        <v>130</v>
      </c>
      <c r="L1206" s="7">
        <f t="shared" si="54"/>
        <v>4800</v>
      </c>
      <c r="M1206" s="2" t="str">
        <f t="shared" si="55"/>
        <v>November</v>
      </c>
      <c r="N1206" s="6">
        <f t="shared" si="56"/>
        <v>2003</v>
      </c>
    </row>
    <row r="1207" spans="1:14">
      <c r="A1207" s="2" t="s">
        <v>131</v>
      </c>
      <c r="B1207" s="3">
        <v>10186</v>
      </c>
      <c r="C1207" s="3">
        <v>46</v>
      </c>
      <c r="D1207" s="13">
        <v>100</v>
      </c>
      <c r="E1207" s="5">
        <v>37939</v>
      </c>
      <c r="F1207" s="2" t="s">
        <v>13</v>
      </c>
      <c r="G1207" s="2" t="s">
        <v>202</v>
      </c>
      <c r="H1207" s="3">
        <v>4</v>
      </c>
      <c r="I1207" s="6">
        <v>2003</v>
      </c>
      <c r="J1207" s="2" t="s">
        <v>22</v>
      </c>
      <c r="K1207" s="2" t="s">
        <v>132</v>
      </c>
      <c r="L1207" s="7">
        <f t="shared" si="54"/>
        <v>4600</v>
      </c>
      <c r="M1207" s="2" t="str">
        <f t="shared" si="55"/>
        <v>November</v>
      </c>
      <c r="N1207" s="6">
        <f t="shared" si="56"/>
        <v>2003</v>
      </c>
    </row>
    <row r="1208" spans="1:14">
      <c r="A1208" s="2" t="s">
        <v>133</v>
      </c>
      <c r="B1208" s="3">
        <v>10197</v>
      </c>
      <c r="C1208" s="3">
        <v>22</v>
      </c>
      <c r="D1208" s="13">
        <v>100</v>
      </c>
      <c r="E1208" s="5">
        <v>37951</v>
      </c>
      <c r="F1208" s="2" t="s">
        <v>13</v>
      </c>
      <c r="G1208" s="2" t="s">
        <v>202</v>
      </c>
      <c r="H1208" s="3">
        <v>4</v>
      </c>
      <c r="I1208" s="6">
        <v>2003</v>
      </c>
      <c r="J1208" s="2" t="s">
        <v>15</v>
      </c>
      <c r="K1208" s="2" t="s">
        <v>134</v>
      </c>
      <c r="L1208" s="7">
        <f t="shared" si="54"/>
        <v>2200</v>
      </c>
      <c r="M1208" s="2" t="str">
        <f t="shared" si="55"/>
        <v>November</v>
      </c>
      <c r="N1208" s="6">
        <f t="shared" si="56"/>
        <v>2003</v>
      </c>
    </row>
    <row r="1209" spans="1:14">
      <c r="A1209" s="2" t="s">
        <v>135</v>
      </c>
      <c r="B1209" s="3">
        <v>10209</v>
      </c>
      <c r="C1209" s="3">
        <v>20</v>
      </c>
      <c r="D1209" s="13">
        <v>100</v>
      </c>
      <c r="E1209" s="5">
        <v>37995</v>
      </c>
      <c r="F1209" s="2" t="s">
        <v>13</v>
      </c>
      <c r="G1209" s="2" t="s">
        <v>202</v>
      </c>
      <c r="H1209" s="3">
        <v>1</v>
      </c>
      <c r="I1209" s="6">
        <v>2004</v>
      </c>
      <c r="J1209" s="2" t="s">
        <v>15</v>
      </c>
      <c r="K1209" s="2" t="s">
        <v>136</v>
      </c>
      <c r="L1209" s="7">
        <f t="shared" si="54"/>
        <v>2000</v>
      </c>
      <c r="M1209" s="2" t="str">
        <f t="shared" si="55"/>
        <v>January</v>
      </c>
      <c r="N1209" s="6">
        <f t="shared" si="56"/>
        <v>2004</v>
      </c>
    </row>
    <row r="1210" spans="1:14">
      <c r="A1210" s="2" t="s">
        <v>137</v>
      </c>
      <c r="B1210" s="3">
        <v>10222</v>
      </c>
      <c r="C1210" s="3">
        <v>45</v>
      </c>
      <c r="D1210" s="13">
        <v>85.75</v>
      </c>
      <c r="E1210" s="5">
        <v>38036</v>
      </c>
      <c r="F1210" s="2" t="s">
        <v>13</v>
      </c>
      <c r="G1210" s="2" t="s">
        <v>202</v>
      </c>
      <c r="H1210" s="3">
        <v>1</v>
      </c>
      <c r="I1210" s="6">
        <v>2004</v>
      </c>
      <c r="J1210" s="2" t="s">
        <v>22</v>
      </c>
      <c r="K1210" s="2" t="s">
        <v>138</v>
      </c>
      <c r="L1210" s="7">
        <f t="shared" si="54"/>
        <v>3858.75</v>
      </c>
      <c r="M1210" s="2" t="str">
        <f t="shared" si="55"/>
        <v>February</v>
      </c>
      <c r="N1210" s="6">
        <f t="shared" si="56"/>
        <v>2004</v>
      </c>
    </row>
    <row r="1211" spans="1:14">
      <c r="A1211" s="2" t="s">
        <v>91</v>
      </c>
      <c r="B1211" s="3">
        <v>10249</v>
      </c>
      <c r="C1211" s="3">
        <v>46</v>
      </c>
      <c r="D1211" s="13">
        <v>100</v>
      </c>
      <c r="E1211" s="5">
        <v>38115</v>
      </c>
      <c r="F1211" s="2" t="s">
        <v>13</v>
      </c>
      <c r="G1211" s="2" t="s">
        <v>202</v>
      </c>
      <c r="H1211" s="3">
        <v>2</v>
      </c>
      <c r="I1211" s="6">
        <v>2004</v>
      </c>
      <c r="J1211" s="2" t="s">
        <v>22</v>
      </c>
      <c r="K1211" s="2" t="s">
        <v>92</v>
      </c>
      <c r="L1211" s="7">
        <f t="shared" si="54"/>
        <v>4600</v>
      </c>
      <c r="M1211" s="2" t="str">
        <f t="shared" si="55"/>
        <v>May</v>
      </c>
      <c r="N1211" s="6">
        <f t="shared" si="56"/>
        <v>2004</v>
      </c>
    </row>
    <row r="1212" spans="1:14">
      <c r="A1212" s="2" t="s">
        <v>69</v>
      </c>
      <c r="B1212" s="3">
        <v>10262</v>
      </c>
      <c r="C1212" s="3">
        <v>34</v>
      </c>
      <c r="D1212" s="13">
        <v>100</v>
      </c>
      <c r="E1212" s="5">
        <v>38162</v>
      </c>
      <c r="F1212" s="2" t="s">
        <v>128</v>
      </c>
      <c r="G1212" s="2" t="s">
        <v>202</v>
      </c>
      <c r="H1212" s="3">
        <v>2</v>
      </c>
      <c r="I1212" s="6">
        <v>2004</v>
      </c>
      <c r="J1212" s="2" t="s">
        <v>22</v>
      </c>
      <c r="K1212" s="2" t="s">
        <v>71</v>
      </c>
      <c r="L1212" s="7">
        <f t="shared" si="54"/>
        <v>3400</v>
      </c>
      <c r="M1212" s="2" t="str">
        <f t="shared" si="55"/>
        <v>June</v>
      </c>
      <c r="N1212" s="6">
        <f t="shared" si="56"/>
        <v>2004</v>
      </c>
    </row>
    <row r="1213" spans="1:14">
      <c r="A1213" s="2" t="s">
        <v>139</v>
      </c>
      <c r="B1213" s="3">
        <v>10273</v>
      </c>
      <c r="C1213" s="3">
        <v>50</v>
      </c>
      <c r="D1213" s="13">
        <v>85.75</v>
      </c>
      <c r="E1213" s="5">
        <v>38189</v>
      </c>
      <c r="F1213" s="2" t="s">
        <v>13</v>
      </c>
      <c r="G1213" s="2" t="s">
        <v>202</v>
      </c>
      <c r="H1213" s="3">
        <v>3</v>
      </c>
      <c r="I1213" s="6">
        <v>2004</v>
      </c>
      <c r="J1213" s="2" t="s">
        <v>22</v>
      </c>
      <c r="K1213" s="2" t="s">
        <v>140</v>
      </c>
      <c r="L1213" s="7">
        <f t="shared" si="54"/>
        <v>4287.5</v>
      </c>
      <c r="M1213" s="2" t="str">
        <f t="shared" si="55"/>
        <v>July</v>
      </c>
      <c r="N1213" s="6">
        <f t="shared" si="56"/>
        <v>2004</v>
      </c>
    </row>
    <row r="1214" spans="1:14">
      <c r="A1214" s="2" t="s">
        <v>141</v>
      </c>
      <c r="B1214" s="3">
        <v>10283</v>
      </c>
      <c r="C1214" s="3">
        <v>46</v>
      </c>
      <c r="D1214" s="13">
        <v>100</v>
      </c>
      <c r="E1214" s="5">
        <v>38219</v>
      </c>
      <c r="F1214" s="2" t="s">
        <v>13</v>
      </c>
      <c r="G1214" s="2" t="s">
        <v>202</v>
      </c>
      <c r="H1214" s="3">
        <v>3</v>
      </c>
      <c r="I1214" s="6">
        <v>2004</v>
      </c>
      <c r="J1214" s="2" t="s">
        <v>22</v>
      </c>
      <c r="K1214" s="2" t="s">
        <v>142</v>
      </c>
      <c r="L1214" s="7">
        <f t="shared" si="54"/>
        <v>4600</v>
      </c>
      <c r="M1214" s="2" t="str">
        <f t="shared" si="55"/>
        <v>August</v>
      </c>
      <c r="N1214" s="6">
        <f t="shared" si="56"/>
        <v>2004</v>
      </c>
    </row>
    <row r="1215" spans="1:14">
      <c r="A1215" s="2" t="s">
        <v>210</v>
      </c>
      <c r="B1215" s="3">
        <v>10296</v>
      </c>
      <c r="C1215" s="3">
        <v>22</v>
      </c>
      <c r="D1215" s="13">
        <v>84.7</v>
      </c>
      <c r="E1215" s="5">
        <v>38245</v>
      </c>
      <c r="F1215" s="2" t="s">
        <v>13</v>
      </c>
      <c r="G1215" s="2" t="s">
        <v>202</v>
      </c>
      <c r="H1215" s="3">
        <v>3</v>
      </c>
      <c r="I1215" s="6">
        <v>2004</v>
      </c>
      <c r="J1215" s="2" t="s">
        <v>15</v>
      </c>
      <c r="K1215" s="2" t="s">
        <v>211</v>
      </c>
      <c r="L1215" s="7">
        <f t="shared" si="54"/>
        <v>1863.4</v>
      </c>
      <c r="M1215" s="2" t="str">
        <f t="shared" si="55"/>
        <v>September</v>
      </c>
      <c r="N1215" s="6">
        <f t="shared" si="56"/>
        <v>2004</v>
      </c>
    </row>
    <row r="1216" spans="1:14">
      <c r="A1216" s="2" t="s">
        <v>83</v>
      </c>
      <c r="B1216" s="3">
        <v>10307</v>
      </c>
      <c r="C1216" s="3">
        <v>48</v>
      </c>
      <c r="D1216" s="13">
        <v>86.81</v>
      </c>
      <c r="E1216" s="5">
        <v>38274</v>
      </c>
      <c r="F1216" s="2" t="s">
        <v>13</v>
      </c>
      <c r="G1216" s="2" t="s">
        <v>202</v>
      </c>
      <c r="H1216" s="3">
        <v>4</v>
      </c>
      <c r="I1216" s="6">
        <v>2004</v>
      </c>
      <c r="J1216" s="2" t="s">
        <v>22</v>
      </c>
      <c r="K1216" s="2" t="s">
        <v>84</v>
      </c>
      <c r="L1216" s="7">
        <f t="shared" si="54"/>
        <v>4166.88</v>
      </c>
      <c r="M1216" s="2" t="str">
        <f t="shared" si="55"/>
        <v>October</v>
      </c>
      <c r="N1216" s="6">
        <f t="shared" si="56"/>
        <v>2004</v>
      </c>
    </row>
    <row r="1217" spans="1:14">
      <c r="A1217" s="2" t="s">
        <v>145</v>
      </c>
      <c r="B1217" s="3">
        <v>10316</v>
      </c>
      <c r="C1217" s="3">
        <v>47</v>
      </c>
      <c r="D1217" s="13">
        <v>86.81</v>
      </c>
      <c r="E1217" s="5">
        <v>38292</v>
      </c>
      <c r="F1217" s="2" t="s">
        <v>13</v>
      </c>
      <c r="G1217" s="2" t="s">
        <v>202</v>
      </c>
      <c r="H1217" s="3">
        <v>4</v>
      </c>
      <c r="I1217" s="6">
        <v>2004</v>
      </c>
      <c r="J1217" s="2" t="s">
        <v>22</v>
      </c>
      <c r="K1217" s="2" t="s">
        <v>146</v>
      </c>
      <c r="L1217" s="7">
        <f t="shared" si="54"/>
        <v>4080.07</v>
      </c>
      <c r="M1217" s="2" t="str">
        <f t="shared" si="55"/>
        <v>November</v>
      </c>
      <c r="N1217" s="6">
        <f t="shared" si="56"/>
        <v>2004</v>
      </c>
    </row>
    <row r="1218" spans="1:14">
      <c r="A1218" s="2" t="s">
        <v>203</v>
      </c>
      <c r="B1218" s="3">
        <v>10328</v>
      </c>
      <c r="C1218" s="3">
        <v>34</v>
      </c>
      <c r="D1218" s="13">
        <v>100</v>
      </c>
      <c r="E1218" s="5">
        <v>38303</v>
      </c>
      <c r="F1218" s="2" t="s">
        <v>13</v>
      </c>
      <c r="G1218" s="2" t="s">
        <v>202</v>
      </c>
      <c r="H1218" s="3">
        <v>4</v>
      </c>
      <c r="I1218" s="6">
        <v>2004</v>
      </c>
      <c r="J1218" s="2" t="s">
        <v>22</v>
      </c>
      <c r="K1218" s="2" t="s">
        <v>204</v>
      </c>
      <c r="L1218" s="7">
        <f t="shared" ref="L1218:L1281" si="57">PRODUCT(C1218,D1218)</f>
        <v>3400</v>
      </c>
      <c r="M1218" s="2" t="str">
        <f t="shared" ref="M1218:M1281" si="58">TEXT(E1218,"MMMM")</f>
        <v>November</v>
      </c>
      <c r="N1218" s="6">
        <f t="shared" ref="N1218:N1281" si="59">YEAR(E1218)</f>
        <v>2004</v>
      </c>
    </row>
    <row r="1219" spans="1:14">
      <c r="A1219" s="2" t="s">
        <v>212</v>
      </c>
      <c r="B1219" s="3">
        <v>10338</v>
      </c>
      <c r="C1219" s="3">
        <v>45</v>
      </c>
      <c r="D1219" s="13">
        <v>100</v>
      </c>
      <c r="E1219" s="5">
        <v>38313</v>
      </c>
      <c r="F1219" s="2" t="s">
        <v>13</v>
      </c>
      <c r="G1219" s="2" t="s">
        <v>202</v>
      </c>
      <c r="H1219" s="3">
        <v>4</v>
      </c>
      <c r="I1219" s="6">
        <v>2004</v>
      </c>
      <c r="J1219" s="2" t="s">
        <v>22</v>
      </c>
      <c r="K1219" s="2" t="s">
        <v>213</v>
      </c>
      <c r="L1219" s="7">
        <f t="shared" si="57"/>
        <v>4500</v>
      </c>
      <c r="M1219" s="2" t="str">
        <f t="shared" si="58"/>
        <v>November</v>
      </c>
      <c r="N1219" s="6">
        <f t="shared" si="59"/>
        <v>2004</v>
      </c>
    </row>
    <row r="1220" spans="1:14">
      <c r="A1220" s="2" t="s">
        <v>124</v>
      </c>
      <c r="B1220" s="3">
        <v>10351</v>
      </c>
      <c r="C1220" s="3">
        <v>20</v>
      </c>
      <c r="D1220" s="13">
        <v>100</v>
      </c>
      <c r="E1220" s="5">
        <v>38324</v>
      </c>
      <c r="F1220" s="2" t="s">
        <v>13</v>
      </c>
      <c r="G1220" s="2" t="s">
        <v>202</v>
      </c>
      <c r="H1220" s="3">
        <v>4</v>
      </c>
      <c r="I1220" s="6">
        <v>2004</v>
      </c>
      <c r="J1220" s="2" t="s">
        <v>22</v>
      </c>
      <c r="K1220" s="2" t="s">
        <v>125</v>
      </c>
      <c r="L1220" s="7">
        <f t="shared" si="57"/>
        <v>2000</v>
      </c>
      <c r="M1220" s="2" t="str">
        <f t="shared" si="58"/>
        <v>December</v>
      </c>
      <c r="N1220" s="6">
        <f t="shared" si="59"/>
        <v>2004</v>
      </c>
    </row>
    <row r="1221" spans="1:14">
      <c r="A1221" s="2" t="s">
        <v>147</v>
      </c>
      <c r="B1221" s="3">
        <v>10373</v>
      </c>
      <c r="C1221" s="3">
        <v>50</v>
      </c>
      <c r="D1221" s="13">
        <v>60.49</v>
      </c>
      <c r="E1221" s="5">
        <v>38383</v>
      </c>
      <c r="F1221" s="2" t="s">
        <v>13</v>
      </c>
      <c r="G1221" s="2" t="s">
        <v>202</v>
      </c>
      <c r="H1221" s="3">
        <v>1</v>
      </c>
      <c r="I1221" s="6">
        <v>2005</v>
      </c>
      <c r="J1221" s="2" t="s">
        <v>22</v>
      </c>
      <c r="K1221" s="2" t="s">
        <v>148</v>
      </c>
      <c r="L1221" s="7">
        <f t="shared" si="57"/>
        <v>3024.5</v>
      </c>
      <c r="M1221" s="2" t="str">
        <f t="shared" si="58"/>
        <v>January</v>
      </c>
      <c r="N1221" s="6">
        <f t="shared" si="59"/>
        <v>2005</v>
      </c>
    </row>
    <row r="1222" spans="1:14">
      <c r="A1222" s="2" t="s">
        <v>69</v>
      </c>
      <c r="B1222" s="3">
        <v>10386</v>
      </c>
      <c r="C1222" s="3">
        <v>22</v>
      </c>
      <c r="D1222" s="13">
        <v>57.55</v>
      </c>
      <c r="E1222" s="5">
        <v>38412</v>
      </c>
      <c r="F1222" s="2" t="s">
        <v>155</v>
      </c>
      <c r="G1222" s="2" t="s">
        <v>202</v>
      </c>
      <c r="H1222" s="3">
        <v>1</v>
      </c>
      <c r="I1222" s="6">
        <v>2005</v>
      </c>
      <c r="J1222" s="2" t="s">
        <v>15</v>
      </c>
      <c r="K1222" s="2" t="s">
        <v>71</v>
      </c>
      <c r="L1222" s="7">
        <f t="shared" si="57"/>
        <v>1266.1</v>
      </c>
      <c r="M1222" s="2" t="str">
        <f t="shared" si="58"/>
        <v>March</v>
      </c>
      <c r="N1222" s="6">
        <f t="shared" si="59"/>
        <v>2005</v>
      </c>
    </row>
    <row r="1223" spans="1:14">
      <c r="A1223" s="2" t="s">
        <v>18</v>
      </c>
      <c r="B1223" s="3">
        <v>10398</v>
      </c>
      <c r="C1223" s="3">
        <v>45</v>
      </c>
      <c r="D1223" s="13">
        <v>100</v>
      </c>
      <c r="E1223" s="5">
        <v>38441</v>
      </c>
      <c r="F1223" s="2" t="s">
        <v>13</v>
      </c>
      <c r="G1223" s="2" t="s">
        <v>202</v>
      </c>
      <c r="H1223" s="3">
        <v>1</v>
      </c>
      <c r="I1223" s="6">
        <v>2005</v>
      </c>
      <c r="J1223" s="2" t="s">
        <v>22</v>
      </c>
      <c r="K1223" s="2" t="s">
        <v>19</v>
      </c>
      <c r="L1223" s="7">
        <f t="shared" si="57"/>
        <v>4500</v>
      </c>
      <c r="M1223" s="2" t="str">
        <f t="shared" si="58"/>
        <v>March</v>
      </c>
      <c r="N1223" s="6">
        <f t="shared" si="59"/>
        <v>2005</v>
      </c>
    </row>
    <row r="1224" spans="1:14">
      <c r="A1224" s="2" t="s">
        <v>149</v>
      </c>
      <c r="B1224" s="3">
        <v>10400</v>
      </c>
      <c r="C1224" s="3">
        <v>58</v>
      </c>
      <c r="D1224" s="13">
        <v>100</v>
      </c>
      <c r="E1224" s="5">
        <v>38443</v>
      </c>
      <c r="F1224" s="2" t="s">
        <v>13</v>
      </c>
      <c r="G1224" s="2" t="s">
        <v>202</v>
      </c>
      <c r="H1224" s="3">
        <v>2</v>
      </c>
      <c r="I1224" s="6">
        <v>2005</v>
      </c>
      <c r="J1224" s="2" t="s">
        <v>61</v>
      </c>
      <c r="K1224" s="2" t="s">
        <v>150</v>
      </c>
      <c r="L1224" s="7">
        <f t="shared" si="57"/>
        <v>5800</v>
      </c>
      <c r="M1224" s="2" t="str">
        <f t="shared" si="58"/>
        <v>April</v>
      </c>
      <c r="N1224" s="6">
        <f t="shared" si="59"/>
        <v>2005</v>
      </c>
    </row>
    <row r="1225" spans="1:14">
      <c r="A1225" s="2" t="s">
        <v>205</v>
      </c>
      <c r="B1225" s="3">
        <v>10415</v>
      </c>
      <c r="C1225" s="3">
        <v>51</v>
      </c>
      <c r="D1225" s="13">
        <v>100</v>
      </c>
      <c r="E1225" s="5">
        <v>38481</v>
      </c>
      <c r="F1225" s="2" t="s">
        <v>70</v>
      </c>
      <c r="G1225" s="2" t="s">
        <v>202</v>
      </c>
      <c r="H1225" s="3">
        <v>2</v>
      </c>
      <c r="I1225" s="6">
        <v>2005</v>
      </c>
      <c r="J1225" s="2" t="s">
        <v>22</v>
      </c>
      <c r="K1225" s="2" t="s">
        <v>206</v>
      </c>
      <c r="L1225" s="7">
        <f t="shared" si="57"/>
        <v>5100</v>
      </c>
      <c r="M1225" s="2" t="str">
        <f t="shared" si="58"/>
        <v>May</v>
      </c>
      <c r="N1225" s="6">
        <f t="shared" si="59"/>
        <v>2005</v>
      </c>
    </row>
    <row r="1226" spans="1:14">
      <c r="A1226" s="2" t="s">
        <v>69</v>
      </c>
      <c r="B1226" s="3">
        <v>10104</v>
      </c>
      <c r="C1226" s="3">
        <v>38</v>
      </c>
      <c r="D1226" s="13">
        <v>100</v>
      </c>
      <c r="E1226" s="5">
        <v>37652</v>
      </c>
      <c r="F1226" s="2" t="s">
        <v>13</v>
      </c>
      <c r="G1226" s="2" t="s">
        <v>72</v>
      </c>
      <c r="H1226" s="3">
        <v>1</v>
      </c>
      <c r="I1226" s="6">
        <v>2003</v>
      </c>
      <c r="J1226" s="2" t="s">
        <v>22</v>
      </c>
      <c r="K1226" s="2" t="s">
        <v>71</v>
      </c>
      <c r="L1226" s="7">
        <f t="shared" si="57"/>
        <v>3800</v>
      </c>
      <c r="M1226" s="2" t="str">
        <f t="shared" si="58"/>
        <v>January</v>
      </c>
      <c r="N1226" s="6">
        <f t="shared" si="59"/>
        <v>2003</v>
      </c>
    </row>
    <row r="1227" spans="1:14">
      <c r="A1227" s="2" t="s">
        <v>77</v>
      </c>
      <c r="B1227" s="3">
        <v>10117</v>
      </c>
      <c r="C1227" s="3">
        <v>22</v>
      </c>
      <c r="D1227" s="13">
        <v>100</v>
      </c>
      <c r="E1227" s="5">
        <v>37727</v>
      </c>
      <c r="F1227" s="2" t="s">
        <v>13</v>
      </c>
      <c r="G1227" s="2" t="s">
        <v>72</v>
      </c>
      <c r="H1227" s="3">
        <v>2</v>
      </c>
      <c r="I1227" s="6">
        <v>2003</v>
      </c>
      <c r="J1227" s="2" t="s">
        <v>15</v>
      </c>
      <c r="K1227" s="2" t="s">
        <v>78</v>
      </c>
      <c r="L1227" s="7">
        <f t="shared" si="57"/>
        <v>2200</v>
      </c>
      <c r="M1227" s="2" t="str">
        <f t="shared" si="58"/>
        <v>April</v>
      </c>
      <c r="N1227" s="6">
        <f t="shared" si="59"/>
        <v>2003</v>
      </c>
    </row>
    <row r="1228" spans="1:14">
      <c r="A1228" s="2" t="s">
        <v>177</v>
      </c>
      <c r="B1228" s="3">
        <v>10127</v>
      </c>
      <c r="C1228" s="3">
        <v>25</v>
      </c>
      <c r="D1228" s="13">
        <v>100</v>
      </c>
      <c r="E1228" s="5">
        <v>37775</v>
      </c>
      <c r="F1228" s="2" t="s">
        <v>13</v>
      </c>
      <c r="G1228" s="2" t="s">
        <v>72</v>
      </c>
      <c r="H1228" s="3">
        <v>2</v>
      </c>
      <c r="I1228" s="6">
        <v>2003</v>
      </c>
      <c r="J1228" s="2" t="s">
        <v>22</v>
      </c>
      <c r="K1228" s="2" t="s">
        <v>178</v>
      </c>
      <c r="L1228" s="7">
        <f t="shared" si="57"/>
        <v>2500</v>
      </c>
      <c r="M1228" s="2" t="str">
        <f t="shared" si="58"/>
        <v>June</v>
      </c>
      <c r="N1228" s="6">
        <f t="shared" si="59"/>
        <v>2003</v>
      </c>
    </row>
    <row r="1229" spans="1:14">
      <c r="A1229" s="2" t="s">
        <v>103</v>
      </c>
      <c r="B1229" s="3">
        <v>10142</v>
      </c>
      <c r="C1229" s="3">
        <v>24</v>
      </c>
      <c r="D1229" s="13">
        <v>100</v>
      </c>
      <c r="E1229" s="5">
        <v>37841</v>
      </c>
      <c r="F1229" s="2" t="s">
        <v>13</v>
      </c>
      <c r="G1229" s="2" t="s">
        <v>72</v>
      </c>
      <c r="H1229" s="3">
        <v>3</v>
      </c>
      <c r="I1229" s="6">
        <v>2003</v>
      </c>
      <c r="J1229" s="2" t="s">
        <v>22</v>
      </c>
      <c r="K1229" s="2" t="s">
        <v>104</v>
      </c>
      <c r="L1229" s="7">
        <f t="shared" si="57"/>
        <v>2400</v>
      </c>
      <c r="M1229" s="2" t="str">
        <f t="shared" si="58"/>
        <v>August</v>
      </c>
      <c r="N1229" s="6">
        <f t="shared" si="59"/>
        <v>2003</v>
      </c>
    </row>
    <row r="1230" spans="1:14">
      <c r="A1230" s="2" t="s">
        <v>81</v>
      </c>
      <c r="B1230" s="3">
        <v>10152</v>
      </c>
      <c r="C1230" s="3">
        <v>35</v>
      </c>
      <c r="D1230" s="13">
        <v>100</v>
      </c>
      <c r="E1230" s="5">
        <v>37889</v>
      </c>
      <c r="F1230" s="2" t="s">
        <v>13</v>
      </c>
      <c r="G1230" s="2" t="s">
        <v>72</v>
      </c>
      <c r="H1230" s="3">
        <v>3</v>
      </c>
      <c r="I1230" s="6">
        <v>2003</v>
      </c>
      <c r="J1230" s="2" t="s">
        <v>22</v>
      </c>
      <c r="K1230" s="2" t="s">
        <v>82</v>
      </c>
      <c r="L1230" s="7">
        <f t="shared" si="57"/>
        <v>3500</v>
      </c>
      <c r="M1230" s="2" t="str">
        <f t="shared" si="58"/>
        <v>September</v>
      </c>
      <c r="N1230" s="6">
        <f t="shared" si="59"/>
        <v>2003</v>
      </c>
    </row>
    <row r="1231" spans="1:14">
      <c r="A1231" s="2" t="s">
        <v>77</v>
      </c>
      <c r="B1231" s="3">
        <v>10165</v>
      </c>
      <c r="C1231" s="3">
        <v>28</v>
      </c>
      <c r="D1231" s="13">
        <v>100</v>
      </c>
      <c r="E1231" s="5">
        <v>37916</v>
      </c>
      <c r="F1231" s="2" t="s">
        <v>13</v>
      </c>
      <c r="G1231" s="2" t="s">
        <v>72</v>
      </c>
      <c r="H1231" s="3">
        <v>4</v>
      </c>
      <c r="I1231" s="6">
        <v>2003</v>
      </c>
      <c r="J1231" s="2" t="s">
        <v>22</v>
      </c>
      <c r="K1231" s="2" t="s">
        <v>78</v>
      </c>
      <c r="L1231" s="7">
        <f t="shared" si="57"/>
        <v>2800</v>
      </c>
      <c r="M1231" s="2" t="str">
        <f t="shared" si="58"/>
        <v>October</v>
      </c>
      <c r="N1231" s="6">
        <f t="shared" si="59"/>
        <v>2003</v>
      </c>
    </row>
    <row r="1232" spans="1:14">
      <c r="A1232" s="2" t="s">
        <v>169</v>
      </c>
      <c r="B1232" s="3">
        <v>10176</v>
      </c>
      <c r="C1232" s="3">
        <v>36</v>
      </c>
      <c r="D1232" s="13">
        <v>100</v>
      </c>
      <c r="E1232" s="5">
        <v>37931</v>
      </c>
      <c r="F1232" s="2" t="s">
        <v>13</v>
      </c>
      <c r="G1232" s="2" t="s">
        <v>72</v>
      </c>
      <c r="H1232" s="3">
        <v>4</v>
      </c>
      <c r="I1232" s="6">
        <v>2003</v>
      </c>
      <c r="J1232" s="2" t="s">
        <v>22</v>
      </c>
      <c r="K1232" s="2" t="s">
        <v>170</v>
      </c>
      <c r="L1232" s="7">
        <f t="shared" si="57"/>
        <v>3600</v>
      </c>
      <c r="M1232" s="2" t="str">
        <f t="shared" si="58"/>
        <v>November</v>
      </c>
      <c r="N1232" s="6">
        <f t="shared" si="59"/>
        <v>2003</v>
      </c>
    </row>
    <row r="1233" spans="1:14">
      <c r="A1233" s="2" t="s">
        <v>126</v>
      </c>
      <c r="B1233" s="3">
        <v>10185</v>
      </c>
      <c r="C1233" s="3">
        <v>39</v>
      </c>
      <c r="D1233" s="13">
        <v>100</v>
      </c>
      <c r="E1233" s="5">
        <v>37939</v>
      </c>
      <c r="F1233" s="2" t="s">
        <v>13</v>
      </c>
      <c r="G1233" s="2" t="s">
        <v>72</v>
      </c>
      <c r="H1233" s="3">
        <v>4</v>
      </c>
      <c r="I1233" s="6">
        <v>2003</v>
      </c>
      <c r="J1233" s="2" t="s">
        <v>22</v>
      </c>
      <c r="K1233" s="2" t="s">
        <v>127</v>
      </c>
      <c r="L1233" s="7">
        <f t="shared" si="57"/>
        <v>3900</v>
      </c>
      <c r="M1233" s="2" t="str">
        <f t="shared" si="58"/>
        <v>November</v>
      </c>
      <c r="N1233" s="6">
        <f t="shared" si="59"/>
        <v>2003</v>
      </c>
    </row>
    <row r="1234" spans="1:14">
      <c r="A1234" s="2" t="s">
        <v>93</v>
      </c>
      <c r="B1234" s="3">
        <v>10196</v>
      </c>
      <c r="C1234" s="3">
        <v>27</v>
      </c>
      <c r="D1234" s="13">
        <v>100</v>
      </c>
      <c r="E1234" s="5">
        <v>37951</v>
      </c>
      <c r="F1234" s="2" t="s">
        <v>13</v>
      </c>
      <c r="G1234" s="2" t="s">
        <v>72</v>
      </c>
      <c r="H1234" s="3">
        <v>4</v>
      </c>
      <c r="I1234" s="6">
        <v>2003</v>
      </c>
      <c r="J1234" s="2" t="s">
        <v>22</v>
      </c>
      <c r="K1234" s="2" t="s">
        <v>94</v>
      </c>
      <c r="L1234" s="7">
        <f t="shared" si="57"/>
        <v>2700</v>
      </c>
      <c r="M1234" s="2" t="str">
        <f t="shared" si="58"/>
        <v>November</v>
      </c>
      <c r="N1234" s="6">
        <f t="shared" si="59"/>
        <v>2003</v>
      </c>
    </row>
    <row r="1235" spans="1:14">
      <c r="A1235" s="2" t="s">
        <v>157</v>
      </c>
      <c r="B1235" s="3">
        <v>10207</v>
      </c>
      <c r="C1235" s="3">
        <v>40</v>
      </c>
      <c r="D1235" s="13">
        <v>100</v>
      </c>
      <c r="E1235" s="5">
        <v>37964</v>
      </c>
      <c r="F1235" s="2" t="s">
        <v>13</v>
      </c>
      <c r="G1235" s="2" t="s">
        <v>72</v>
      </c>
      <c r="H1235" s="3">
        <v>4</v>
      </c>
      <c r="I1235" s="6">
        <v>2003</v>
      </c>
      <c r="J1235" s="2" t="s">
        <v>22</v>
      </c>
      <c r="K1235" s="2" t="s">
        <v>158</v>
      </c>
      <c r="L1235" s="7">
        <f t="shared" si="57"/>
        <v>4000</v>
      </c>
      <c r="M1235" s="2" t="str">
        <f t="shared" si="58"/>
        <v>December</v>
      </c>
      <c r="N1235" s="6">
        <f t="shared" si="59"/>
        <v>2003</v>
      </c>
    </row>
    <row r="1236" spans="1:14">
      <c r="A1236" s="2" t="s">
        <v>179</v>
      </c>
      <c r="B1236" s="3">
        <v>10220</v>
      </c>
      <c r="C1236" s="3">
        <v>50</v>
      </c>
      <c r="D1236" s="13">
        <v>100</v>
      </c>
      <c r="E1236" s="5">
        <v>38029</v>
      </c>
      <c r="F1236" s="2" t="s">
        <v>13</v>
      </c>
      <c r="G1236" s="2" t="s">
        <v>72</v>
      </c>
      <c r="H1236" s="3">
        <v>1</v>
      </c>
      <c r="I1236" s="6">
        <v>2004</v>
      </c>
      <c r="J1236" s="2" t="s">
        <v>61</v>
      </c>
      <c r="K1236" s="2" t="s">
        <v>180</v>
      </c>
      <c r="L1236" s="7">
        <f t="shared" si="57"/>
        <v>5000</v>
      </c>
      <c r="M1236" s="2" t="str">
        <f t="shared" si="58"/>
        <v>February</v>
      </c>
      <c r="N1236" s="6">
        <f t="shared" si="59"/>
        <v>2004</v>
      </c>
    </row>
    <row r="1237" spans="1:14">
      <c r="A1237" s="2" t="s">
        <v>173</v>
      </c>
      <c r="B1237" s="3">
        <v>10230</v>
      </c>
      <c r="C1237" s="3">
        <v>42</v>
      </c>
      <c r="D1237" s="13">
        <v>100</v>
      </c>
      <c r="E1237" s="5">
        <v>38061</v>
      </c>
      <c r="F1237" s="2" t="s">
        <v>13</v>
      </c>
      <c r="G1237" s="2" t="s">
        <v>72</v>
      </c>
      <c r="H1237" s="3">
        <v>1</v>
      </c>
      <c r="I1237" s="6">
        <v>2004</v>
      </c>
      <c r="J1237" s="2" t="s">
        <v>61</v>
      </c>
      <c r="K1237" s="2" t="s">
        <v>174</v>
      </c>
      <c r="L1237" s="7">
        <f t="shared" si="57"/>
        <v>4200</v>
      </c>
      <c r="M1237" s="2" t="str">
        <f t="shared" si="58"/>
        <v>March</v>
      </c>
      <c r="N1237" s="6">
        <f t="shared" si="59"/>
        <v>2004</v>
      </c>
    </row>
    <row r="1238" spans="1:14">
      <c r="A1238" s="2" t="s">
        <v>175</v>
      </c>
      <c r="B1238" s="3">
        <v>10247</v>
      </c>
      <c r="C1238" s="3">
        <v>48</v>
      </c>
      <c r="D1238" s="13">
        <v>100</v>
      </c>
      <c r="E1238" s="5">
        <v>38112</v>
      </c>
      <c r="F1238" s="2" t="s">
        <v>13</v>
      </c>
      <c r="G1238" s="2" t="s">
        <v>72</v>
      </c>
      <c r="H1238" s="3">
        <v>2</v>
      </c>
      <c r="I1238" s="6">
        <v>2004</v>
      </c>
      <c r="J1238" s="2" t="s">
        <v>22</v>
      </c>
      <c r="K1238" s="2" t="s">
        <v>176</v>
      </c>
      <c r="L1238" s="7">
        <f t="shared" si="57"/>
        <v>4800</v>
      </c>
      <c r="M1238" s="2" t="str">
        <f t="shared" si="58"/>
        <v>May</v>
      </c>
      <c r="N1238" s="6">
        <f t="shared" si="59"/>
        <v>2004</v>
      </c>
    </row>
    <row r="1239" spans="1:14">
      <c r="A1239" s="2" t="s">
        <v>58</v>
      </c>
      <c r="B1239" s="3">
        <v>10272</v>
      </c>
      <c r="C1239" s="3">
        <v>25</v>
      </c>
      <c r="D1239" s="13">
        <v>100</v>
      </c>
      <c r="E1239" s="5">
        <v>38188</v>
      </c>
      <c r="F1239" s="2" t="s">
        <v>13</v>
      </c>
      <c r="G1239" s="2" t="s">
        <v>72</v>
      </c>
      <c r="H1239" s="3">
        <v>3</v>
      </c>
      <c r="I1239" s="6">
        <v>2004</v>
      </c>
      <c r="J1239" s="2" t="s">
        <v>22</v>
      </c>
      <c r="K1239" s="2" t="s">
        <v>59</v>
      </c>
      <c r="L1239" s="7">
        <f t="shared" si="57"/>
        <v>2500</v>
      </c>
      <c r="M1239" s="2" t="str">
        <f t="shared" si="58"/>
        <v>July</v>
      </c>
      <c r="N1239" s="6">
        <f t="shared" si="59"/>
        <v>2004</v>
      </c>
    </row>
    <row r="1240" spans="1:14">
      <c r="A1240" s="2" t="s">
        <v>103</v>
      </c>
      <c r="B1240" s="3">
        <v>10282</v>
      </c>
      <c r="C1240" s="3">
        <v>31</v>
      </c>
      <c r="D1240" s="13">
        <v>100</v>
      </c>
      <c r="E1240" s="5">
        <v>38219</v>
      </c>
      <c r="F1240" s="2" t="s">
        <v>13</v>
      </c>
      <c r="G1240" s="2" t="s">
        <v>72</v>
      </c>
      <c r="H1240" s="3">
        <v>3</v>
      </c>
      <c r="I1240" s="6">
        <v>2004</v>
      </c>
      <c r="J1240" s="2" t="s">
        <v>22</v>
      </c>
      <c r="K1240" s="2" t="s">
        <v>104</v>
      </c>
      <c r="L1240" s="7">
        <f t="shared" si="57"/>
        <v>3100</v>
      </c>
      <c r="M1240" s="2" t="str">
        <f t="shared" si="58"/>
        <v>August</v>
      </c>
      <c r="N1240" s="6">
        <f t="shared" si="59"/>
        <v>2004</v>
      </c>
    </row>
    <row r="1241" spans="1:14">
      <c r="A1241" s="2" t="s">
        <v>12</v>
      </c>
      <c r="B1241" s="3">
        <v>10292</v>
      </c>
      <c r="C1241" s="3">
        <v>44</v>
      </c>
      <c r="D1241" s="13">
        <v>100</v>
      </c>
      <c r="E1241" s="5">
        <v>38238</v>
      </c>
      <c r="F1241" s="2" t="s">
        <v>13</v>
      </c>
      <c r="G1241" s="2" t="s">
        <v>72</v>
      </c>
      <c r="H1241" s="3">
        <v>3</v>
      </c>
      <c r="I1241" s="6">
        <v>2004</v>
      </c>
      <c r="J1241" s="2" t="s">
        <v>61</v>
      </c>
      <c r="K1241" s="2" t="s">
        <v>16</v>
      </c>
      <c r="L1241" s="7">
        <f t="shared" si="57"/>
        <v>4400</v>
      </c>
      <c r="M1241" s="2" t="str">
        <f t="shared" si="58"/>
        <v>September</v>
      </c>
      <c r="N1241" s="6">
        <f t="shared" si="59"/>
        <v>2004</v>
      </c>
    </row>
    <row r="1242" spans="1:14">
      <c r="A1242" s="2" t="s">
        <v>183</v>
      </c>
      <c r="B1242" s="3">
        <v>10306</v>
      </c>
      <c r="C1242" s="3">
        <v>23</v>
      </c>
      <c r="D1242" s="13">
        <v>100</v>
      </c>
      <c r="E1242" s="5">
        <v>38274</v>
      </c>
      <c r="F1242" s="2" t="s">
        <v>13</v>
      </c>
      <c r="G1242" s="2" t="s">
        <v>72</v>
      </c>
      <c r="H1242" s="3">
        <v>4</v>
      </c>
      <c r="I1242" s="6">
        <v>2004</v>
      </c>
      <c r="J1242" s="2" t="s">
        <v>22</v>
      </c>
      <c r="K1242" s="2" t="s">
        <v>184</v>
      </c>
      <c r="L1242" s="7">
        <f t="shared" si="57"/>
        <v>2300</v>
      </c>
      <c r="M1242" s="2" t="str">
        <f t="shared" si="58"/>
        <v>October</v>
      </c>
      <c r="N1242" s="6">
        <f t="shared" si="59"/>
        <v>2004</v>
      </c>
    </row>
    <row r="1243" spans="1:14">
      <c r="A1243" s="2" t="s">
        <v>185</v>
      </c>
      <c r="B1243" s="3">
        <v>10314</v>
      </c>
      <c r="C1243" s="3">
        <v>29</v>
      </c>
      <c r="D1243" s="13">
        <v>100</v>
      </c>
      <c r="E1243" s="5">
        <v>38282</v>
      </c>
      <c r="F1243" s="2" t="s">
        <v>13</v>
      </c>
      <c r="G1243" s="2" t="s">
        <v>72</v>
      </c>
      <c r="H1243" s="3">
        <v>4</v>
      </c>
      <c r="I1243" s="6">
        <v>2004</v>
      </c>
      <c r="J1243" s="2" t="s">
        <v>22</v>
      </c>
      <c r="K1243" s="2" t="s">
        <v>186</v>
      </c>
      <c r="L1243" s="7">
        <f t="shared" si="57"/>
        <v>2900</v>
      </c>
      <c r="M1243" s="2" t="str">
        <f t="shared" si="58"/>
        <v>October</v>
      </c>
      <c r="N1243" s="6">
        <f t="shared" si="59"/>
        <v>2004</v>
      </c>
    </row>
    <row r="1244" spans="1:14">
      <c r="A1244" s="2" t="s">
        <v>44</v>
      </c>
      <c r="B1244" s="3">
        <v>10324</v>
      </c>
      <c r="C1244" s="3">
        <v>49</v>
      </c>
      <c r="D1244" s="13">
        <v>100</v>
      </c>
      <c r="E1244" s="5">
        <v>38296</v>
      </c>
      <c r="F1244" s="2" t="s">
        <v>13</v>
      </c>
      <c r="G1244" s="2" t="s">
        <v>72</v>
      </c>
      <c r="H1244" s="3">
        <v>4</v>
      </c>
      <c r="I1244" s="6">
        <v>2004</v>
      </c>
      <c r="J1244" s="2" t="s">
        <v>22</v>
      </c>
      <c r="K1244" s="2" t="s">
        <v>45</v>
      </c>
      <c r="L1244" s="7">
        <f t="shared" si="57"/>
        <v>4900</v>
      </c>
      <c r="M1244" s="2" t="str">
        <f t="shared" si="58"/>
        <v>November</v>
      </c>
      <c r="N1244" s="6">
        <f t="shared" si="59"/>
        <v>2004</v>
      </c>
    </row>
    <row r="1245" spans="1:14">
      <c r="A1245" s="2" t="s">
        <v>79</v>
      </c>
      <c r="B1245" s="3">
        <v>10337</v>
      </c>
      <c r="C1245" s="3">
        <v>36</v>
      </c>
      <c r="D1245" s="13">
        <v>100</v>
      </c>
      <c r="E1245" s="5">
        <v>38312</v>
      </c>
      <c r="F1245" s="2" t="s">
        <v>13</v>
      </c>
      <c r="G1245" s="2" t="s">
        <v>72</v>
      </c>
      <c r="H1245" s="3">
        <v>4</v>
      </c>
      <c r="I1245" s="6">
        <v>2004</v>
      </c>
      <c r="J1245" s="2" t="s">
        <v>22</v>
      </c>
      <c r="K1245" s="2" t="s">
        <v>80</v>
      </c>
      <c r="L1245" s="7">
        <f t="shared" si="57"/>
        <v>3600</v>
      </c>
      <c r="M1245" s="2" t="str">
        <f t="shared" si="58"/>
        <v>November</v>
      </c>
      <c r="N1245" s="6">
        <f t="shared" si="59"/>
        <v>2004</v>
      </c>
    </row>
    <row r="1246" spans="1:14">
      <c r="A1246" s="2" t="s">
        <v>177</v>
      </c>
      <c r="B1246" s="3">
        <v>10349</v>
      </c>
      <c r="C1246" s="3">
        <v>34</v>
      </c>
      <c r="D1246" s="13">
        <v>100</v>
      </c>
      <c r="E1246" s="5">
        <v>38322</v>
      </c>
      <c r="F1246" s="2" t="s">
        <v>13</v>
      </c>
      <c r="G1246" s="2" t="s">
        <v>72</v>
      </c>
      <c r="H1246" s="3">
        <v>4</v>
      </c>
      <c r="I1246" s="6">
        <v>2004</v>
      </c>
      <c r="J1246" s="2" t="s">
        <v>22</v>
      </c>
      <c r="K1246" s="2" t="s">
        <v>178</v>
      </c>
      <c r="L1246" s="7">
        <f t="shared" si="57"/>
        <v>3400</v>
      </c>
      <c r="M1246" s="2" t="str">
        <f t="shared" si="58"/>
        <v>December</v>
      </c>
      <c r="N1246" s="6">
        <f t="shared" si="59"/>
        <v>2004</v>
      </c>
    </row>
    <row r="1247" spans="1:14">
      <c r="A1247" s="2" t="s">
        <v>69</v>
      </c>
      <c r="B1247" s="3">
        <v>10358</v>
      </c>
      <c r="C1247" s="3">
        <v>25</v>
      </c>
      <c r="D1247" s="13">
        <v>100</v>
      </c>
      <c r="E1247" s="5">
        <v>38331</v>
      </c>
      <c r="F1247" s="2" t="s">
        <v>13</v>
      </c>
      <c r="G1247" s="2" t="s">
        <v>72</v>
      </c>
      <c r="H1247" s="3">
        <v>4</v>
      </c>
      <c r="I1247" s="6">
        <v>2004</v>
      </c>
      <c r="J1247" s="2" t="s">
        <v>15</v>
      </c>
      <c r="K1247" s="2" t="s">
        <v>71</v>
      </c>
      <c r="L1247" s="7">
        <f t="shared" si="57"/>
        <v>2500</v>
      </c>
      <c r="M1247" s="2" t="str">
        <f t="shared" si="58"/>
        <v>December</v>
      </c>
      <c r="N1247" s="6">
        <f t="shared" si="59"/>
        <v>2004</v>
      </c>
    </row>
    <row r="1248" spans="1:14">
      <c r="A1248" s="2" t="s">
        <v>95</v>
      </c>
      <c r="B1248" s="3">
        <v>10372</v>
      </c>
      <c r="C1248" s="3">
        <v>48</v>
      </c>
      <c r="D1248" s="13">
        <v>100</v>
      </c>
      <c r="E1248" s="5">
        <v>38378</v>
      </c>
      <c r="F1248" s="2" t="s">
        <v>13</v>
      </c>
      <c r="G1248" s="2" t="s">
        <v>72</v>
      </c>
      <c r="H1248" s="3">
        <v>1</v>
      </c>
      <c r="I1248" s="6">
        <v>2005</v>
      </c>
      <c r="J1248" s="2" t="s">
        <v>61</v>
      </c>
      <c r="K1248" s="2" t="s">
        <v>96</v>
      </c>
      <c r="L1248" s="7">
        <f t="shared" si="57"/>
        <v>4800</v>
      </c>
      <c r="M1248" s="2" t="str">
        <f t="shared" si="58"/>
        <v>January</v>
      </c>
      <c r="N1248" s="6">
        <f t="shared" si="59"/>
        <v>2005</v>
      </c>
    </row>
    <row r="1249" spans="1:14">
      <c r="A1249" s="2" t="s">
        <v>69</v>
      </c>
      <c r="B1249" s="3">
        <v>10383</v>
      </c>
      <c r="C1249" s="3">
        <v>38</v>
      </c>
      <c r="D1249" s="13">
        <v>100</v>
      </c>
      <c r="E1249" s="5">
        <v>38405</v>
      </c>
      <c r="F1249" s="2" t="s">
        <v>13</v>
      </c>
      <c r="G1249" s="2" t="s">
        <v>72</v>
      </c>
      <c r="H1249" s="3">
        <v>1</v>
      </c>
      <c r="I1249" s="6">
        <v>2005</v>
      </c>
      <c r="J1249" s="2" t="s">
        <v>22</v>
      </c>
      <c r="K1249" s="2" t="s">
        <v>71</v>
      </c>
      <c r="L1249" s="7">
        <f t="shared" si="57"/>
        <v>3800</v>
      </c>
      <c r="M1249" s="2" t="str">
        <f t="shared" si="58"/>
        <v>February</v>
      </c>
      <c r="N1249" s="6">
        <f t="shared" si="59"/>
        <v>2005</v>
      </c>
    </row>
    <row r="1250" spans="1:14">
      <c r="A1250" s="2" t="s">
        <v>69</v>
      </c>
      <c r="B1250" s="3">
        <v>10394</v>
      </c>
      <c r="C1250" s="3">
        <v>37</v>
      </c>
      <c r="D1250" s="13">
        <v>100</v>
      </c>
      <c r="E1250" s="5">
        <v>38426</v>
      </c>
      <c r="F1250" s="2" t="s">
        <v>13</v>
      </c>
      <c r="G1250" s="2" t="s">
        <v>72</v>
      </c>
      <c r="H1250" s="3">
        <v>1</v>
      </c>
      <c r="I1250" s="6">
        <v>2005</v>
      </c>
      <c r="J1250" s="2" t="s">
        <v>22</v>
      </c>
      <c r="K1250" s="2" t="s">
        <v>71</v>
      </c>
      <c r="L1250" s="7">
        <f t="shared" si="57"/>
        <v>3700</v>
      </c>
      <c r="M1250" s="2" t="str">
        <f t="shared" si="58"/>
        <v>March</v>
      </c>
      <c r="N1250" s="6">
        <f t="shared" si="59"/>
        <v>2005</v>
      </c>
    </row>
    <row r="1251" spans="1:14">
      <c r="A1251" s="2" t="s">
        <v>48</v>
      </c>
      <c r="B1251" s="3">
        <v>10413</v>
      </c>
      <c r="C1251" s="3">
        <v>49</v>
      </c>
      <c r="D1251" s="13">
        <v>100</v>
      </c>
      <c r="E1251" s="5">
        <v>38477</v>
      </c>
      <c r="F1251" s="2" t="s">
        <v>13</v>
      </c>
      <c r="G1251" s="2" t="s">
        <v>72</v>
      </c>
      <c r="H1251" s="3">
        <v>2</v>
      </c>
      <c r="I1251" s="6">
        <v>2005</v>
      </c>
      <c r="J1251" s="2" t="s">
        <v>22</v>
      </c>
      <c r="K1251" s="2" t="s">
        <v>49</v>
      </c>
      <c r="L1251" s="7">
        <f t="shared" si="57"/>
        <v>4900</v>
      </c>
      <c r="M1251" s="2" t="str">
        <f t="shared" si="58"/>
        <v>May</v>
      </c>
      <c r="N1251" s="6">
        <f t="shared" si="59"/>
        <v>2005</v>
      </c>
    </row>
    <row r="1252" spans="1:14">
      <c r="A1252" s="2" t="s">
        <v>105</v>
      </c>
      <c r="B1252" s="3">
        <v>10100</v>
      </c>
      <c r="C1252" s="3">
        <v>22</v>
      </c>
      <c r="D1252" s="13">
        <v>86.51</v>
      </c>
      <c r="E1252" s="5">
        <v>37627</v>
      </c>
      <c r="F1252" s="2" t="s">
        <v>13</v>
      </c>
      <c r="G1252" s="2" t="s">
        <v>202</v>
      </c>
      <c r="H1252" s="3">
        <v>1</v>
      </c>
      <c r="I1252" s="6">
        <v>2003</v>
      </c>
      <c r="J1252" s="2" t="s">
        <v>15</v>
      </c>
      <c r="K1252" s="2" t="s">
        <v>106</v>
      </c>
      <c r="L1252" s="7">
        <f t="shared" si="57"/>
        <v>1903.22</v>
      </c>
      <c r="M1252" s="2" t="str">
        <f t="shared" si="58"/>
        <v>January</v>
      </c>
      <c r="N1252" s="6">
        <f t="shared" si="59"/>
        <v>2003</v>
      </c>
    </row>
    <row r="1253" spans="1:14">
      <c r="A1253" s="2" t="s">
        <v>183</v>
      </c>
      <c r="B1253" s="3">
        <v>10110</v>
      </c>
      <c r="C1253" s="3">
        <v>28</v>
      </c>
      <c r="D1253" s="13">
        <v>89.27</v>
      </c>
      <c r="E1253" s="5">
        <v>37698</v>
      </c>
      <c r="F1253" s="2" t="s">
        <v>13</v>
      </c>
      <c r="G1253" s="2" t="s">
        <v>202</v>
      </c>
      <c r="H1253" s="3">
        <v>1</v>
      </c>
      <c r="I1253" s="6">
        <v>2003</v>
      </c>
      <c r="J1253" s="2" t="s">
        <v>15</v>
      </c>
      <c r="K1253" s="2" t="s">
        <v>184</v>
      </c>
      <c r="L1253" s="7">
        <f t="shared" si="57"/>
        <v>2499.56</v>
      </c>
      <c r="M1253" s="2" t="str">
        <f t="shared" si="58"/>
        <v>March</v>
      </c>
      <c r="N1253" s="6">
        <f t="shared" si="59"/>
        <v>2003</v>
      </c>
    </row>
    <row r="1254" spans="1:14">
      <c r="A1254" s="2" t="s">
        <v>198</v>
      </c>
      <c r="B1254" s="3">
        <v>10124</v>
      </c>
      <c r="C1254" s="3">
        <v>36</v>
      </c>
      <c r="D1254" s="13">
        <v>85.59</v>
      </c>
      <c r="E1254" s="5">
        <v>37762</v>
      </c>
      <c r="F1254" s="2" t="s">
        <v>13</v>
      </c>
      <c r="G1254" s="2" t="s">
        <v>202</v>
      </c>
      <c r="H1254" s="3">
        <v>2</v>
      </c>
      <c r="I1254" s="6">
        <v>2003</v>
      </c>
      <c r="J1254" s="2" t="s">
        <v>22</v>
      </c>
      <c r="K1254" s="2" t="s">
        <v>199</v>
      </c>
      <c r="L1254" s="7">
        <f t="shared" si="57"/>
        <v>3081.24</v>
      </c>
      <c r="M1254" s="2" t="str">
        <f t="shared" si="58"/>
        <v>May</v>
      </c>
      <c r="N1254" s="6">
        <f t="shared" si="59"/>
        <v>2003</v>
      </c>
    </row>
    <row r="1255" spans="1:14">
      <c r="A1255" s="2" t="s">
        <v>109</v>
      </c>
      <c r="B1255" s="3">
        <v>10148</v>
      </c>
      <c r="C1255" s="3">
        <v>34</v>
      </c>
      <c r="D1255" s="13">
        <v>100</v>
      </c>
      <c r="E1255" s="5">
        <v>37875</v>
      </c>
      <c r="F1255" s="2" t="s">
        <v>13</v>
      </c>
      <c r="G1255" s="2" t="s">
        <v>202</v>
      </c>
      <c r="H1255" s="3">
        <v>3</v>
      </c>
      <c r="I1255" s="6">
        <v>2003</v>
      </c>
      <c r="J1255" s="2" t="s">
        <v>22</v>
      </c>
      <c r="K1255" s="2" t="s">
        <v>110</v>
      </c>
      <c r="L1255" s="7">
        <f t="shared" si="57"/>
        <v>3400</v>
      </c>
      <c r="M1255" s="2" t="str">
        <f t="shared" si="58"/>
        <v>September</v>
      </c>
      <c r="N1255" s="6">
        <f t="shared" si="59"/>
        <v>2003</v>
      </c>
    </row>
    <row r="1256" spans="1:14">
      <c r="A1256" s="2" t="s">
        <v>28</v>
      </c>
      <c r="B1256" s="3">
        <v>10162</v>
      </c>
      <c r="C1256" s="3">
        <v>39</v>
      </c>
      <c r="D1256" s="13">
        <v>100</v>
      </c>
      <c r="E1256" s="5">
        <v>37912</v>
      </c>
      <c r="F1256" s="2" t="s">
        <v>13</v>
      </c>
      <c r="G1256" s="2" t="s">
        <v>202</v>
      </c>
      <c r="H1256" s="3">
        <v>4</v>
      </c>
      <c r="I1256" s="6">
        <v>2003</v>
      </c>
      <c r="J1256" s="2" t="s">
        <v>22</v>
      </c>
      <c r="K1256" s="2" t="s">
        <v>29</v>
      </c>
      <c r="L1256" s="7">
        <f t="shared" si="57"/>
        <v>3900</v>
      </c>
      <c r="M1256" s="2" t="str">
        <f t="shared" si="58"/>
        <v>October</v>
      </c>
      <c r="N1256" s="6">
        <f t="shared" si="59"/>
        <v>2003</v>
      </c>
    </row>
    <row r="1257" spans="1:14">
      <c r="A1257" s="2" t="s">
        <v>203</v>
      </c>
      <c r="B1257" s="3">
        <v>10173</v>
      </c>
      <c r="C1257" s="3">
        <v>21</v>
      </c>
      <c r="D1257" s="13">
        <v>75.46</v>
      </c>
      <c r="E1257" s="5">
        <v>37930</v>
      </c>
      <c r="F1257" s="2" t="s">
        <v>13</v>
      </c>
      <c r="G1257" s="2" t="s">
        <v>202</v>
      </c>
      <c r="H1257" s="3">
        <v>4</v>
      </c>
      <c r="I1257" s="6">
        <v>2003</v>
      </c>
      <c r="J1257" s="2" t="s">
        <v>15</v>
      </c>
      <c r="K1257" s="2" t="s">
        <v>204</v>
      </c>
      <c r="L1257" s="7">
        <f t="shared" si="57"/>
        <v>1584.66</v>
      </c>
      <c r="M1257" s="2" t="str">
        <f t="shared" si="58"/>
        <v>November</v>
      </c>
      <c r="N1257" s="6">
        <f t="shared" si="59"/>
        <v>2003</v>
      </c>
    </row>
    <row r="1258" spans="1:14">
      <c r="A1258" s="2" t="s">
        <v>103</v>
      </c>
      <c r="B1258" s="3">
        <v>10182</v>
      </c>
      <c r="C1258" s="3">
        <v>36</v>
      </c>
      <c r="D1258" s="13">
        <v>100</v>
      </c>
      <c r="E1258" s="5">
        <v>37937</v>
      </c>
      <c r="F1258" s="2" t="s">
        <v>13</v>
      </c>
      <c r="G1258" s="2" t="s">
        <v>202</v>
      </c>
      <c r="H1258" s="3">
        <v>4</v>
      </c>
      <c r="I1258" s="6">
        <v>2003</v>
      </c>
      <c r="J1258" s="2" t="s">
        <v>22</v>
      </c>
      <c r="K1258" s="2" t="s">
        <v>104</v>
      </c>
      <c r="L1258" s="7">
        <f t="shared" si="57"/>
        <v>3600</v>
      </c>
      <c r="M1258" s="2" t="str">
        <f t="shared" si="58"/>
        <v>November</v>
      </c>
      <c r="N1258" s="6">
        <f t="shared" si="59"/>
        <v>2003</v>
      </c>
    </row>
    <row r="1259" spans="1:14">
      <c r="A1259" s="2" t="s">
        <v>205</v>
      </c>
      <c r="B1259" s="3">
        <v>10193</v>
      </c>
      <c r="C1259" s="3">
        <v>24</v>
      </c>
      <c r="D1259" s="13">
        <v>97.55</v>
      </c>
      <c r="E1259" s="5">
        <v>37946</v>
      </c>
      <c r="F1259" s="2" t="s">
        <v>13</v>
      </c>
      <c r="G1259" s="2" t="s">
        <v>202</v>
      </c>
      <c r="H1259" s="3">
        <v>4</v>
      </c>
      <c r="I1259" s="6">
        <v>2003</v>
      </c>
      <c r="J1259" s="2" t="s">
        <v>15</v>
      </c>
      <c r="K1259" s="2" t="s">
        <v>206</v>
      </c>
      <c r="L1259" s="7">
        <f t="shared" si="57"/>
        <v>2341.2</v>
      </c>
      <c r="M1259" s="2" t="str">
        <f t="shared" si="58"/>
        <v>November</v>
      </c>
      <c r="N1259" s="6">
        <f t="shared" si="59"/>
        <v>2003</v>
      </c>
    </row>
    <row r="1260" spans="1:14">
      <c r="A1260" s="2" t="s">
        <v>177</v>
      </c>
      <c r="B1260" s="3">
        <v>10204</v>
      </c>
      <c r="C1260" s="3">
        <v>29</v>
      </c>
      <c r="D1260" s="13">
        <v>85.59</v>
      </c>
      <c r="E1260" s="5">
        <v>37957</v>
      </c>
      <c r="F1260" s="2" t="s">
        <v>13</v>
      </c>
      <c r="G1260" s="2" t="s">
        <v>202</v>
      </c>
      <c r="H1260" s="3">
        <v>4</v>
      </c>
      <c r="I1260" s="6">
        <v>2003</v>
      </c>
      <c r="J1260" s="2" t="s">
        <v>15</v>
      </c>
      <c r="K1260" s="2" t="s">
        <v>178</v>
      </c>
      <c r="L1260" s="7">
        <f t="shared" si="57"/>
        <v>2482.11</v>
      </c>
      <c r="M1260" s="2" t="str">
        <f t="shared" si="58"/>
        <v>December</v>
      </c>
      <c r="N1260" s="6">
        <f t="shared" si="59"/>
        <v>2003</v>
      </c>
    </row>
    <row r="1261" spans="1:14">
      <c r="A1261" s="2" t="s">
        <v>131</v>
      </c>
      <c r="B1261" s="3">
        <v>10213</v>
      </c>
      <c r="C1261" s="3">
        <v>38</v>
      </c>
      <c r="D1261" s="13">
        <v>94.79</v>
      </c>
      <c r="E1261" s="5">
        <v>38008</v>
      </c>
      <c r="F1261" s="2" t="s">
        <v>13</v>
      </c>
      <c r="G1261" s="2" t="s">
        <v>202</v>
      </c>
      <c r="H1261" s="3">
        <v>1</v>
      </c>
      <c r="I1261" s="6">
        <v>2004</v>
      </c>
      <c r="J1261" s="2" t="s">
        <v>22</v>
      </c>
      <c r="K1261" s="2" t="s">
        <v>132</v>
      </c>
      <c r="L1261" s="7">
        <f t="shared" si="57"/>
        <v>3602.02</v>
      </c>
      <c r="M1261" s="2" t="str">
        <f t="shared" si="58"/>
        <v>January</v>
      </c>
      <c r="N1261" s="6">
        <f t="shared" si="59"/>
        <v>2004</v>
      </c>
    </row>
    <row r="1262" spans="1:14">
      <c r="A1262" s="2" t="s">
        <v>85</v>
      </c>
      <c r="B1262" s="3">
        <v>10227</v>
      </c>
      <c r="C1262" s="3">
        <v>34</v>
      </c>
      <c r="D1262" s="13">
        <v>100</v>
      </c>
      <c r="E1262" s="5">
        <v>38048</v>
      </c>
      <c r="F1262" s="2" t="s">
        <v>13</v>
      </c>
      <c r="G1262" s="2" t="s">
        <v>202</v>
      </c>
      <c r="H1262" s="3">
        <v>1</v>
      </c>
      <c r="I1262" s="6">
        <v>2004</v>
      </c>
      <c r="J1262" s="2" t="s">
        <v>22</v>
      </c>
      <c r="K1262" s="2" t="s">
        <v>86</v>
      </c>
      <c r="L1262" s="7">
        <f t="shared" si="57"/>
        <v>3400</v>
      </c>
      <c r="M1262" s="2" t="str">
        <f t="shared" si="58"/>
        <v>March</v>
      </c>
      <c r="N1262" s="6">
        <f t="shared" si="59"/>
        <v>2004</v>
      </c>
    </row>
    <row r="1263" spans="1:14">
      <c r="A1263" s="2" t="s">
        <v>196</v>
      </c>
      <c r="B1263" s="3">
        <v>10241</v>
      </c>
      <c r="C1263" s="3">
        <v>42</v>
      </c>
      <c r="D1263" s="13">
        <v>90.19</v>
      </c>
      <c r="E1263" s="5">
        <v>38090</v>
      </c>
      <c r="F1263" s="2" t="s">
        <v>13</v>
      </c>
      <c r="G1263" s="2" t="s">
        <v>202</v>
      </c>
      <c r="H1263" s="3">
        <v>2</v>
      </c>
      <c r="I1263" s="6">
        <v>2004</v>
      </c>
      <c r="J1263" s="2" t="s">
        <v>22</v>
      </c>
      <c r="K1263" s="2" t="s">
        <v>197</v>
      </c>
      <c r="L1263" s="7">
        <f t="shared" si="57"/>
        <v>3787.98</v>
      </c>
      <c r="M1263" s="2" t="str">
        <f t="shared" si="58"/>
        <v>April</v>
      </c>
      <c r="N1263" s="6">
        <f t="shared" si="59"/>
        <v>2004</v>
      </c>
    </row>
    <row r="1264" spans="1:14">
      <c r="A1264" s="2" t="s">
        <v>97</v>
      </c>
      <c r="B1264" s="3">
        <v>10280</v>
      </c>
      <c r="C1264" s="3">
        <v>35</v>
      </c>
      <c r="D1264" s="13">
        <v>100</v>
      </c>
      <c r="E1264" s="5">
        <v>38216</v>
      </c>
      <c r="F1264" s="2" t="s">
        <v>13</v>
      </c>
      <c r="G1264" s="2" t="s">
        <v>202</v>
      </c>
      <c r="H1264" s="3">
        <v>3</v>
      </c>
      <c r="I1264" s="6">
        <v>2004</v>
      </c>
      <c r="J1264" s="2" t="s">
        <v>22</v>
      </c>
      <c r="K1264" s="2" t="s">
        <v>98</v>
      </c>
      <c r="L1264" s="7">
        <f t="shared" si="57"/>
        <v>3500</v>
      </c>
      <c r="M1264" s="2" t="str">
        <f t="shared" si="58"/>
        <v>August</v>
      </c>
      <c r="N1264" s="6">
        <f t="shared" si="59"/>
        <v>2004</v>
      </c>
    </row>
    <row r="1265" spans="1:14">
      <c r="A1265" s="2" t="s">
        <v>159</v>
      </c>
      <c r="B1265" s="3">
        <v>10288</v>
      </c>
      <c r="C1265" s="3">
        <v>35</v>
      </c>
      <c r="D1265" s="13">
        <v>80.99</v>
      </c>
      <c r="E1265" s="5">
        <v>38231</v>
      </c>
      <c r="F1265" s="2" t="s">
        <v>13</v>
      </c>
      <c r="G1265" s="2" t="s">
        <v>202</v>
      </c>
      <c r="H1265" s="3">
        <v>3</v>
      </c>
      <c r="I1265" s="6">
        <v>2004</v>
      </c>
      <c r="J1265" s="2" t="s">
        <v>15</v>
      </c>
      <c r="K1265" s="2" t="s">
        <v>160</v>
      </c>
      <c r="L1265" s="7">
        <f t="shared" si="57"/>
        <v>2834.65</v>
      </c>
      <c r="M1265" s="2" t="str">
        <f t="shared" si="58"/>
        <v>September</v>
      </c>
      <c r="N1265" s="6">
        <f t="shared" si="59"/>
        <v>2004</v>
      </c>
    </row>
    <row r="1266" spans="1:14">
      <c r="A1266" s="2" t="s">
        <v>67</v>
      </c>
      <c r="B1266" s="3">
        <v>10302</v>
      </c>
      <c r="C1266" s="3">
        <v>38</v>
      </c>
      <c r="D1266" s="13">
        <v>89.27</v>
      </c>
      <c r="E1266" s="5">
        <v>37900</v>
      </c>
      <c r="F1266" s="2" t="s">
        <v>13</v>
      </c>
      <c r="G1266" s="2" t="s">
        <v>202</v>
      </c>
      <c r="H1266" s="3">
        <v>4</v>
      </c>
      <c r="I1266" s="6">
        <v>2003</v>
      </c>
      <c r="J1266" s="2" t="s">
        <v>22</v>
      </c>
      <c r="K1266" s="2" t="s">
        <v>68</v>
      </c>
      <c r="L1266" s="7">
        <f t="shared" si="57"/>
        <v>3392.26</v>
      </c>
      <c r="M1266" s="2" t="str">
        <f t="shared" si="58"/>
        <v>October</v>
      </c>
      <c r="N1266" s="6">
        <f t="shared" si="59"/>
        <v>2003</v>
      </c>
    </row>
    <row r="1267" spans="1:14">
      <c r="A1267" s="2" t="s">
        <v>69</v>
      </c>
      <c r="B1267" s="3">
        <v>10311</v>
      </c>
      <c r="C1267" s="3">
        <v>41</v>
      </c>
      <c r="D1267" s="13">
        <v>81.91</v>
      </c>
      <c r="E1267" s="5">
        <v>38276</v>
      </c>
      <c r="F1267" s="2" t="s">
        <v>13</v>
      </c>
      <c r="G1267" s="2" t="s">
        <v>202</v>
      </c>
      <c r="H1267" s="3">
        <v>4</v>
      </c>
      <c r="I1267" s="6">
        <v>2004</v>
      </c>
      <c r="J1267" s="2" t="s">
        <v>22</v>
      </c>
      <c r="K1267" s="2" t="s">
        <v>71</v>
      </c>
      <c r="L1267" s="7">
        <f t="shared" si="57"/>
        <v>3358.31</v>
      </c>
      <c r="M1267" s="2" t="str">
        <f t="shared" si="58"/>
        <v>October</v>
      </c>
      <c r="N1267" s="6">
        <f t="shared" si="59"/>
        <v>2004</v>
      </c>
    </row>
    <row r="1268" spans="1:14">
      <c r="A1268" s="2" t="s">
        <v>183</v>
      </c>
      <c r="B1268" s="3">
        <v>10332</v>
      </c>
      <c r="C1268" s="3">
        <v>50</v>
      </c>
      <c r="D1268" s="13">
        <v>100</v>
      </c>
      <c r="E1268" s="5">
        <v>38308</v>
      </c>
      <c r="F1268" s="2" t="s">
        <v>13</v>
      </c>
      <c r="G1268" s="2" t="s">
        <v>202</v>
      </c>
      <c r="H1268" s="3">
        <v>4</v>
      </c>
      <c r="I1268" s="6">
        <v>2004</v>
      </c>
      <c r="J1268" s="2" t="s">
        <v>61</v>
      </c>
      <c r="K1268" s="2" t="s">
        <v>184</v>
      </c>
      <c r="L1268" s="7">
        <f t="shared" si="57"/>
        <v>5000</v>
      </c>
      <c r="M1268" s="2" t="str">
        <f t="shared" si="58"/>
        <v>November</v>
      </c>
      <c r="N1268" s="6">
        <f t="shared" si="59"/>
        <v>2004</v>
      </c>
    </row>
    <row r="1269" spans="1:14">
      <c r="A1269" s="2" t="s">
        <v>163</v>
      </c>
      <c r="B1269" s="3">
        <v>10344</v>
      </c>
      <c r="C1269" s="3">
        <v>21</v>
      </c>
      <c r="D1269" s="13">
        <v>100</v>
      </c>
      <c r="E1269" s="5">
        <v>38316</v>
      </c>
      <c r="F1269" s="2" t="s">
        <v>13</v>
      </c>
      <c r="G1269" s="2" t="s">
        <v>202</v>
      </c>
      <c r="H1269" s="3">
        <v>4</v>
      </c>
      <c r="I1269" s="6">
        <v>2004</v>
      </c>
      <c r="J1269" s="2" t="s">
        <v>15</v>
      </c>
      <c r="K1269" s="2" t="s">
        <v>164</v>
      </c>
      <c r="L1269" s="7">
        <f t="shared" si="57"/>
        <v>2100</v>
      </c>
      <c r="M1269" s="2" t="str">
        <f t="shared" si="58"/>
        <v>November</v>
      </c>
      <c r="N1269" s="6">
        <f t="shared" si="59"/>
        <v>2004</v>
      </c>
    </row>
    <row r="1270" spans="1:14">
      <c r="A1270" s="2" t="s">
        <v>25</v>
      </c>
      <c r="B1270" s="3">
        <v>10367</v>
      </c>
      <c r="C1270" s="3">
        <v>43</v>
      </c>
      <c r="D1270" s="13">
        <v>62.72</v>
      </c>
      <c r="E1270" s="5">
        <v>38364</v>
      </c>
      <c r="F1270" s="2" t="s">
        <v>155</v>
      </c>
      <c r="G1270" s="2" t="s">
        <v>202</v>
      </c>
      <c r="H1270" s="3">
        <v>1</v>
      </c>
      <c r="I1270" s="6">
        <v>2005</v>
      </c>
      <c r="J1270" s="2" t="s">
        <v>15</v>
      </c>
      <c r="K1270" s="2" t="s">
        <v>26</v>
      </c>
      <c r="L1270" s="7">
        <f t="shared" si="57"/>
        <v>2696.96</v>
      </c>
      <c r="M1270" s="2" t="str">
        <f t="shared" si="58"/>
        <v>January</v>
      </c>
      <c r="N1270" s="6">
        <f t="shared" si="59"/>
        <v>2005</v>
      </c>
    </row>
    <row r="1271" spans="1:14">
      <c r="A1271" s="2" t="s">
        <v>69</v>
      </c>
      <c r="B1271" s="3">
        <v>10380</v>
      </c>
      <c r="C1271" s="3">
        <v>32</v>
      </c>
      <c r="D1271" s="13">
        <v>100</v>
      </c>
      <c r="E1271" s="5">
        <v>38399</v>
      </c>
      <c r="F1271" s="2" t="s">
        <v>13</v>
      </c>
      <c r="G1271" s="2" t="s">
        <v>202</v>
      </c>
      <c r="H1271" s="3">
        <v>1</v>
      </c>
      <c r="I1271" s="6">
        <v>2005</v>
      </c>
      <c r="J1271" s="2" t="s">
        <v>22</v>
      </c>
      <c r="K1271" s="2" t="s">
        <v>71</v>
      </c>
      <c r="L1271" s="7">
        <f t="shared" si="57"/>
        <v>3200</v>
      </c>
      <c r="M1271" s="2" t="str">
        <f t="shared" si="58"/>
        <v>February</v>
      </c>
      <c r="N1271" s="6">
        <f t="shared" si="59"/>
        <v>2005</v>
      </c>
    </row>
    <row r="1272" spans="1:14">
      <c r="A1272" s="2" t="s">
        <v>149</v>
      </c>
      <c r="B1272" s="3">
        <v>10407</v>
      </c>
      <c r="C1272" s="3">
        <v>6</v>
      </c>
      <c r="D1272" s="13">
        <v>90.19</v>
      </c>
      <c r="E1272" s="5">
        <v>38464</v>
      </c>
      <c r="F1272" s="2" t="s">
        <v>151</v>
      </c>
      <c r="G1272" s="2" t="s">
        <v>202</v>
      </c>
      <c r="H1272" s="3">
        <v>2</v>
      </c>
      <c r="I1272" s="6">
        <v>2005</v>
      </c>
      <c r="J1272" s="2" t="s">
        <v>15</v>
      </c>
      <c r="K1272" s="2" t="s">
        <v>150</v>
      </c>
      <c r="L1272" s="7">
        <f t="shared" si="57"/>
        <v>541.14</v>
      </c>
      <c r="M1272" s="2" t="str">
        <f t="shared" si="58"/>
        <v>April</v>
      </c>
      <c r="N1272" s="6">
        <f t="shared" si="59"/>
        <v>2005</v>
      </c>
    </row>
    <row r="1273" spans="1:14">
      <c r="A1273" s="2" t="s">
        <v>63</v>
      </c>
      <c r="B1273" s="3">
        <v>10420</v>
      </c>
      <c r="C1273" s="3">
        <v>66</v>
      </c>
      <c r="D1273" s="13">
        <v>92.95</v>
      </c>
      <c r="E1273" s="5">
        <v>38501</v>
      </c>
      <c r="F1273" s="2" t="s">
        <v>113</v>
      </c>
      <c r="G1273" s="2" t="s">
        <v>202</v>
      </c>
      <c r="H1273" s="3">
        <v>2</v>
      </c>
      <c r="I1273" s="6">
        <v>2005</v>
      </c>
      <c r="J1273" s="2" t="s">
        <v>22</v>
      </c>
      <c r="K1273" s="2" t="s">
        <v>64</v>
      </c>
      <c r="L1273" s="7">
        <f t="shared" si="57"/>
        <v>6134.7</v>
      </c>
      <c r="M1273" s="2" t="str">
        <f t="shared" si="58"/>
        <v>May</v>
      </c>
      <c r="N1273" s="6">
        <f t="shared" si="59"/>
        <v>2005</v>
      </c>
    </row>
    <row r="1274" spans="1:14">
      <c r="A1274" s="2" t="s">
        <v>122</v>
      </c>
      <c r="B1274" s="3">
        <v>10105</v>
      </c>
      <c r="C1274" s="3">
        <v>41</v>
      </c>
      <c r="D1274" s="13">
        <v>82.5</v>
      </c>
      <c r="E1274" s="5">
        <v>37663</v>
      </c>
      <c r="F1274" s="2" t="s">
        <v>13</v>
      </c>
      <c r="G1274" s="2" t="s">
        <v>202</v>
      </c>
      <c r="H1274" s="3">
        <v>1</v>
      </c>
      <c r="I1274" s="6">
        <v>2003</v>
      </c>
      <c r="J1274" s="2" t="s">
        <v>22</v>
      </c>
      <c r="K1274" s="2" t="s">
        <v>123</v>
      </c>
      <c r="L1274" s="7">
        <f t="shared" si="57"/>
        <v>3382.5</v>
      </c>
      <c r="M1274" s="2" t="str">
        <f t="shared" si="58"/>
        <v>February</v>
      </c>
      <c r="N1274" s="6">
        <f t="shared" si="59"/>
        <v>2003</v>
      </c>
    </row>
    <row r="1275" spans="1:14">
      <c r="A1275" s="2" t="s">
        <v>77</v>
      </c>
      <c r="B1275" s="3">
        <v>10117</v>
      </c>
      <c r="C1275" s="3">
        <v>23</v>
      </c>
      <c r="D1275" s="13">
        <v>97.42</v>
      </c>
      <c r="E1275" s="5">
        <v>37727</v>
      </c>
      <c r="F1275" s="2" t="s">
        <v>13</v>
      </c>
      <c r="G1275" s="2" t="s">
        <v>202</v>
      </c>
      <c r="H1275" s="3">
        <v>2</v>
      </c>
      <c r="I1275" s="6">
        <v>2003</v>
      </c>
      <c r="J1275" s="2" t="s">
        <v>15</v>
      </c>
      <c r="K1275" s="2" t="s">
        <v>78</v>
      </c>
      <c r="L1275" s="7">
        <f t="shared" si="57"/>
        <v>2240.66</v>
      </c>
      <c r="M1275" s="2" t="str">
        <f t="shared" si="58"/>
        <v>April</v>
      </c>
      <c r="N1275" s="6">
        <f t="shared" si="59"/>
        <v>2003</v>
      </c>
    </row>
    <row r="1276" spans="1:14">
      <c r="A1276" s="2" t="s">
        <v>69</v>
      </c>
      <c r="B1276" s="3">
        <v>10128</v>
      </c>
      <c r="C1276" s="3">
        <v>43</v>
      </c>
      <c r="D1276" s="13">
        <v>92.16</v>
      </c>
      <c r="E1276" s="5">
        <v>37778</v>
      </c>
      <c r="F1276" s="2" t="s">
        <v>13</v>
      </c>
      <c r="G1276" s="2" t="s">
        <v>202</v>
      </c>
      <c r="H1276" s="3">
        <v>2</v>
      </c>
      <c r="I1276" s="6">
        <v>2003</v>
      </c>
      <c r="J1276" s="2" t="s">
        <v>22</v>
      </c>
      <c r="K1276" s="2" t="s">
        <v>71</v>
      </c>
      <c r="L1276" s="7">
        <f t="shared" si="57"/>
        <v>3962.88</v>
      </c>
      <c r="M1276" s="2" t="str">
        <f t="shared" si="58"/>
        <v>June</v>
      </c>
      <c r="N1276" s="6">
        <f t="shared" si="59"/>
        <v>2003</v>
      </c>
    </row>
    <row r="1277" spans="1:14">
      <c r="A1277" s="2" t="s">
        <v>103</v>
      </c>
      <c r="B1277" s="3">
        <v>10142</v>
      </c>
      <c r="C1277" s="3">
        <v>24</v>
      </c>
      <c r="D1277" s="13">
        <v>70.22</v>
      </c>
      <c r="E1277" s="5">
        <v>37841</v>
      </c>
      <c r="F1277" s="2" t="s">
        <v>13</v>
      </c>
      <c r="G1277" s="2" t="s">
        <v>202</v>
      </c>
      <c r="H1277" s="3">
        <v>3</v>
      </c>
      <c r="I1277" s="6">
        <v>2003</v>
      </c>
      <c r="J1277" s="2" t="s">
        <v>15</v>
      </c>
      <c r="K1277" s="2" t="s">
        <v>104</v>
      </c>
      <c r="L1277" s="7">
        <f t="shared" si="57"/>
        <v>1685.28</v>
      </c>
      <c r="M1277" s="2" t="str">
        <f t="shared" si="58"/>
        <v>August</v>
      </c>
      <c r="N1277" s="6">
        <f t="shared" si="59"/>
        <v>2003</v>
      </c>
    </row>
    <row r="1278" spans="1:14">
      <c r="A1278" s="2" t="s">
        <v>69</v>
      </c>
      <c r="B1278" s="3">
        <v>10153</v>
      </c>
      <c r="C1278" s="3">
        <v>22</v>
      </c>
      <c r="D1278" s="13">
        <v>83.38</v>
      </c>
      <c r="E1278" s="5">
        <v>37892</v>
      </c>
      <c r="F1278" s="2" t="s">
        <v>13</v>
      </c>
      <c r="G1278" s="2" t="s">
        <v>202</v>
      </c>
      <c r="H1278" s="3">
        <v>3</v>
      </c>
      <c r="I1278" s="6">
        <v>2003</v>
      </c>
      <c r="J1278" s="2" t="s">
        <v>15</v>
      </c>
      <c r="K1278" s="2" t="s">
        <v>71</v>
      </c>
      <c r="L1278" s="7">
        <f t="shared" si="57"/>
        <v>1834.36</v>
      </c>
      <c r="M1278" s="2" t="str">
        <f t="shared" si="58"/>
        <v>September</v>
      </c>
      <c r="N1278" s="6">
        <f t="shared" si="59"/>
        <v>2003</v>
      </c>
    </row>
    <row r="1279" spans="1:14">
      <c r="A1279" s="2" t="s">
        <v>65</v>
      </c>
      <c r="B1279" s="3">
        <v>10166</v>
      </c>
      <c r="C1279" s="3">
        <v>26</v>
      </c>
      <c r="D1279" s="13">
        <v>73.73</v>
      </c>
      <c r="E1279" s="5">
        <v>37915</v>
      </c>
      <c r="F1279" s="2" t="s">
        <v>13</v>
      </c>
      <c r="G1279" s="2" t="s">
        <v>202</v>
      </c>
      <c r="H1279" s="3">
        <v>4</v>
      </c>
      <c r="I1279" s="6">
        <v>2003</v>
      </c>
      <c r="J1279" s="2" t="s">
        <v>15</v>
      </c>
      <c r="K1279" s="2" t="s">
        <v>66</v>
      </c>
      <c r="L1279" s="7">
        <f t="shared" si="57"/>
        <v>1916.98</v>
      </c>
      <c r="M1279" s="2" t="str">
        <f t="shared" si="58"/>
        <v>October</v>
      </c>
      <c r="N1279" s="6">
        <f t="shared" si="59"/>
        <v>2003</v>
      </c>
    </row>
    <row r="1280" spans="1:14">
      <c r="A1280" s="2" t="s">
        <v>181</v>
      </c>
      <c r="B1280" s="3">
        <v>10177</v>
      </c>
      <c r="C1280" s="3">
        <v>35</v>
      </c>
      <c r="D1280" s="13">
        <v>74.6</v>
      </c>
      <c r="E1280" s="5">
        <v>37932</v>
      </c>
      <c r="F1280" s="2" t="s">
        <v>13</v>
      </c>
      <c r="G1280" s="2" t="s">
        <v>202</v>
      </c>
      <c r="H1280" s="3">
        <v>4</v>
      </c>
      <c r="I1280" s="6">
        <v>2003</v>
      </c>
      <c r="J1280" s="2" t="s">
        <v>15</v>
      </c>
      <c r="K1280" s="2" t="s">
        <v>182</v>
      </c>
      <c r="L1280" s="7">
        <f t="shared" si="57"/>
        <v>2611</v>
      </c>
      <c r="M1280" s="2" t="str">
        <f t="shared" si="58"/>
        <v>November</v>
      </c>
      <c r="N1280" s="6">
        <f t="shared" si="59"/>
        <v>2003</v>
      </c>
    </row>
    <row r="1281" spans="1:14">
      <c r="A1281" s="2" t="s">
        <v>126</v>
      </c>
      <c r="B1281" s="3">
        <v>10185</v>
      </c>
      <c r="C1281" s="3">
        <v>47</v>
      </c>
      <c r="D1281" s="13">
        <v>77.24</v>
      </c>
      <c r="E1281" s="5">
        <v>37939</v>
      </c>
      <c r="F1281" s="2" t="s">
        <v>13</v>
      </c>
      <c r="G1281" s="2" t="s">
        <v>202</v>
      </c>
      <c r="H1281" s="3">
        <v>4</v>
      </c>
      <c r="I1281" s="6">
        <v>2003</v>
      </c>
      <c r="J1281" s="2" t="s">
        <v>22</v>
      </c>
      <c r="K1281" s="2" t="s">
        <v>127</v>
      </c>
      <c r="L1281" s="7">
        <f t="shared" si="57"/>
        <v>3630.28</v>
      </c>
      <c r="M1281" s="2" t="str">
        <f t="shared" si="58"/>
        <v>November</v>
      </c>
      <c r="N1281" s="6">
        <f t="shared" si="59"/>
        <v>2003</v>
      </c>
    </row>
    <row r="1282" spans="1:14">
      <c r="A1282" s="2" t="s">
        <v>133</v>
      </c>
      <c r="B1282" s="3">
        <v>10197</v>
      </c>
      <c r="C1282" s="3">
        <v>50</v>
      </c>
      <c r="D1282" s="13">
        <v>100</v>
      </c>
      <c r="E1282" s="5">
        <v>37951</v>
      </c>
      <c r="F1282" s="2" t="s">
        <v>13</v>
      </c>
      <c r="G1282" s="2" t="s">
        <v>202</v>
      </c>
      <c r="H1282" s="3">
        <v>4</v>
      </c>
      <c r="I1282" s="6">
        <v>2003</v>
      </c>
      <c r="J1282" s="2" t="s">
        <v>22</v>
      </c>
      <c r="K1282" s="2" t="s">
        <v>134</v>
      </c>
      <c r="L1282" s="7">
        <f t="shared" ref="L1282:L1345" si="60">PRODUCT(C1282,D1282)</f>
        <v>5000</v>
      </c>
      <c r="M1282" s="2" t="str">
        <f t="shared" ref="M1282:M1345" si="61">TEXT(E1282,"MMMM")</f>
        <v>November</v>
      </c>
      <c r="N1282" s="6">
        <f t="shared" ref="N1282:N1345" si="62">YEAR(E1282)</f>
        <v>2003</v>
      </c>
    </row>
    <row r="1283" spans="1:14">
      <c r="A1283" s="2" t="s">
        <v>85</v>
      </c>
      <c r="B1283" s="3">
        <v>10208</v>
      </c>
      <c r="C1283" s="3">
        <v>45</v>
      </c>
      <c r="D1283" s="13">
        <v>87.77</v>
      </c>
      <c r="E1283" s="5">
        <v>37988</v>
      </c>
      <c r="F1283" s="2" t="s">
        <v>13</v>
      </c>
      <c r="G1283" s="2" t="s">
        <v>202</v>
      </c>
      <c r="H1283" s="3">
        <v>1</v>
      </c>
      <c r="I1283" s="6">
        <v>2004</v>
      </c>
      <c r="J1283" s="2" t="s">
        <v>22</v>
      </c>
      <c r="K1283" s="2" t="s">
        <v>86</v>
      </c>
      <c r="L1283" s="7">
        <f t="shared" si="60"/>
        <v>3949.65</v>
      </c>
      <c r="M1283" s="2" t="str">
        <f t="shared" si="61"/>
        <v>January</v>
      </c>
      <c r="N1283" s="6">
        <f t="shared" si="62"/>
        <v>2004</v>
      </c>
    </row>
    <row r="1284" spans="1:14">
      <c r="A1284" s="2" t="s">
        <v>139</v>
      </c>
      <c r="B1284" s="3">
        <v>10221</v>
      </c>
      <c r="C1284" s="3">
        <v>39</v>
      </c>
      <c r="D1284" s="13">
        <v>89.53</v>
      </c>
      <c r="E1284" s="5">
        <v>38035</v>
      </c>
      <c r="F1284" s="2" t="s">
        <v>13</v>
      </c>
      <c r="G1284" s="2" t="s">
        <v>202</v>
      </c>
      <c r="H1284" s="3">
        <v>1</v>
      </c>
      <c r="I1284" s="6">
        <v>2004</v>
      </c>
      <c r="J1284" s="2" t="s">
        <v>22</v>
      </c>
      <c r="K1284" s="2" t="s">
        <v>140</v>
      </c>
      <c r="L1284" s="7">
        <f t="shared" si="60"/>
        <v>3491.67</v>
      </c>
      <c r="M1284" s="2" t="str">
        <f t="shared" si="61"/>
        <v>February</v>
      </c>
      <c r="N1284" s="6">
        <f t="shared" si="62"/>
        <v>2004</v>
      </c>
    </row>
    <row r="1285" spans="1:14">
      <c r="A1285" s="2" t="s">
        <v>145</v>
      </c>
      <c r="B1285" s="3">
        <v>10232</v>
      </c>
      <c r="C1285" s="3">
        <v>23</v>
      </c>
      <c r="D1285" s="13">
        <v>89.53</v>
      </c>
      <c r="E1285" s="5">
        <v>38066</v>
      </c>
      <c r="F1285" s="2" t="s">
        <v>13</v>
      </c>
      <c r="G1285" s="2" t="s">
        <v>202</v>
      </c>
      <c r="H1285" s="3">
        <v>1</v>
      </c>
      <c r="I1285" s="6">
        <v>2004</v>
      </c>
      <c r="J1285" s="2" t="s">
        <v>15</v>
      </c>
      <c r="K1285" s="2" t="s">
        <v>146</v>
      </c>
      <c r="L1285" s="7">
        <f t="shared" si="60"/>
        <v>2059.19</v>
      </c>
      <c r="M1285" s="2" t="str">
        <f t="shared" si="61"/>
        <v>March</v>
      </c>
      <c r="N1285" s="6">
        <f t="shared" si="62"/>
        <v>2004</v>
      </c>
    </row>
    <row r="1286" spans="1:14">
      <c r="A1286" s="2" t="s">
        <v>12</v>
      </c>
      <c r="B1286" s="3">
        <v>10248</v>
      </c>
      <c r="C1286" s="3">
        <v>42</v>
      </c>
      <c r="D1286" s="13">
        <v>75.48</v>
      </c>
      <c r="E1286" s="5">
        <v>38114</v>
      </c>
      <c r="F1286" s="2" t="s">
        <v>128</v>
      </c>
      <c r="G1286" s="2" t="s">
        <v>202</v>
      </c>
      <c r="H1286" s="3">
        <v>2</v>
      </c>
      <c r="I1286" s="6">
        <v>2004</v>
      </c>
      <c r="J1286" s="2" t="s">
        <v>22</v>
      </c>
      <c r="K1286" s="2" t="s">
        <v>16</v>
      </c>
      <c r="L1286" s="7">
        <f t="shared" si="60"/>
        <v>3170.16</v>
      </c>
      <c r="M1286" s="2" t="str">
        <f t="shared" si="61"/>
        <v>May</v>
      </c>
      <c r="N1286" s="6">
        <f t="shared" si="62"/>
        <v>2004</v>
      </c>
    </row>
    <row r="1287" spans="1:14">
      <c r="A1287" s="2" t="s">
        <v>111</v>
      </c>
      <c r="B1287" s="3">
        <v>10261</v>
      </c>
      <c r="C1287" s="3">
        <v>20</v>
      </c>
      <c r="D1287" s="13">
        <v>89.53</v>
      </c>
      <c r="E1287" s="5">
        <v>38155</v>
      </c>
      <c r="F1287" s="2" t="s">
        <v>13</v>
      </c>
      <c r="G1287" s="2" t="s">
        <v>202</v>
      </c>
      <c r="H1287" s="3">
        <v>2</v>
      </c>
      <c r="I1287" s="6">
        <v>2004</v>
      </c>
      <c r="J1287" s="2" t="s">
        <v>15</v>
      </c>
      <c r="K1287" s="2" t="s">
        <v>112</v>
      </c>
      <c r="L1287" s="7">
        <f t="shared" si="60"/>
        <v>1790.6</v>
      </c>
      <c r="M1287" s="2" t="str">
        <f t="shared" si="61"/>
        <v>June</v>
      </c>
      <c r="N1287" s="6">
        <f t="shared" si="62"/>
        <v>2004</v>
      </c>
    </row>
    <row r="1288" spans="1:14">
      <c r="A1288" s="2" t="s">
        <v>139</v>
      </c>
      <c r="B1288" s="3">
        <v>10273</v>
      </c>
      <c r="C1288" s="3">
        <v>33</v>
      </c>
      <c r="D1288" s="13">
        <v>71.09</v>
      </c>
      <c r="E1288" s="5">
        <v>38189</v>
      </c>
      <c r="F1288" s="2" t="s">
        <v>13</v>
      </c>
      <c r="G1288" s="2" t="s">
        <v>202</v>
      </c>
      <c r="H1288" s="3">
        <v>3</v>
      </c>
      <c r="I1288" s="6">
        <v>2004</v>
      </c>
      <c r="J1288" s="2" t="s">
        <v>15</v>
      </c>
      <c r="K1288" s="2" t="s">
        <v>140</v>
      </c>
      <c r="L1288" s="7">
        <f t="shared" si="60"/>
        <v>2345.97</v>
      </c>
      <c r="M1288" s="2" t="str">
        <f t="shared" si="61"/>
        <v>July</v>
      </c>
      <c r="N1288" s="6">
        <f t="shared" si="62"/>
        <v>2004</v>
      </c>
    </row>
    <row r="1289" spans="1:14">
      <c r="A1289" s="2" t="s">
        <v>141</v>
      </c>
      <c r="B1289" s="3">
        <v>10283</v>
      </c>
      <c r="C1289" s="3">
        <v>34</v>
      </c>
      <c r="D1289" s="13">
        <v>100</v>
      </c>
      <c r="E1289" s="5">
        <v>38219</v>
      </c>
      <c r="F1289" s="2" t="s">
        <v>13</v>
      </c>
      <c r="G1289" s="2" t="s">
        <v>202</v>
      </c>
      <c r="H1289" s="3">
        <v>3</v>
      </c>
      <c r="I1289" s="6">
        <v>2004</v>
      </c>
      <c r="J1289" s="2" t="s">
        <v>22</v>
      </c>
      <c r="K1289" s="2" t="s">
        <v>142</v>
      </c>
      <c r="L1289" s="7">
        <f t="shared" si="60"/>
        <v>3400</v>
      </c>
      <c r="M1289" s="2" t="str">
        <f t="shared" si="61"/>
        <v>August</v>
      </c>
      <c r="N1289" s="6">
        <f t="shared" si="62"/>
        <v>2004</v>
      </c>
    </row>
    <row r="1290" spans="1:14">
      <c r="A1290" s="2" t="s">
        <v>97</v>
      </c>
      <c r="B1290" s="3">
        <v>10293</v>
      </c>
      <c r="C1290" s="3">
        <v>49</v>
      </c>
      <c r="D1290" s="13">
        <v>100</v>
      </c>
      <c r="E1290" s="5">
        <v>38239</v>
      </c>
      <c r="F1290" s="2" t="s">
        <v>13</v>
      </c>
      <c r="G1290" s="2" t="s">
        <v>202</v>
      </c>
      <c r="H1290" s="3">
        <v>3</v>
      </c>
      <c r="I1290" s="6">
        <v>2004</v>
      </c>
      <c r="J1290" s="2" t="s">
        <v>22</v>
      </c>
      <c r="K1290" s="2" t="s">
        <v>98</v>
      </c>
      <c r="L1290" s="7">
        <f t="shared" si="60"/>
        <v>4900</v>
      </c>
      <c r="M1290" s="2" t="str">
        <f t="shared" si="61"/>
        <v>September</v>
      </c>
      <c r="N1290" s="6">
        <f t="shared" si="62"/>
        <v>2004</v>
      </c>
    </row>
    <row r="1291" spans="1:14">
      <c r="A1291" s="2" t="s">
        <v>183</v>
      </c>
      <c r="B1291" s="3">
        <v>10306</v>
      </c>
      <c r="C1291" s="3">
        <v>39</v>
      </c>
      <c r="D1291" s="13">
        <v>90.4</v>
      </c>
      <c r="E1291" s="5">
        <v>38274</v>
      </c>
      <c r="F1291" s="2" t="s">
        <v>13</v>
      </c>
      <c r="G1291" s="2" t="s">
        <v>202</v>
      </c>
      <c r="H1291" s="3">
        <v>4</v>
      </c>
      <c r="I1291" s="6">
        <v>2004</v>
      </c>
      <c r="J1291" s="2" t="s">
        <v>22</v>
      </c>
      <c r="K1291" s="2" t="s">
        <v>184</v>
      </c>
      <c r="L1291" s="7">
        <f t="shared" si="60"/>
        <v>3525.6</v>
      </c>
      <c r="M1291" s="2" t="str">
        <f t="shared" si="61"/>
        <v>October</v>
      </c>
      <c r="N1291" s="6">
        <f t="shared" si="62"/>
        <v>2004</v>
      </c>
    </row>
    <row r="1292" spans="1:14">
      <c r="A1292" s="2" t="s">
        <v>50</v>
      </c>
      <c r="B1292" s="3">
        <v>10315</v>
      </c>
      <c r="C1292" s="3">
        <v>36</v>
      </c>
      <c r="D1292" s="13">
        <v>100</v>
      </c>
      <c r="E1292" s="5">
        <v>38289</v>
      </c>
      <c r="F1292" s="2" t="s">
        <v>13</v>
      </c>
      <c r="G1292" s="2" t="s">
        <v>202</v>
      </c>
      <c r="H1292" s="3">
        <v>4</v>
      </c>
      <c r="I1292" s="6">
        <v>2004</v>
      </c>
      <c r="J1292" s="2" t="s">
        <v>22</v>
      </c>
      <c r="K1292" s="2" t="s">
        <v>51</v>
      </c>
      <c r="L1292" s="7">
        <f t="shared" si="60"/>
        <v>3600</v>
      </c>
      <c r="M1292" s="2" t="str">
        <f t="shared" si="61"/>
        <v>October</v>
      </c>
      <c r="N1292" s="6">
        <f t="shared" si="62"/>
        <v>2004</v>
      </c>
    </row>
    <row r="1293" spans="1:14">
      <c r="A1293" s="2" t="s">
        <v>73</v>
      </c>
      <c r="B1293" s="3">
        <v>10326</v>
      </c>
      <c r="C1293" s="3">
        <v>50</v>
      </c>
      <c r="D1293" s="13">
        <v>86.01</v>
      </c>
      <c r="E1293" s="5">
        <v>38300</v>
      </c>
      <c r="F1293" s="2" t="s">
        <v>13</v>
      </c>
      <c r="G1293" s="2" t="s">
        <v>202</v>
      </c>
      <c r="H1293" s="3">
        <v>4</v>
      </c>
      <c r="I1293" s="6">
        <v>2004</v>
      </c>
      <c r="J1293" s="2" t="s">
        <v>22</v>
      </c>
      <c r="K1293" s="2" t="s">
        <v>74</v>
      </c>
      <c r="L1293" s="7">
        <f t="shared" si="60"/>
        <v>4300.5</v>
      </c>
      <c r="M1293" s="2" t="str">
        <f t="shared" si="61"/>
        <v>November</v>
      </c>
      <c r="N1293" s="6">
        <f t="shared" si="62"/>
        <v>2004</v>
      </c>
    </row>
    <row r="1294" spans="1:14">
      <c r="A1294" s="2" t="s">
        <v>79</v>
      </c>
      <c r="B1294" s="3">
        <v>10337</v>
      </c>
      <c r="C1294" s="3">
        <v>29</v>
      </c>
      <c r="D1294" s="13">
        <v>100</v>
      </c>
      <c r="E1294" s="5">
        <v>38312</v>
      </c>
      <c r="F1294" s="2" t="s">
        <v>13</v>
      </c>
      <c r="G1294" s="2" t="s">
        <v>202</v>
      </c>
      <c r="H1294" s="3">
        <v>4</v>
      </c>
      <c r="I1294" s="6">
        <v>2004</v>
      </c>
      <c r="J1294" s="2" t="s">
        <v>22</v>
      </c>
      <c r="K1294" s="2" t="s">
        <v>80</v>
      </c>
      <c r="L1294" s="7">
        <f t="shared" si="60"/>
        <v>2900</v>
      </c>
      <c r="M1294" s="2" t="str">
        <f t="shared" si="61"/>
        <v>November</v>
      </c>
      <c r="N1294" s="6">
        <f t="shared" si="62"/>
        <v>2004</v>
      </c>
    </row>
    <row r="1295" spans="1:14">
      <c r="A1295" s="2" t="s">
        <v>69</v>
      </c>
      <c r="B1295" s="3">
        <v>10350</v>
      </c>
      <c r="C1295" s="3">
        <v>30</v>
      </c>
      <c r="D1295" s="13">
        <v>100</v>
      </c>
      <c r="E1295" s="5">
        <v>38323</v>
      </c>
      <c r="F1295" s="2" t="s">
        <v>13</v>
      </c>
      <c r="G1295" s="2" t="s">
        <v>202</v>
      </c>
      <c r="H1295" s="3">
        <v>4</v>
      </c>
      <c r="I1295" s="6">
        <v>2004</v>
      </c>
      <c r="J1295" s="2" t="s">
        <v>22</v>
      </c>
      <c r="K1295" s="2" t="s">
        <v>71</v>
      </c>
      <c r="L1295" s="7">
        <f t="shared" si="60"/>
        <v>3000</v>
      </c>
      <c r="M1295" s="2" t="str">
        <f t="shared" si="61"/>
        <v>December</v>
      </c>
      <c r="N1295" s="6">
        <f t="shared" si="62"/>
        <v>2004</v>
      </c>
    </row>
    <row r="1296" spans="1:14">
      <c r="A1296" s="2" t="s">
        <v>95</v>
      </c>
      <c r="B1296" s="3">
        <v>10372</v>
      </c>
      <c r="C1296" s="3">
        <v>41</v>
      </c>
      <c r="D1296" s="13">
        <v>86.89</v>
      </c>
      <c r="E1296" s="5">
        <v>38378</v>
      </c>
      <c r="F1296" s="2" t="s">
        <v>13</v>
      </c>
      <c r="G1296" s="2" t="s">
        <v>202</v>
      </c>
      <c r="H1296" s="3">
        <v>1</v>
      </c>
      <c r="I1296" s="6">
        <v>2005</v>
      </c>
      <c r="J1296" s="2" t="s">
        <v>22</v>
      </c>
      <c r="K1296" s="2" t="s">
        <v>96</v>
      </c>
      <c r="L1296" s="7">
        <f t="shared" si="60"/>
        <v>3562.49</v>
      </c>
      <c r="M1296" s="2" t="str">
        <f t="shared" si="61"/>
        <v>January</v>
      </c>
      <c r="N1296" s="6">
        <f t="shared" si="62"/>
        <v>2005</v>
      </c>
    </row>
    <row r="1297" spans="1:14">
      <c r="A1297" s="2" t="s">
        <v>69</v>
      </c>
      <c r="B1297" s="3">
        <v>10383</v>
      </c>
      <c r="C1297" s="3">
        <v>28</v>
      </c>
      <c r="D1297" s="13">
        <v>58.58</v>
      </c>
      <c r="E1297" s="5">
        <v>38405</v>
      </c>
      <c r="F1297" s="2" t="s">
        <v>13</v>
      </c>
      <c r="G1297" s="2" t="s">
        <v>202</v>
      </c>
      <c r="H1297" s="3">
        <v>1</v>
      </c>
      <c r="I1297" s="6">
        <v>2005</v>
      </c>
      <c r="J1297" s="2" t="s">
        <v>15</v>
      </c>
      <c r="K1297" s="2" t="s">
        <v>71</v>
      </c>
      <c r="L1297" s="7">
        <f t="shared" si="60"/>
        <v>1640.24</v>
      </c>
      <c r="M1297" s="2" t="str">
        <f t="shared" si="61"/>
        <v>February</v>
      </c>
      <c r="N1297" s="6">
        <f t="shared" si="62"/>
        <v>2005</v>
      </c>
    </row>
    <row r="1298" spans="1:14">
      <c r="A1298" s="2" t="s">
        <v>103</v>
      </c>
      <c r="B1298" s="3">
        <v>10396</v>
      </c>
      <c r="C1298" s="3">
        <v>45</v>
      </c>
      <c r="D1298" s="13">
        <v>100</v>
      </c>
      <c r="E1298" s="5">
        <v>38434</v>
      </c>
      <c r="F1298" s="2" t="s">
        <v>13</v>
      </c>
      <c r="G1298" s="2" t="s">
        <v>202</v>
      </c>
      <c r="H1298" s="3">
        <v>1</v>
      </c>
      <c r="I1298" s="6">
        <v>2005</v>
      </c>
      <c r="J1298" s="2" t="s">
        <v>22</v>
      </c>
      <c r="K1298" s="2" t="s">
        <v>104</v>
      </c>
      <c r="L1298" s="7">
        <f t="shared" si="60"/>
        <v>4500</v>
      </c>
      <c r="M1298" s="2" t="str">
        <f t="shared" si="61"/>
        <v>March</v>
      </c>
      <c r="N1298" s="6">
        <f t="shared" si="62"/>
        <v>2005</v>
      </c>
    </row>
    <row r="1299" spans="1:14">
      <c r="A1299" s="2" t="s">
        <v>143</v>
      </c>
      <c r="B1299" s="3">
        <v>10414</v>
      </c>
      <c r="C1299" s="3">
        <v>16</v>
      </c>
      <c r="D1299" s="13">
        <v>75.48</v>
      </c>
      <c r="E1299" s="5">
        <v>38478</v>
      </c>
      <c r="F1299" s="2" t="s">
        <v>151</v>
      </c>
      <c r="G1299" s="2" t="s">
        <v>202</v>
      </c>
      <c r="H1299" s="3">
        <v>2</v>
      </c>
      <c r="I1299" s="6">
        <v>2005</v>
      </c>
      <c r="J1299" s="2" t="s">
        <v>15</v>
      </c>
      <c r="K1299" s="2" t="s">
        <v>144</v>
      </c>
      <c r="L1299" s="7">
        <f t="shared" si="60"/>
        <v>1207.68</v>
      </c>
      <c r="M1299" s="2" t="str">
        <f t="shared" si="61"/>
        <v>May</v>
      </c>
      <c r="N1299" s="6">
        <f t="shared" si="62"/>
        <v>2005</v>
      </c>
    </row>
    <row r="1300" spans="1:14">
      <c r="A1300" s="2" t="s">
        <v>56</v>
      </c>
      <c r="B1300" s="3">
        <v>10103</v>
      </c>
      <c r="C1300" s="3">
        <v>36</v>
      </c>
      <c r="D1300" s="13">
        <v>100</v>
      </c>
      <c r="E1300" s="5">
        <v>37650</v>
      </c>
      <c r="F1300" s="2" t="s">
        <v>13</v>
      </c>
      <c r="G1300" s="2" t="s">
        <v>187</v>
      </c>
      <c r="H1300" s="3">
        <v>1</v>
      </c>
      <c r="I1300" s="6">
        <v>2003</v>
      </c>
      <c r="J1300" s="2" t="s">
        <v>22</v>
      </c>
      <c r="K1300" s="2" t="s">
        <v>57</v>
      </c>
      <c r="L1300" s="7">
        <f t="shared" si="60"/>
        <v>3600</v>
      </c>
      <c r="M1300" s="2" t="str">
        <f t="shared" si="61"/>
        <v>January</v>
      </c>
      <c r="N1300" s="6">
        <f t="shared" si="62"/>
        <v>2003</v>
      </c>
    </row>
    <row r="1301" spans="1:14">
      <c r="A1301" s="2" t="s">
        <v>152</v>
      </c>
      <c r="B1301" s="3">
        <v>10114</v>
      </c>
      <c r="C1301" s="3">
        <v>41</v>
      </c>
      <c r="D1301" s="13">
        <v>100</v>
      </c>
      <c r="E1301" s="5">
        <v>37712</v>
      </c>
      <c r="F1301" s="2" t="s">
        <v>13</v>
      </c>
      <c r="G1301" s="2" t="s">
        <v>187</v>
      </c>
      <c r="H1301" s="3">
        <v>2</v>
      </c>
      <c r="I1301" s="6">
        <v>2003</v>
      </c>
      <c r="J1301" s="2" t="s">
        <v>22</v>
      </c>
      <c r="K1301" s="2" t="s">
        <v>153</v>
      </c>
      <c r="L1301" s="7">
        <f t="shared" si="60"/>
        <v>4100</v>
      </c>
      <c r="M1301" s="2" t="str">
        <f t="shared" si="61"/>
        <v>April</v>
      </c>
      <c r="N1301" s="6">
        <f t="shared" si="62"/>
        <v>2003</v>
      </c>
    </row>
    <row r="1302" spans="1:14">
      <c r="A1302" s="2" t="s">
        <v>75</v>
      </c>
      <c r="B1302" s="3">
        <v>10126</v>
      </c>
      <c r="C1302" s="3">
        <v>50</v>
      </c>
      <c r="D1302" s="13">
        <v>100</v>
      </c>
      <c r="E1302" s="5">
        <v>37769</v>
      </c>
      <c r="F1302" s="2" t="s">
        <v>13</v>
      </c>
      <c r="G1302" s="2" t="s">
        <v>187</v>
      </c>
      <c r="H1302" s="3">
        <v>2</v>
      </c>
      <c r="I1302" s="6">
        <v>2003</v>
      </c>
      <c r="J1302" s="2" t="s">
        <v>61</v>
      </c>
      <c r="K1302" s="2" t="s">
        <v>76</v>
      </c>
      <c r="L1302" s="7">
        <f t="shared" si="60"/>
        <v>5000</v>
      </c>
      <c r="M1302" s="2" t="str">
        <f t="shared" si="61"/>
        <v>May</v>
      </c>
      <c r="N1302" s="6">
        <f t="shared" si="62"/>
        <v>2003</v>
      </c>
    </row>
    <row r="1303" spans="1:14">
      <c r="A1303" s="2" t="s">
        <v>31</v>
      </c>
      <c r="B1303" s="3">
        <v>10140</v>
      </c>
      <c r="C1303" s="3">
        <v>40</v>
      </c>
      <c r="D1303" s="13">
        <v>100</v>
      </c>
      <c r="E1303" s="5">
        <v>37826</v>
      </c>
      <c r="F1303" s="2" t="s">
        <v>13</v>
      </c>
      <c r="G1303" s="2" t="s">
        <v>187</v>
      </c>
      <c r="H1303" s="3">
        <v>3</v>
      </c>
      <c r="I1303" s="6">
        <v>2003</v>
      </c>
      <c r="J1303" s="2" t="s">
        <v>22</v>
      </c>
      <c r="K1303" s="2" t="s">
        <v>32</v>
      </c>
      <c r="L1303" s="7">
        <f t="shared" si="60"/>
        <v>4000</v>
      </c>
      <c r="M1303" s="2" t="str">
        <f t="shared" si="61"/>
        <v>July</v>
      </c>
      <c r="N1303" s="6">
        <f t="shared" si="62"/>
        <v>2003</v>
      </c>
    </row>
    <row r="1304" spans="1:14">
      <c r="A1304" s="2" t="s">
        <v>77</v>
      </c>
      <c r="B1304" s="3">
        <v>10150</v>
      </c>
      <c r="C1304" s="3">
        <v>49</v>
      </c>
      <c r="D1304" s="13">
        <v>100</v>
      </c>
      <c r="E1304" s="5">
        <v>37883</v>
      </c>
      <c r="F1304" s="2" t="s">
        <v>13</v>
      </c>
      <c r="G1304" s="2" t="s">
        <v>187</v>
      </c>
      <c r="H1304" s="3">
        <v>3</v>
      </c>
      <c r="I1304" s="6">
        <v>2003</v>
      </c>
      <c r="J1304" s="2" t="s">
        <v>22</v>
      </c>
      <c r="K1304" s="2" t="s">
        <v>78</v>
      </c>
      <c r="L1304" s="7">
        <f t="shared" si="60"/>
        <v>4900</v>
      </c>
      <c r="M1304" s="2" t="str">
        <f t="shared" si="61"/>
        <v>September</v>
      </c>
      <c r="N1304" s="6">
        <f t="shared" si="62"/>
        <v>2003</v>
      </c>
    </row>
    <row r="1305" spans="1:14">
      <c r="A1305" s="2" t="s">
        <v>154</v>
      </c>
      <c r="B1305" s="3">
        <v>10164</v>
      </c>
      <c r="C1305" s="3">
        <v>45</v>
      </c>
      <c r="D1305" s="13">
        <v>100</v>
      </c>
      <c r="E1305" s="5">
        <v>37915</v>
      </c>
      <c r="F1305" s="2" t="s">
        <v>155</v>
      </c>
      <c r="G1305" s="2" t="s">
        <v>187</v>
      </c>
      <c r="H1305" s="3">
        <v>4</v>
      </c>
      <c r="I1305" s="6">
        <v>2003</v>
      </c>
      <c r="J1305" s="2" t="s">
        <v>22</v>
      </c>
      <c r="K1305" s="2" t="s">
        <v>156</v>
      </c>
      <c r="L1305" s="7">
        <f t="shared" si="60"/>
        <v>4500</v>
      </c>
      <c r="M1305" s="2" t="str">
        <f t="shared" si="61"/>
        <v>October</v>
      </c>
      <c r="N1305" s="6">
        <f t="shared" si="62"/>
        <v>2003</v>
      </c>
    </row>
    <row r="1306" spans="1:14">
      <c r="A1306" s="2" t="s">
        <v>124</v>
      </c>
      <c r="B1306" s="3">
        <v>10175</v>
      </c>
      <c r="C1306" s="3">
        <v>47</v>
      </c>
      <c r="D1306" s="13">
        <v>100</v>
      </c>
      <c r="E1306" s="5">
        <v>37931</v>
      </c>
      <c r="F1306" s="2" t="s">
        <v>13</v>
      </c>
      <c r="G1306" s="2" t="s">
        <v>187</v>
      </c>
      <c r="H1306" s="3">
        <v>4</v>
      </c>
      <c r="I1306" s="6">
        <v>2003</v>
      </c>
      <c r="J1306" s="2" t="s">
        <v>22</v>
      </c>
      <c r="K1306" s="2" t="s">
        <v>125</v>
      </c>
      <c r="L1306" s="7">
        <f t="shared" si="60"/>
        <v>4700</v>
      </c>
      <c r="M1306" s="2" t="str">
        <f t="shared" si="61"/>
        <v>November</v>
      </c>
      <c r="N1306" s="6">
        <f t="shared" si="62"/>
        <v>2003</v>
      </c>
    </row>
    <row r="1307" spans="1:14">
      <c r="A1307" s="2" t="s">
        <v>83</v>
      </c>
      <c r="B1307" s="3">
        <v>10183</v>
      </c>
      <c r="C1307" s="3">
        <v>21</v>
      </c>
      <c r="D1307" s="13">
        <v>100</v>
      </c>
      <c r="E1307" s="5">
        <v>37938</v>
      </c>
      <c r="F1307" s="2" t="s">
        <v>13</v>
      </c>
      <c r="G1307" s="2" t="s">
        <v>187</v>
      </c>
      <c r="H1307" s="3">
        <v>4</v>
      </c>
      <c r="I1307" s="6">
        <v>2003</v>
      </c>
      <c r="J1307" s="2" t="s">
        <v>15</v>
      </c>
      <c r="K1307" s="2" t="s">
        <v>84</v>
      </c>
      <c r="L1307" s="7">
        <f t="shared" si="60"/>
        <v>2100</v>
      </c>
      <c r="M1307" s="2" t="str">
        <f t="shared" si="61"/>
        <v>November</v>
      </c>
      <c r="N1307" s="6">
        <f t="shared" si="62"/>
        <v>2003</v>
      </c>
    </row>
    <row r="1308" spans="1:14">
      <c r="A1308" s="2" t="s">
        <v>85</v>
      </c>
      <c r="B1308" s="3">
        <v>10194</v>
      </c>
      <c r="C1308" s="3">
        <v>32</v>
      </c>
      <c r="D1308" s="13">
        <v>100</v>
      </c>
      <c r="E1308" s="5">
        <v>37950</v>
      </c>
      <c r="F1308" s="2" t="s">
        <v>13</v>
      </c>
      <c r="G1308" s="2" t="s">
        <v>187</v>
      </c>
      <c r="H1308" s="3">
        <v>4</v>
      </c>
      <c r="I1308" s="6">
        <v>2003</v>
      </c>
      <c r="J1308" s="2" t="s">
        <v>22</v>
      </c>
      <c r="K1308" s="2" t="s">
        <v>86</v>
      </c>
      <c r="L1308" s="7">
        <f t="shared" si="60"/>
        <v>3200</v>
      </c>
      <c r="M1308" s="2" t="str">
        <f t="shared" si="61"/>
        <v>November</v>
      </c>
      <c r="N1308" s="6">
        <f t="shared" si="62"/>
        <v>2003</v>
      </c>
    </row>
    <row r="1309" spans="1:14">
      <c r="A1309" s="2" t="s">
        <v>157</v>
      </c>
      <c r="B1309" s="3">
        <v>10207</v>
      </c>
      <c r="C1309" s="3">
        <v>47</v>
      </c>
      <c r="D1309" s="13">
        <v>100</v>
      </c>
      <c r="E1309" s="5">
        <v>37964</v>
      </c>
      <c r="F1309" s="2" t="s">
        <v>13</v>
      </c>
      <c r="G1309" s="2" t="s">
        <v>187</v>
      </c>
      <c r="H1309" s="3">
        <v>4</v>
      </c>
      <c r="I1309" s="6">
        <v>2003</v>
      </c>
      <c r="J1309" s="2" t="s">
        <v>22</v>
      </c>
      <c r="K1309" s="2" t="s">
        <v>158</v>
      </c>
      <c r="L1309" s="7">
        <f t="shared" si="60"/>
        <v>4700</v>
      </c>
      <c r="M1309" s="2" t="str">
        <f t="shared" si="61"/>
        <v>December</v>
      </c>
      <c r="N1309" s="6">
        <f t="shared" si="62"/>
        <v>2003</v>
      </c>
    </row>
    <row r="1310" spans="1:14">
      <c r="A1310" s="2" t="s">
        <v>159</v>
      </c>
      <c r="B1310" s="3">
        <v>10217</v>
      </c>
      <c r="C1310" s="3">
        <v>38</v>
      </c>
      <c r="D1310" s="13">
        <v>100</v>
      </c>
      <c r="E1310" s="5">
        <v>38021</v>
      </c>
      <c r="F1310" s="2" t="s">
        <v>13</v>
      </c>
      <c r="G1310" s="2" t="s">
        <v>187</v>
      </c>
      <c r="H1310" s="3">
        <v>1</v>
      </c>
      <c r="I1310" s="6">
        <v>2004</v>
      </c>
      <c r="J1310" s="2" t="s">
        <v>22</v>
      </c>
      <c r="K1310" s="2" t="s">
        <v>160</v>
      </c>
      <c r="L1310" s="7">
        <f t="shared" si="60"/>
        <v>3800</v>
      </c>
      <c r="M1310" s="2" t="str">
        <f t="shared" si="61"/>
        <v>February</v>
      </c>
      <c r="N1310" s="6">
        <f t="shared" si="62"/>
        <v>2004</v>
      </c>
    </row>
    <row r="1311" spans="1:14">
      <c r="A1311" s="2" t="s">
        <v>103</v>
      </c>
      <c r="B1311" s="3">
        <v>10229</v>
      </c>
      <c r="C1311" s="3">
        <v>41</v>
      </c>
      <c r="D1311" s="13">
        <v>100</v>
      </c>
      <c r="E1311" s="5">
        <v>38057</v>
      </c>
      <c r="F1311" s="2" t="s">
        <v>13</v>
      </c>
      <c r="G1311" s="2" t="s">
        <v>187</v>
      </c>
      <c r="H1311" s="3">
        <v>1</v>
      </c>
      <c r="I1311" s="6">
        <v>2004</v>
      </c>
      <c r="J1311" s="2" t="s">
        <v>22</v>
      </c>
      <c r="K1311" s="2" t="s">
        <v>104</v>
      </c>
      <c r="L1311" s="7">
        <f t="shared" si="60"/>
        <v>4100</v>
      </c>
      <c r="M1311" s="2" t="str">
        <f t="shared" si="61"/>
        <v>March</v>
      </c>
      <c r="N1311" s="6">
        <f t="shared" si="62"/>
        <v>2004</v>
      </c>
    </row>
    <row r="1312" spans="1:14">
      <c r="A1312" s="2" t="s">
        <v>93</v>
      </c>
      <c r="B1312" s="3">
        <v>10245</v>
      </c>
      <c r="C1312" s="3">
        <v>21</v>
      </c>
      <c r="D1312" s="13">
        <v>100</v>
      </c>
      <c r="E1312" s="5">
        <v>38111</v>
      </c>
      <c r="F1312" s="2" t="s">
        <v>13</v>
      </c>
      <c r="G1312" s="2" t="s">
        <v>187</v>
      </c>
      <c r="H1312" s="3">
        <v>2</v>
      </c>
      <c r="I1312" s="6">
        <v>2004</v>
      </c>
      <c r="J1312" s="2" t="s">
        <v>15</v>
      </c>
      <c r="K1312" s="2" t="s">
        <v>94</v>
      </c>
      <c r="L1312" s="7">
        <f t="shared" si="60"/>
        <v>2100</v>
      </c>
      <c r="M1312" s="2" t="str">
        <f t="shared" si="61"/>
        <v>May</v>
      </c>
      <c r="N1312" s="6">
        <f t="shared" si="62"/>
        <v>2004</v>
      </c>
    </row>
    <row r="1313" spans="1:14">
      <c r="A1313" s="2" t="s">
        <v>159</v>
      </c>
      <c r="B1313" s="3">
        <v>10259</v>
      </c>
      <c r="C1313" s="3">
        <v>41</v>
      </c>
      <c r="D1313" s="13">
        <v>100</v>
      </c>
      <c r="E1313" s="5">
        <v>38153</v>
      </c>
      <c r="F1313" s="2" t="s">
        <v>13</v>
      </c>
      <c r="G1313" s="2" t="s">
        <v>187</v>
      </c>
      <c r="H1313" s="3">
        <v>2</v>
      </c>
      <c r="I1313" s="6">
        <v>2004</v>
      </c>
      <c r="J1313" s="2" t="s">
        <v>22</v>
      </c>
      <c r="K1313" s="2" t="s">
        <v>160</v>
      </c>
      <c r="L1313" s="7">
        <f t="shared" si="60"/>
        <v>4100</v>
      </c>
      <c r="M1313" s="2" t="str">
        <f t="shared" si="61"/>
        <v>June</v>
      </c>
      <c r="N1313" s="6">
        <f t="shared" si="62"/>
        <v>2004</v>
      </c>
    </row>
    <row r="1314" spans="1:14">
      <c r="A1314" s="2" t="s">
        <v>63</v>
      </c>
      <c r="B1314" s="3">
        <v>10270</v>
      </c>
      <c r="C1314" s="3">
        <v>38</v>
      </c>
      <c r="D1314" s="13">
        <v>100</v>
      </c>
      <c r="E1314" s="5">
        <v>38187</v>
      </c>
      <c r="F1314" s="2" t="s">
        <v>13</v>
      </c>
      <c r="G1314" s="2" t="s">
        <v>187</v>
      </c>
      <c r="H1314" s="3">
        <v>3</v>
      </c>
      <c r="I1314" s="6">
        <v>2004</v>
      </c>
      <c r="J1314" s="2" t="s">
        <v>22</v>
      </c>
      <c r="K1314" s="2" t="s">
        <v>64</v>
      </c>
      <c r="L1314" s="7">
        <f t="shared" si="60"/>
        <v>3800</v>
      </c>
      <c r="M1314" s="2" t="str">
        <f t="shared" si="61"/>
        <v>July</v>
      </c>
      <c r="N1314" s="6">
        <f t="shared" si="62"/>
        <v>2004</v>
      </c>
    </row>
    <row r="1315" spans="1:14">
      <c r="A1315" s="2" t="s">
        <v>58</v>
      </c>
      <c r="B1315" s="3">
        <v>10281</v>
      </c>
      <c r="C1315" s="3">
        <v>25</v>
      </c>
      <c r="D1315" s="13">
        <v>99.29</v>
      </c>
      <c r="E1315" s="5">
        <v>38218</v>
      </c>
      <c r="F1315" s="2" t="s">
        <v>13</v>
      </c>
      <c r="G1315" s="2" t="s">
        <v>187</v>
      </c>
      <c r="H1315" s="3">
        <v>3</v>
      </c>
      <c r="I1315" s="6">
        <v>2004</v>
      </c>
      <c r="J1315" s="2" t="s">
        <v>15</v>
      </c>
      <c r="K1315" s="2" t="s">
        <v>59</v>
      </c>
      <c r="L1315" s="7">
        <f t="shared" si="60"/>
        <v>2482.25</v>
      </c>
      <c r="M1315" s="2" t="str">
        <f t="shared" si="61"/>
        <v>August</v>
      </c>
      <c r="N1315" s="6">
        <f t="shared" si="62"/>
        <v>2004</v>
      </c>
    </row>
    <row r="1316" spans="1:14">
      <c r="A1316" s="2" t="s">
        <v>99</v>
      </c>
      <c r="B1316" s="3">
        <v>10291</v>
      </c>
      <c r="C1316" s="3">
        <v>48</v>
      </c>
      <c r="D1316" s="13">
        <v>100</v>
      </c>
      <c r="E1316" s="5">
        <v>38238</v>
      </c>
      <c r="F1316" s="2" t="s">
        <v>13</v>
      </c>
      <c r="G1316" s="2" t="s">
        <v>187</v>
      </c>
      <c r="H1316" s="3">
        <v>3</v>
      </c>
      <c r="I1316" s="6">
        <v>2004</v>
      </c>
      <c r="J1316" s="2" t="s">
        <v>22</v>
      </c>
      <c r="K1316" s="2" t="s">
        <v>100</v>
      </c>
      <c r="L1316" s="7">
        <f t="shared" si="60"/>
        <v>4800</v>
      </c>
      <c r="M1316" s="2" t="str">
        <f t="shared" si="61"/>
        <v>September</v>
      </c>
      <c r="N1316" s="6">
        <f t="shared" si="62"/>
        <v>2004</v>
      </c>
    </row>
    <row r="1317" spans="1:14">
      <c r="A1317" s="2" t="s">
        <v>52</v>
      </c>
      <c r="B1317" s="3">
        <v>10305</v>
      </c>
      <c r="C1317" s="3">
        <v>22</v>
      </c>
      <c r="D1317" s="13">
        <v>99.29</v>
      </c>
      <c r="E1317" s="5">
        <v>38273</v>
      </c>
      <c r="F1317" s="2" t="s">
        <v>13</v>
      </c>
      <c r="G1317" s="2" t="s">
        <v>187</v>
      </c>
      <c r="H1317" s="3">
        <v>4</v>
      </c>
      <c r="I1317" s="6">
        <v>2004</v>
      </c>
      <c r="J1317" s="2" t="s">
        <v>15</v>
      </c>
      <c r="K1317" s="2" t="s">
        <v>53</v>
      </c>
      <c r="L1317" s="7">
        <f t="shared" si="60"/>
        <v>2184.38</v>
      </c>
      <c r="M1317" s="2" t="str">
        <f t="shared" si="61"/>
        <v>October</v>
      </c>
      <c r="N1317" s="6">
        <f t="shared" si="62"/>
        <v>2004</v>
      </c>
    </row>
    <row r="1318" spans="1:14">
      <c r="A1318" s="2" t="s">
        <v>87</v>
      </c>
      <c r="B1318" s="3">
        <v>10313</v>
      </c>
      <c r="C1318" s="3">
        <v>28</v>
      </c>
      <c r="D1318" s="13">
        <v>100</v>
      </c>
      <c r="E1318" s="5">
        <v>38282</v>
      </c>
      <c r="F1318" s="2" t="s">
        <v>13</v>
      </c>
      <c r="G1318" s="2" t="s">
        <v>187</v>
      </c>
      <c r="H1318" s="3">
        <v>4</v>
      </c>
      <c r="I1318" s="6">
        <v>2004</v>
      </c>
      <c r="J1318" s="2" t="s">
        <v>15</v>
      </c>
      <c r="K1318" s="2" t="s">
        <v>88</v>
      </c>
      <c r="L1318" s="7">
        <f t="shared" si="60"/>
        <v>2800</v>
      </c>
      <c r="M1318" s="2" t="str">
        <f t="shared" si="61"/>
        <v>October</v>
      </c>
      <c r="N1318" s="6">
        <f t="shared" si="62"/>
        <v>2004</v>
      </c>
    </row>
    <row r="1319" spans="1:14">
      <c r="A1319" s="2" t="s">
        <v>173</v>
      </c>
      <c r="B1319" s="3">
        <v>10323</v>
      </c>
      <c r="C1319" s="3">
        <v>47</v>
      </c>
      <c r="D1319" s="13">
        <v>100</v>
      </c>
      <c r="E1319" s="5">
        <v>38296</v>
      </c>
      <c r="F1319" s="2" t="s">
        <v>13</v>
      </c>
      <c r="G1319" s="2" t="s">
        <v>187</v>
      </c>
      <c r="H1319" s="3">
        <v>4</v>
      </c>
      <c r="I1319" s="6">
        <v>2004</v>
      </c>
      <c r="J1319" s="2" t="s">
        <v>22</v>
      </c>
      <c r="K1319" s="2" t="s">
        <v>174</v>
      </c>
      <c r="L1319" s="7">
        <f t="shared" si="60"/>
        <v>4700</v>
      </c>
      <c r="M1319" s="2" t="str">
        <f t="shared" si="61"/>
        <v>November</v>
      </c>
      <c r="N1319" s="6">
        <f t="shared" si="62"/>
        <v>2004</v>
      </c>
    </row>
    <row r="1320" spans="1:14">
      <c r="A1320" s="2" t="s">
        <v>73</v>
      </c>
      <c r="B1320" s="3">
        <v>10334</v>
      </c>
      <c r="C1320" s="3">
        <v>49</v>
      </c>
      <c r="D1320" s="13">
        <v>100</v>
      </c>
      <c r="E1320" s="5">
        <v>38310</v>
      </c>
      <c r="F1320" s="2" t="s">
        <v>151</v>
      </c>
      <c r="G1320" s="2" t="s">
        <v>187</v>
      </c>
      <c r="H1320" s="3">
        <v>4</v>
      </c>
      <c r="I1320" s="6">
        <v>2004</v>
      </c>
      <c r="J1320" s="2" t="s">
        <v>22</v>
      </c>
      <c r="K1320" s="2" t="s">
        <v>74</v>
      </c>
      <c r="L1320" s="7">
        <f t="shared" si="60"/>
        <v>4900</v>
      </c>
      <c r="M1320" s="2" t="str">
        <f t="shared" si="61"/>
        <v>November</v>
      </c>
      <c r="N1320" s="6">
        <f t="shared" si="62"/>
        <v>2004</v>
      </c>
    </row>
    <row r="1321" spans="1:14">
      <c r="A1321" s="2" t="s">
        <v>42</v>
      </c>
      <c r="B1321" s="3">
        <v>10347</v>
      </c>
      <c r="C1321" s="3">
        <v>45</v>
      </c>
      <c r="D1321" s="13">
        <v>100</v>
      </c>
      <c r="E1321" s="5">
        <v>38320</v>
      </c>
      <c r="F1321" s="2" t="s">
        <v>13</v>
      </c>
      <c r="G1321" s="2" t="s">
        <v>187</v>
      </c>
      <c r="H1321" s="3">
        <v>4</v>
      </c>
      <c r="I1321" s="6">
        <v>2004</v>
      </c>
      <c r="J1321" s="2" t="s">
        <v>22</v>
      </c>
      <c r="K1321" s="2" t="s">
        <v>43</v>
      </c>
      <c r="L1321" s="7">
        <f t="shared" si="60"/>
        <v>4500</v>
      </c>
      <c r="M1321" s="2" t="str">
        <f t="shared" si="61"/>
        <v>November</v>
      </c>
      <c r="N1321" s="6">
        <f t="shared" si="62"/>
        <v>2004</v>
      </c>
    </row>
    <row r="1322" spans="1:14">
      <c r="A1322" s="2" t="s">
        <v>103</v>
      </c>
      <c r="B1322" s="3">
        <v>10357</v>
      </c>
      <c r="C1322" s="3">
        <v>28</v>
      </c>
      <c r="D1322" s="13">
        <v>100</v>
      </c>
      <c r="E1322" s="5">
        <v>38331</v>
      </c>
      <c r="F1322" s="2" t="s">
        <v>13</v>
      </c>
      <c r="G1322" s="2" t="s">
        <v>187</v>
      </c>
      <c r="H1322" s="3">
        <v>4</v>
      </c>
      <c r="I1322" s="6">
        <v>2004</v>
      </c>
      <c r="J1322" s="2" t="s">
        <v>22</v>
      </c>
      <c r="K1322" s="2" t="s">
        <v>104</v>
      </c>
      <c r="L1322" s="7">
        <f t="shared" si="60"/>
        <v>2800</v>
      </c>
      <c r="M1322" s="2" t="str">
        <f t="shared" si="61"/>
        <v>December</v>
      </c>
      <c r="N1322" s="6">
        <f t="shared" si="62"/>
        <v>2004</v>
      </c>
    </row>
    <row r="1323" spans="1:14">
      <c r="A1323" s="2" t="s">
        <v>109</v>
      </c>
      <c r="B1323" s="3">
        <v>10370</v>
      </c>
      <c r="C1323" s="3">
        <v>29</v>
      </c>
      <c r="D1323" s="13">
        <v>57.53</v>
      </c>
      <c r="E1323" s="5">
        <v>38372</v>
      </c>
      <c r="F1323" s="2" t="s">
        <v>13</v>
      </c>
      <c r="G1323" s="2" t="s">
        <v>187</v>
      </c>
      <c r="H1323" s="3">
        <v>1</v>
      </c>
      <c r="I1323" s="6">
        <v>2005</v>
      </c>
      <c r="J1323" s="2" t="s">
        <v>15</v>
      </c>
      <c r="K1323" s="2" t="s">
        <v>110</v>
      </c>
      <c r="L1323" s="7">
        <f t="shared" si="60"/>
        <v>1668.37</v>
      </c>
      <c r="M1323" s="2" t="str">
        <f t="shared" si="61"/>
        <v>January</v>
      </c>
      <c r="N1323" s="6">
        <f t="shared" si="62"/>
        <v>2005</v>
      </c>
    </row>
    <row r="1324" spans="1:14">
      <c r="A1324" s="2" t="s">
        <v>103</v>
      </c>
      <c r="B1324" s="3">
        <v>10382</v>
      </c>
      <c r="C1324" s="3">
        <v>39</v>
      </c>
      <c r="D1324" s="13">
        <v>100</v>
      </c>
      <c r="E1324" s="5">
        <v>38400</v>
      </c>
      <c r="F1324" s="2" t="s">
        <v>13</v>
      </c>
      <c r="G1324" s="2" t="s">
        <v>187</v>
      </c>
      <c r="H1324" s="3">
        <v>1</v>
      </c>
      <c r="I1324" s="6">
        <v>2005</v>
      </c>
      <c r="J1324" s="2" t="s">
        <v>22</v>
      </c>
      <c r="K1324" s="2" t="s">
        <v>104</v>
      </c>
      <c r="L1324" s="7">
        <f t="shared" si="60"/>
        <v>3900</v>
      </c>
      <c r="M1324" s="2" t="str">
        <f t="shared" si="61"/>
        <v>February</v>
      </c>
      <c r="N1324" s="6">
        <f t="shared" si="62"/>
        <v>2005</v>
      </c>
    </row>
    <row r="1325" spans="1:14">
      <c r="A1325" s="2" t="s">
        <v>111</v>
      </c>
      <c r="B1325" s="3">
        <v>10411</v>
      </c>
      <c r="C1325" s="3">
        <v>46</v>
      </c>
      <c r="D1325" s="13">
        <v>100</v>
      </c>
      <c r="E1325" s="5">
        <v>38473</v>
      </c>
      <c r="F1325" s="2" t="s">
        <v>13</v>
      </c>
      <c r="G1325" s="2" t="s">
        <v>187</v>
      </c>
      <c r="H1325" s="3">
        <v>2</v>
      </c>
      <c r="I1325" s="6">
        <v>2005</v>
      </c>
      <c r="J1325" s="2" t="s">
        <v>22</v>
      </c>
      <c r="K1325" s="2" t="s">
        <v>112</v>
      </c>
      <c r="L1325" s="7">
        <f t="shared" si="60"/>
        <v>4600</v>
      </c>
      <c r="M1325" s="2" t="str">
        <f t="shared" si="61"/>
        <v>May</v>
      </c>
      <c r="N1325" s="6">
        <f t="shared" si="62"/>
        <v>2005</v>
      </c>
    </row>
    <row r="1326" spans="1:14">
      <c r="A1326" s="2" t="s">
        <v>50</v>
      </c>
      <c r="B1326" s="3">
        <v>10425</v>
      </c>
      <c r="C1326" s="3">
        <v>38</v>
      </c>
      <c r="D1326" s="13">
        <v>100</v>
      </c>
      <c r="E1326" s="5">
        <v>38503</v>
      </c>
      <c r="F1326" s="2" t="s">
        <v>113</v>
      </c>
      <c r="G1326" s="2" t="s">
        <v>187</v>
      </c>
      <c r="H1326" s="3">
        <v>2</v>
      </c>
      <c r="I1326" s="6">
        <v>2005</v>
      </c>
      <c r="J1326" s="2" t="s">
        <v>22</v>
      </c>
      <c r="K1326" s="2" t="s">
        <v>51</v>
      </c>
      <c r="L1326" s="7">
        <f t="shared" si="60"/>
        <v>3800</v>
      </c>
      <c r="M1326" s="2" t="str">
        <f t="shared" si="61"/>
        <v>May</v>
      </c>
      <c r="N1326" s="6">
        <f t="shared" si="62"/>
        <v>2005</v>
      </c>
    </row>
    <row r="1327" spans="1:14">
      <c r="A1327" s="2" t="s">
        <v>56</v>
      </c>
      <c r="B1327" s="3">
        <v>10103</v>
      </c>
      <c r="C1327" s="3">
        <v>41</v>
      </c>
      <c r="D1327" s="13">
        <v>47.29</v>
      </c>
      <c r="E1327" s="5">
        <v>37650</v>
      </c>
      <c r="F1327" s="2" t="s">
        <v>13</v>
      </c>
      <c r="G1327" s="2" t="s">
        <v>202</v>
      </c>
      <c r="H1327" s="3">
        <v>1</v>
      </c>
      <c r="I1327" s="6">
        <v>2003</v>
      </c>
      <c r="J1327" s="2" t="s">
        <v>15</v>
      </c>
      <c r="K1327" s="2" t="s">
        <v>57</v>
      </c>
      <c r="L1327" s="7">
        <f t="shared" si="60"/>
        <v>1938.89</v>
      </c>
      <c r="M1327" s="2" t="str">
        <f t="shared" si="61"/>
        <v>January</v>
      </c>
      <c r="N1327" s="6">
        <f t="shared" si="62"/>
        <v>2003</v>
      </c>
    </row>
    <row r="1328" spans="1:14">
      <c r="A1328" s="2" t="s">
        <v>103</v>
      </c>
      <c r="B1328" s="3">
        <v>10113</v>
      </c>
      <c r="C1328" s="3">
        <v>50</v>
      </c>
      <c r="D1328" s="13">
        <v>49.81</v>
      </c>
      <c r="E1328" s="5">
        <v>37706</v>
      </c>
      <c r="F1328" s="2" t="s">
        <v>13</v>
      </c>
      <c r="G1328" s="2" t="s">
        <v>202</v>
      </c>
      <c r="H1328" s="3">
        <v>1</v>
      </c>
      <c r="I1328" s="6">
        <v>2003</v>
      </c>
      <c r="J1328" s="2" t="s">
        <v>15</v>
      </c>
      <c r="K1328" s="2" t="s">
        <v>104</v>
      </c>
      <c r="L1328" s="7">
        <f t="shared" si="60"/>
        <v>2490.5</v>
      </c>
      <c r="M1328" s="2" t="str">
        <f t="shared" si="61"/>
        <v>March</v>
      </c>
      <c r="N1328" s="6">
        <f t="shared" si="62"/>
        <v>2003</v>
      </c>
    </row>
    <row r="1329" spans="1:14">
      <c r="A1329" s="2" t="s">
        <v>75</v>
      </c>
      <c r="B1329" s="3">
        <v>10126</v>
      </c>
      <c r="C1329" s="3">
        <v>43</v>
      </c>
      <c r="D1329" s="13">
        <v>53.83</v>
      </c>
      <c r="E1329" s="5">
        <v>37769</v>
      </c>
      <c r="F1329" s="2" t="s">
        <v>13</v>
      </c>
      <c r="G1329" s="2" t="s">
        <v>202</v>
      </c>
      <c r="H1329" s="3">
        <v>2</v>
      </c>
      <c r="I1329" s="6">
        <v>2003</v>
      </c>
      <c r="J1329" s="2" t="s">
        <v>15</v>
      </c>
      <c r="K1329" s="2" t="s">
        <v>76</v>
      </c>
      <c r="L1329" s="7">
        <f t="shared" si="60"/>
        <v>2314.69</v>
      </c>
      <c r="M1329" s="2" t="str">
        <f t="shared" si="61"/>
        <v>May</v>
      </c>
      <c r="N1329" s="6">
        <f t="shared" si="62"/>
        <v>2003</v>
      </c>
    </row>
    <row r="1330" spans="1:14">
      <c r="A1330" s="2" t="s">
        <v>31</v>
      </c>
      <c r="B1330" s="3">
        <v>10140</v>
      </c>
      <c r="C1330" s="3">
        <v>29</v>
      </c>
      <c r="D1330" s="13">
        <v>43.27</v>
      </c>
      <c r="E1330" s="5">
        <v>37826</v>
      </c>
      <c r="F1330" s="2" t="s">
        <v>13</v>
      </c>
      <c r="G1330" s="2" t="s">
        <v>202</v>
      </c>
      <c r="H1330" s="3">
        <v>3</v>
      </c>
      <c r="I1330" s="6">
        <v>2003</v>
      </c>
      <c r="J1330" s="2" t="s">
        <v>15</v>
      </c>
      <c r="K1330" s="2" t="s">
        <v>32</v>
      </c>
      <c r="L1330" s="7">
        <f t="shared" si="60"/>
        <v>1254.83</v>
      </c>
      <c r="M1330" s="2" t="str">
        <f t="shared" si="61"/>
        <v>July</v>
      </c>
      <c r="N1330" s="6">
        <f t="shared" si="62"/>
        <v>2003</v>
      </c>
    </row>
    <row r="1331" spans="1:14">
      <c r="A1331" s="2" t="s">
        <v>77</v>
      </c>
      <c r="B1331" s="3">
        <v>10150</v>
      </c>
      <c r="C1331" s="3">
        <v>30</v>
      </c>
      <c r="D1331" s="13">
        <v>42.76</v>
      </c>
      <c r="E1331" s="5">
        <v>37883</v>
      </c>
      <c r="F1331" s="2" t="s">
        <v>13</v>
      </c>
      <c r="G1331" s="2" t="s">
        <v>202</v>
      </c>
      <c r="H1331" s="3">
        <v>3</v>
      </c>
      <c r="I1331" s="6">
        <v>2003</v>
      </c>
      <c r="J1331" s="2" t="s">
        <v>15</v>
      </c>
      <c r="K1331" s="2" t="s">
        <v>78</v>
      </c>
      <c r="L1331" s="7">
        <f t="shared" si="60"/>
        <v>1282.8</v>
      </c>
      <c r="M1331" s="2" t="str">
        <f t="shared" si="61"/>
        <v>September</v>
      </c>
      <c r="N1331" s="6">
        <f t="shared" si="62"/>
        <v>2003</v>
      </c>
    </row>
    <row r="1332" spans="1:14">
      <c r="A1332" s="2" t="s">
        <v>154</v>
      </c>
      <c r="B1332" s="3">
        <v>10164</v>
      </c>
      <c r="C1332" s="3">
        <v>25</v>
      </c>
      <c r="D1332" s="13">
        <v>53.83</v>
      </c>
      <c r="E1332" s="5">
        <v>37915</v>
      </c>
      <c r="F1332" s="2" t="s">
        <v>155</v>
      </c>
      <c r="G1332" s="2" t="s">
        <v>202</v>
      </c>
      <c r="H1332" s="3">
        <v>4</v>
      </c>
      <c r="I1332" s="6">
        <v>2003</v>
      </c>
      <c r="J1332" s="2" t="s">
        <v>15</v>
      </c>
      <c r="K1332" s="2" t="s">
        <v>156</v>
      </c>
      <c r="L1332" s="7">
        <f t="shared" si="60"/>
        <v>1345.75</v>
      </c>
      <c r="M1332" s="2" t="str">
        <f t="shared" si="61"/>
        <v>October</v>
      </c>
      <c r="N1332" s="6">
        <f t="shared" si="62"/>
        <v>2003</v>
      </c>
    </row>
    <row r="1333" spans="1:14">
      <c r="A1333" s="2" t="s">
        <v>81</v>
      </c>
      <c r="B1333" s="3">
        <v>10174</v>
      </c>
      <c r="C1333" s="3">
        <v>49</v>
      </c>
      <c r="D1333" s="13">
        <v>44.78</v>
      </c>
      <c r="E1333" s="5">
        <v>37931</v>
      </c>
      <c r="F1333" s="2" t="s">
        <v>13</v>
      </c>
      <c r="G1333" s="2" t="s">
        <v>202</v>
      </c>
      <c r="H1333" s="3">
        <v>4</v>
      </c>
      <c r="I1333" s="6">
        <v>2003</v>
      </c>
      <c r="J1333" s="2" t="s">
        <v>15</v>
      </c>
      <c r="K1333" s="2" t="s">
        <v>82</v>
      </c>
      <c r="L1333" s="7">
        <f t="shared" si="60"/>
        <v>2194.22</v>
      </c>
      <c r="M1333" s="2" t="str">
        <f t="shared" si="61"/>
        <v>November</v>
      </c>
      <c r="N1333" s="6">
        <f t="shared" si="62"/>
        <v>2003</v>
      </c>
    </row>
    <row r="1334" spans="1:14">
      <c r="A1334" s="2" t="s">
        <v>83</v>
      </c>
      <c r="B1334" s="3">
        <v>10183</v>
      </c>
      <c r="C1334" s="3">
        <v>40</v>
      </c>
      <c r="D1334" s="13">
        <v>49.3</v>
      </c>
      <c r="E1334" s="5">
        <v>37938</v>
      </c>
      <c r="F1334" s="2" t="s">
        <v>13</v>
      </c>
      <c r="G1334" s="2" t="s">
        <v>202</v>
      </c>
      <c r="H1334" s="3">
        <v>4</v>
      </c>
      <c r="I1334" s="6">
        <v>2003</v>
      </c>
      <c r="J1334" s="2" t="s">
        <v>15</v>
      </c>
      <c r="K1334" s="2" t="s">
        <v>84</v>
      </c>
      <c r="L1334" s="7">
        <f t="shared" si="60"/>
        <v>1972</v>
      </c>
      <c r="M1334" s="2" t="str">
        <f t="shared" si="61"/>
        <v>November</v>
      </c>
      <c r="N1334" s="6">
        <f t="shared" si="62"/>
        <v>2003</v>
      </c>
    </row>
    <row r="1335" spans="1:14">
      <c r="A1335" s="2" t="s">
        <v>85</v>
      </c>
      <c r="B1335" s="3">
        <v>10194</v>
      </c>
      <c r="C1335" s="3">
        <v>41</v>
      </c>
      <c r="D1335" s="13">
        <v>44.78</v>
      </c>
      <c r="E1335" s="5">
        <v>37950</v>
      </c>
      <c r="F1335" s="2" t="s">
        <v>13</v>
      </c>
      <c r="G1335" s="2" t="s">
        <v>202</v>
      </c>
      <c r="H1335" s="3">
        <v>4</v>
      </c>
      <c r="I1335" s="6">
        <v>2003</v>
      </c>
      <c r="J1335" s="2" t="s">
        <v>15</v>
      </c>
      <c r="K1335" s="2" t="s">
        <v>86</v>
      </c>
      <c r="L1335" s="7">
        <f t="shared" si="60"/>
        <v>1835.98</v>
      </c>
      <c r="M1335" s="2" t="str">
        <f t="shared" si="61"/>
        <v>November</v>
      </c>
      <c r="N1335" s="6">
        <f t="shared" si="62"/>
        <v>2003</v>
      </c>
    </row>
    <row r="1336" spans="1:14">
      <c r="A1336" s="2" t="s">
        <v>87</v>
      </c>
      <c r="B1336" s="3">
        <v>10206</v>
      </c>
      <c r="C1336" s="3">
        <v>21</v>
      </c>
      <c r="D1336" s="13">
        <v>53.33</v>
      </c>
      <c r="E1336" s="5">
        <v>37960</v>
      </c>
      <c r="F1336" s="2" t="s">
        <v>13</v>
      </c>
      <c r="G1336" s="2" t="s">
        <v>202</v>
      </c>
      <c r="H1336" s="3">
        <v>4</v>
      </c>
      <c r="I1336" s="6">
        <v>2003</v>
      </c>
      <c r="J1336" s="2" t="s">
        <v>15</v>
      </c>
      <c r="K1336" s="2" t="s">
        <v>88</v>
      </c>
      <c r="L1336" s="7">
        <f t="shared" si="60"/>
        <v>1119.93</v>
      </c>
      <c r="M1336" s="2" t="str">
        <f t="shared" si="61"/>
        <v>December</v>
      </c>
      <c r="N1336" s="6">
        <f t="shared" si="62"/>
        <v>2003</v>
      </c>
    </row>
    <row r="1337" spans="1:14">
      <c r="A1337" s="2" t="s">
        <v>89</v>
      </c>
      <c r="B1337" s="3">
        <v>10215</v>
      </c>
      <c r="C1337" s="3">
        <v>46</v>
      </c>
      <c r="D1337" s="13">
        <v>45.28</v>
      </c>
      <c r="E1337" s="5">
        <v>38015</v>
      </c>
      <c r="F1337" s="2" t="s">
        <v>13</v>
      </c>
      <c r="G1337" s="2" t="s">
        <v>202</v>
      </c>
      <c r="H1337" s="3">
        <v>1</v>
      </c>
      <c r="I1337" s="6">
        <v>2004</v>
      </c>
      <c r="J1337" s="2" t="s">
        <v>15</v>
      </c>
      <c r="K1337" s="2" t="s">
        <v>90</v>
      </c>
      <c r="L1337" s="7">
        <f t="shared" si="60"/>
        <v>2082.88</v>
      </c>
      <c r="M1337" s="2" t="str">
        <f t="shared" si="61"/>
        <v>January</v>
      </c>
      <c r="N1337" s="6">
        <f t="shared" si="62"/>
        <v>2004</v>
      </c>
    </row>
    <row r="1338" spans="1:14">
      <c r="A1338" s="2" t="s">
        <v>103</v>
      </c>
      <c r="B1338" s="3">
        <v>10229</v>
      </c>
      <c r="C1338" s="3">
        <v>39</v>
      </c>
      <c r="D1338" s="13">
        <v>40.25</v>
      </c>
      <c r="E1338" s="5">
        <v>38057</v>
      </c>
      <c r="F1338" s="2" t="s">
        <v>13</v>
      </c>
      <c r="G1338" s="2" t="s">
        <v>202</v>
      </c>
      <c r="H1338" s="3">
        <v>1</v>
      </c>
      <c r="I1338" s="6">
        <v>2004</v>
      </c>
      <c r="J1338" s="2" t="s">
        <v>15</v>
      </c>
      <c r="K1338" s="2" t="s">
        <v>104</v>
      </c>
      <c r="L1338" s="7">
        <f t="shared" si="60"/>
        <v>1569.75</v>
      </c>
      <c r="M1338" s="2" t="str">
        <f t="shared" si="61"/>
        <v>March</v>
      </c>
      <c r="N1338" s="6">
        <f t="shared" si="62"/>
        <v>2004</v>
      </c>
    </row>
    <row r="1339" spans="1:14">
      <c r="A1339" s="2" t="s">
        <v>93</v>
      </c>
      <c r="B1339" s="3">
        <v>10245</v>
      </c>
      <c r="C1339" s="3">
        <v>45</v>
      </c>
      <c r="D1339" s="13">
        <v>59.87</v>
      </c>
      <c r="E1339" s="5">
        <v>38111</v>
      </c>
      <c r="F1339" s="2" t="s">
        <v>13</v>
      </c>
      <c r="G1339" s="2" t="s">
        <v>202</v>
      </c>
      <c r="H1339" s="3">
        <v>2</v>
      </c>
      <c r="I1339" s="6">
        <v>2004</v>
      </c>
      <c r="J1339" s="2" t="s">
        <v>15</v>
      </c>
      <c r="K1339" s="2" t="s">
        <v>94</v>
      </c>
      <c r="L1339" s="7">
        <f t="shared" si="60"/>
        <v>2694.15</v>
      </c>
      <c r="M1339" s="2" t="str">
        <f t="shared" si="61"/>
        <v>May</v>
      </c>
      <c r="N1339" s="6">
        <f t="shared" si="62"/>
        <v>2004</v>
      </c>
    </row>
    <row r="1340" spans="1:14">
      <c r="A1340" s="2" t="s">
        <v>95</v>
      </c>
      <c r="B1340" s="3">
        <v>10258</v>
      </c>
      <c r="C1340" s="3">
        <v>21</v>
      </c>
      <c r="D1340" s="13">
        <v>59.87</v>
      </c>
      <c r="E1340" s="5">
        <v>38153</v>
      </c>
      <c r="F1340" s="2" t="s">
        <v>13</v>
      </c>
      <c r="G1340" s="2" t="s">
        <v>202</v>
      </c>
      <c r="H1340" s="3">
        <v>2</v>
      </c>
      <c r="I1340" s="6">
        <v>2004</v>
      </c>
      <c r="J1340" s="2" t="s">
        <v>15</v>
      </c>
      <c r="K1340" s="2" t="s">
        <v>96</v>
      </c>
      <c r="L1340" s="7">
        <f t="shared" si="60"/>
        <v>1257.27</v>
      </c>
      <c r="M1340" s="2" t="str">
        <f t="shared" si="61"/>
        <v>June</v>
      </c>
      <c r="N1340" s="6">
        <f t="shared" si="62"/>
        <v>2004</v>
      </c>
    </row>
    <row r="1341" spans="1:14">
      <c r="A1341" s="2" t="s">
        <v>63</v>
      </c>
      <c r="B1341" s="3">
        <v>10270</v>
      </c>
      <c r="C1341" s="3">
        <v>44</v>
      </c>
      <c r="D1341" s="13">
        <v>58.36</v>
      </c>
      <c r="E1341" s="5">
        <v>38187</v>
      </c>
      <c r="F1341" s="2" t="s">
        <v>13</v>
      </c>
      <c r="G1341" s="2" t="s">
        <v>202</v>
      </c>
      <c r="H1341" s="3">
        <v>3</v>
      </c>
      <c r="I1341" s="6">
        <v>2004</v>
      </c>
      <c r="J1341" s="2" t="s">
        <v>15</v>
      </c>
      <c r="K1341" s="2" t="s">
        <v>64</v>
      </c>
      <c r="L1341" s="7">
        <f t="shared" si="60"/>
        <v>2567.84</v>
      </c>
      <c r="M1341" s="2" t="str">
        <f t="shared" si="61"/>
        <v>July</v>
      </c>
      <c r="N1341" s="6">
        <f t="shared" si="62"/>
        <v>2004</v>
      </c>
    </row>
    <row r="1342" spans="1:14">
      <c r="A1342" s="2" t="s">
        <v>58</v>
      </c>
      <c r="B1342" s="3">
        <v>10281</v>
      </c>
      <c r="C1342" s="3">
        <v>44</v>
      </c>
      <c r="D1342" s="13">
        <v>59.87</v>
      </c>
      <c r="E1342" s="5">
        <v>38218</v>
      </c>
      <c r="F1342" s="2" t="s">
        <v>13</v>
      </c>
      <c r="G1342" s="2" t="s">
        <v>202</v>
      </c>
      <c r="H1342" s="3">
        <v>3</v>
      </c>
      <c r="I1342" s="6">
        <v>2004</v>
      </c>
      <c r="J1342" s="2" t="s">
        <v>15</v>
      </c>
      <c r="K1342" s="2" t="s">
        <v>59</v>
      </c>
      <c r="L1342" s="7">
        <f t="shared" si="60"/>
        <v>2634.28</v>
      </c>
      <c r="M1342" s="2" t="str">
        <f t="shared" si="61"/>
        <v>August</v>
      </c>
      <c r="N1342" s="6">
        <f t="shared" si="62"/>
        <v>2004</v>
      </c>
    </row>
    <row r="1343" spans="1:14">
      <c r="A1343" s="2" t="s">
        <v>99</v>
      </c>
      <c r="B1343" s="3">
        <v>10291</v>
      </c>
      <c r="C1343" s="3">
        <v>29</v>
      </c>
      <c r="D1343" s="13">
        <v>51.82</v>
      </c>
      <c r="E1343" s="5">
        <v>38238</v>
      </c>
      <c r="F1343" s="2" t="s">
        <v>13</v>
      </c>
      <c r="G1343" s="2" t="s">
        <v>202</v>
      </c>
      <c r="H1343" s="3">
        <v>3</v>
      </c>
      <c r="I1343" s="6">
        <v>2004</v>
      </c>
      <c r="J1343" s="2" t="s">
        <v>15</v>
      </c>
      <c r="K1343" s="2" t="s">
        <v>100</v>
      </c>
      <c r="L1343" s="7">
        <f t="shared" si="60"/>
        <v>1502.78</v>
      </c>
      <c r="M1343" s="2" t="str">
        <f t="shared" si="61"/>
        <v>September</v>
      </c>
      <c r="N1343" s="6">
        <f t="shared" si="62"/>
        <v>2004</v>
      </c>
    </row>
    <row r="1344" spans="1:14">
      <c r="A1344" s="2" t="s">
        <v>101</v>
      </c>
      <c r="B1344" s="3">
        <v>10304</v>
      </c>
      <c r="C1344" s="3">
        <v>34</v>
      </c>
      <c r="D1344" s="13">
        <v>49.3</v>
      </c>
      <c r="E1344" s="5">
        <v>38271</v>
      </c>
      <c r="F1344" s="2" t="s">
        <v>13</v>
      </c>
      <c r="G1344" s="2" t="s">
        <v>202</v>
      </c>
      <c r="H1344" s="3">
        <v>4</v>
      </c>
      <c r="I1344" s="6">
        <v>2004</v>
      </c>
      <c r="J1344" s="2" t="s">
        <v>15</v>
      </c>
      <c r="K1344" s="2" t="s">
        <v>102</v>
      </c>
      <c r="L1344" s="7">
        <f t="shared" si="60"/>
        <v>1676.2</v>
      </c>
      <c r="M1344" s="2" t="str">
        <f t="shared" si="61"/>
        <v>October</v>
      </c>
      <c r="N1344" s="6">
        <f t="shared" si="62"/>
        <v>2004</v>
      </c>
    </row>
    <row r="1345" spans="1:14">
      <c r="A1345" s="2" t="s">
        <v>103</v>
      </c>
      <c r="B1345" s="3">
        <v>10312</v>
      </c>
      <c r="C1345" s="3">
        <v>39</v>
      </c>
      <c r="D1345" s="13">
        <v>56.85</v>
      </c>
      <c r="E1345" s="5">
        <v>38281</v>
      </c>
      <c r="F1345" s="2" t="s">
        <v>13</v>
      </c>
      <c r="G1345" s="2" t="s">
        <v>202</v>
      </c>
      <c r="H1345" s="3">
        <v>4</v>
      </c>
      <c r="I1345" s="6">
        <v>2004</v>
      </c>
      <c r="J1345" s="2" t="s">
        <v>15</v>
      </c>
      <c r="K1345" s="2" t="s">
        <v>104</v>
      </c>
      <c r="L1345" s="7">
        <f t="shared" si="60"/>
        <v>2217.15</v>
      </c>
      <c r="M1345" s="2" t="str">
        <f t="shared" si="61"/>
        <v>October</v>
      </c>
      <c r="N1345" s="6">
        <f t="shared" si="62"/>
        <v>2004</v>
      </c>
    </row>
    <row r="1346" spans="1:14">
      <c r="A1346" s="2" t="s">
        <v>44</v>
      </c>
      <c r="B1346" s="3">
        <v>10324</v>
      </c>
      <c r="C1346" s="3">
        <v>38</v>
      </c>
      <c r="D1346" s="13">
        <v>100</v>
      </c>
      <c r="E1346" s="5">
        <v>38296</v>
      </c>
      <c r="F1346" s="2" t="s">
        <v>13</v>
      </c>
      <c r="G1346" s="2" t="s">
        <v>202</v>
      </c>
      <c r="H1346" s="3">
        <v>4</v>
      </c>
      <c r="I1346" s="6">
        <v>2004</v>
      </c>
      <c r="J1346" s="2" t="s">
        <v>22</v>
      </c>
      <c r="K1346" s="2" t="s">
        <v>45</v>
      </c>
      <c r="L1346" s="7">
        <f t="shared" ref="L1346:L1409" si="63">PRODUCT(C1346,D1346)</f>
        <v>3800</v>
      </c>
      <c r="M1346" s="2" t="str">
        <f t="shared" ref="M1346:M1409" si="64">TEXT(E1346,"MMMM")</f>
        <v>November</v>
      </c>
      <c r="N1346" s="6">
        <f t="shared" ref="N1346:N1409" si="65">YEAR(E1346)</f>
        <v>2004</v>
      </c>
    </row>
    <row r="1347" spans="1:14">
      <c r="A1347" s="2" t="s">
        <v>38</v>
      </c>
      <c r="B1347" s="3">
        <v>10333</v>
      </c>
      <c r="C1347" s="3">
        <v>24</v>
      </c>
      <c r="D1347" s="13">
        <v>79.86</v>
      </c>
      <c r="E1347" s="5">
        <v>38309</v>
      </c>
      <c r="F1347" s="2" t="s">
        <v>13</v>
      </c>
      <c r="G1347" s="2" t="s">
        <v>202</v>
      </c>
      <c r="H1347" s="3">
        <v>4</v>
      </c>
      <c r="I1347" s="6">
        <v>2004</v>
      </c>
      <c r="J1347" s="2" t="s">
        <v>15</v>
      </c>
      <c r="K1347" s="2" t="s">
        <v>39</v>
      </c>
      <c r="L1347" s="7">
        <f t="shared" si="63"/>
        <v>1916.64</v>
      </c>
      <c r="M1347" s="2" t="str">
        <f t="shared" si="64"/>
        <v>November</v>
      </c>
      <c r="N1347" s="6">
        <f t="shared" si="65"/>
        <v>2004</v>
      </c>
    </row>
    <row r="1348" spans="1:14">
      <c r="A1348" s="2" t="s">
        <v>75</v>
      </c>
      <c r="B1348" s="3">
        <v>10348</v>
      </c>
      <c r="C1348" s="3">
        <v>29</v>
      </c>
      <c r="D1348" s="13">
        <v>100</v>
      </c>
      <c r="E1348" s="5">
        <v>38292</v>
      </c>
      <c r="F1348" s="2" t="s">
        <v>13</v>
      </c>
      <c r="G1348" s="2" t="s">
        <v>202</v>
      </c>
      <c r="H1348" s="3">
        <v>4</v>
      </c>
      <c r="I1348" s="6">
        <v>2004</v>
      </c>
      <c r="J1348" s="2" t="s">
        <v>61</v>
      </c>
      <c r="K1348" s="2" t="s">
        <v>76</v>
      </c>
      <c r="L1348" s="7">
        <f t="shared" si="63"/>
        <v>2900</v>
      </c>
      <c r="M1348" s="2" t="str">
        <f t="shared" si="64"/>
        <v>November</v>
      </c>
      <c r="N1348" s="6">
        <f t="shared" si="65"/>
        <v>2004</v>
      </c>
    </row>
    <row r="1349" spans="1:14">
      <c r="A1349" s="2" t="s">
        <v>69</v>
      </c>
      <c r="B1349" s="3">
        <v>10358</v>
      </c>
      <c r="C1349" s="3">
        <v>30</v>
      </c>
      <c r="D1349" s="13">
        <v>100</v>
      </c>
      <c r="E1349" s="5">
        <v>38331</v>
      </c>
      <c r="F1349" s="2" t="s">
        <v>13</v>
      </c>
      <c r="G1349" s="2" t="s">
        <v>202</v>
      </c>
      <c r="H1349" s="3">
        <v>4</v>
      </c>
      <c r="I1349" s="6">
        <v>2004</v>
      </c>
      <c r="J1349" s="2" t="s">
        <v>22</v>
      </c>
      <c r="K1349" s="2" t="s">
        <v>71</v>
      </c>
      <c r="L1349" s="7">
        <f t="shared" si="63"/>
        <v>3000</v>
      </c>
      <c r="M1349" s="2" t="str">
        <f t="shared" si="64"/>
        <v>December</v>
      </c>
      <c r="N1349" s="6">
        <f t="shared" si="65"/>
        <v>2004</v>
      </c>
    </row>
    <row r="1350" spans="1:14">
      <c r="A1350" s="2" t="s">
        <v>109</v>
      </c>
      <c r="B1350" s="3">
        <v>10370</v>
      </c>
      <c r="C1350" s="3">
        <v>20</v>
      </c>
      <c r="D1350" s="13">
        <v>100</v>
      </c>
      <c r="E1350" s="5">
        <v>38372</v>
      </c>
      <c r="F1350" s="2" t="s">
        <v>13</v>
      </c>
      <c r="G1350" s="2" t="s">
        <v>202</v>
      </c>
      <c r="H1350" s="3">
        <v>1</v>
      </c>
      <c r="I1350" s="6">
        <v>2005</v>
      </c>
      <c r="J1350" s="2" t="s">
        <v>15</v>
      </c>
      <c r="K1350" s="2" t="s">
        <v>110</v>
      </c>
      <c r="L1350" s="7">
        <f t="shared" si="63"/>
        <v>2000</v>
      </c>
      <c r="M1350" s="2" t="str">
        <f t="shared" si="64"/>
        <v>January</v>
      </c>
      <c r="N1350" s="6">
        <f t="shared" si="65"/>
        <v>2005</v>
      </c>
    </row>
    <row r="1351" spans="1:14">
      <c r="A1351" s="2" t="s">
        <v>103</v>
      </c>
      <c r="B1351" s="3">
        <v>10382</v>
      </c>
      <c r="C1351" s="3">
        <v>39</v>
      </c>
      <c r="D1351" s="13">
        <v>100</v>
      </c>
      <c r="E1351" s="5">
        <v>38400</v>
      </c>
      <c r="F1351" s="2" t="s">
        <v>13</v>
      </c>
      <c r="G1351" s="2" t="s">
        <v>202</v>
      </c>
      <c r="H1351" s="3">
        <v>1</v>
      </c>
      <c r="I1351" s="6">
        <v>2005</v>
      </c>
      <c r="J1351" s="2" t="s">
        <v>61</v>
      </c>
      <c r="K1351" s="2" t="s">
        <v>104</v>
      </c>
      <c r="L1351" s="7">
        <f t="shared" si="63"/>
        <v>3900</v>
      </c>
      <c r="M1351" s="2" t="str">
        <f t="shared" si="64"/>
        <v>February</v>
      </c>
      <c r="N1351" s="6">
        <f t="shared" si="65"/>
        <v>2005</v>
      </c>
    </row>
    <row r="1352" spans="1:14">
      <c r="A1352" s="2" t="s">
        <v>111</v>
      </c>
      <c r="B1352" s="3">
        <v>10411</v>
      </c>
      <c r="C1352" s="3">
        <v>35</v>
      </c>
      <c r="D1352" s="13">
        <v>59.87</v>
      </c>
      <c r="E1352" s="5">
        <v>38473</v>
      </c>
      <c r="F1352" s="2" t="s">
        <v>13</v>
      </c>
      <c r="G1352" s="2" t="s">
        <v>202</v>
      </c>
      <c r="H1352" s="3">
        <v>2</v>
      </c>
      <c r="I1352" s="6">
        <v>2005</v>
      </c>
      <c r="J1352" s="2" t="s">
        <v>15</v>
      </c>
      <c r="K1352" s="2" t="s">
        <v>112</v>
      </c>
      <c r="L1352" s="7">
        <f t="shared" si="63"/>
        <v>2095.45</v>
      </c>
      <c r="M1352" s="2" t="str">
        <f t="shared" si="64"/>
        <v>May</v>
      </c>
      <c r="N1352" s="6">
        <f t="shared" si="65"/>
        <v>2005</v>
      </c>
    </row>
    <row r="1353" spans="1:14">
      <c r="A1353" s="2" t="s">
        <v>69</v>
      </c>
      <c r="B1353" s="3">
        <v>10424</v>
      </c>
      <c r="C1353" s="3">
        <v>26</v>
      </c>
      <c r="D1353" s="13">
        <v>59.87</v>
      </c>
      <c r="E1353" s="5">
        <v>38503</v>
      </c>
      <c r="F1353" s="2" t="s">
        <v>113</v>
      </c>
      <c r="G1353" s="2" t="s">
        <v>202</v>
      </c>
      <c r="H1353" s="3">
        <v>2</v>
      </c>
      <c r="I1353" s="6">
        <v>2005</v>
      </c>
      <c r="J1353" s="2" t="s">
        <v>15</v>
      </c>
      <c r="K1353" s="2" t="s">
        <v>71</v>
      </c>
      <c r="L1353" s="7">
        <f t="shared" si="63"/>
        <v>1556.62</v>
      </c>
      <c r="M1353" s="2" t="str">
        <f t="shared" si="64"/>
        <v>May</v>
      </c>
      <c r="N1353" s="6">
        <f t="shared" si="65"/>
        <v>2005</v>
      </c>
    </row>
    <row r="1354" spans="1:14">
      <c r="A1354" s="2" t="s">
        <v>161</v>
      </c>
      <c r="B1354" s="3">
        <v>10108</v>
      </c>
      <c r="C1354" s="3">
        <v>44</v>
      </c>
      <c r="D1354" s="13">
        <v>100</v>
      </c>
      <c r="E1354" s="5">
        <v>37683</v>
      </c>
      <c r="F1354" s="2" t="s">
        <v>13</v>
      </c>
      <c r="G1354" s="2" t="s">
        <v>72</v>
      </c>
      <c r="H1354" s="3">
        <v>1</v>
      </c>
      <c r="I1354" s="6">
        <v>2003</v>
      </c>
      <c r="J1354" s="2" t="s">
        <v>22</v>
      </c>
      <c r="K1354" s="2" t="s">
        <v>162</v>
      </c>
      <c r="L1354" s="7">
        <f t="shared" si="63"/>
        <v>4400</v>
      </c>
      <c r="M1354" s="2" t="str">
        <f t="shared" si="64"/>
        <v>March</v>
      </c>
      <c r="N1354" s="6">
        <f t="shared" si="65"/>
        <v>2003</v>
      </c>
    </row>
    <row r="1355" spans="1:14">
      <c r="A1355" s="2" t="s">
        <v>163</v>
      </c>
      <c r="B1355" s="3">
        <v>10122</v>
      </c>
      <c r="C1355" s="3">
        <v>28</v>
      </c>
      <c r="D1355" s="13">
        <v>100</v>
      </c>
      <c r="E1355" s="5">
        <v>37749</v>
      </c>
      <c r="F1355" s="2" t="s">
        <v>13</v>
      </c>
      <c r="G1355" s="2" t="s">
        <v>72</v>
      </c>
      <c r="H1355" s="3">
        <v>2</v>
      </c>
      <c r="I1355" s="6">
        <v>2003</v>
      </c>
      <c r="J1355" s="2" t="s">
        <v>22</v>
      </c>
      <c r="K1355" s="2" t="s">
        <v>164</v>
      </c>
      <c r="L1355" s="7">
        <f t="shared" si="63"/>
        <v>2800</v>
      </c>
      <c r="M1355" s="2" t="str">
        <f t="shared" si="64"/>
        <v>May</v>
      </c>
      <c r="N1355" s="6">
        <f t="shared" si="65"/>
        <v>2003</v>
      </c>
    </row>
    <row r="1356" spans="1:14">
      <c r="A1356" s="2" t="s">
        <v>103</v>
      </c>
      <c r="B1356" s="3">
        <v>10135</v>
      </c>
      <c r="C1356" s="3">
        <v>31</v>
      </c>
      <c r="D1356" s="13">
        <v>100</v>
      </c>
      <c r="E1356" s="5">
        <v>37804</v>
      </c>
      <c r="F1356" s="2" t="s">
        <v>13</v>
      </c>
      <c r="G1356" s="2" t="s">
        <v>72</v>
      </c>
      <c r="H1356" s="3">
        <v>3</v>
      </c>
      <c r="I1356" s="6">
        <v>2003</v>
      </c>
      <c r="J1356" s="2" t="s">
        <v>22</v>
      </c>
      <c r="K1356" s="2" t="s">
        <v>104</v>
      </c>
      <c r="L1356" s="7">
        <f t="shared" si="63"/>
        <v>3100</v>
      </c>
      <c r="M1356" s="2" t="str">
        <f t="shared" si="64"/>
        <v>July</v>
      </c>
      <c r="N1356" s="6">
        <f t="shared" si="65"/>
        <v>2003</v>
      </c>
    </row>
    <row r="1357" spans="1:14">
      <c r="A1357" s="2" t="s">
        <v>208</v>
      </c>
      <c r="B1357" s="3">
        <v>10146</v>
      </c>
      <c r="C1357" s="3">
        <v>29</v>
      </c>
      <c r="D1357" s="13">
        <v>100</v>
      </c>
      <c r="E1357" s="5">
        <v>37867</v>
      </c>
      <c r="F1357" s="2" t="s">
        <v>13</v>
      </c>
      <c r="G1357" s="2" t="s">
        <v>72</v>
      </c>
      <c r="H1357" s="3">
        <v>3</v>
      </c>
      <c r="I1357" s="6">
        <v>2003</v>
      </c>
      <c r="J1357" s="2" t="s">
        <v>22</v>
      </c>
      <c r="K1357" s="2" t="s">
        <v>209</v>
      </c>
      <c r="L1357" s="7">
        <f t="shared" si="63"/>
        <v>2900</v>
      </c>
      <c r="M1357" s="2" t="str">
        <f t="shared" si="64"/>
        <v>September</v>
      </c>
      <c r="N1357" s="6">
        <f t="shared" si="65"/>
        <v>2003</v>
      </c>
    </row>
    <row r="1358" spans="1:14">
      <c r="A1358" s="2" t="s">
        <v>28</v>
      </c>
      <c r="B1358" s="3">
        <v>10159</v>
      </c>
      <c r="C1358" s="3">
        <v>32</v>
      </c>
      <c r="D1358" s="13">
        <v>100</v>
      </c>
      <c r="E1358" s="5">
        <v>37904</v>
      </c>
      <c r="F1358" s="2" t="s">
        <v>13</v>
      </c>
      <c r="G1358" s="2" t="s">
        <v>72</v>
      </c>
      <c r="H1358" s="3">
        <v>4</v>
      </c>
      <c r="I1358" s="6">
        <v>2003</v>
      </c>
      <c r="J1358" s="2" t="s">
        <v>22</v>
      </c>
      <c r="K1358" s="2" t="s">
        <v>29</v>
      </c>
      <c r="L1358" s="7">
        <f t="shared" si="63"/>
        <v>3200</v>
      </c>
      <c r="M1358" s="2" t="str">
        <f t="shared" si="64"/>
        <v>October</v>
      </c>
      <c r="N1358" s="6">
        <f t="shared" si="65"/>
        <v>2003</v>
      </c>
    </row>
    <row r="1359" spans="1:14">
      <c r="A1359" s="2" t="s">
        <v>109</v>
      </c>
      <c r="B1359" s="3">
        <v>10169</v>
      </c>
      <c r="C1359" s="3">
        <v>33</v>
      </c>
      <c r="D1359" s="13">
        <v>100</v>
      </c>
      <c r="E1359" s="5">
        <v>37929</v>
      </c>
      <c r="F1359" s="2" t="s">
        <v>13</v>
      </c>
      <c r="G1359" s="2" t="s">
        <v>72</v>
      </c>
      <c r="H1359" s="3">
        <v>4</v>
      </c>
      <c r="I1359" s="6">
        <v>2003</v>
      </c>
      <c r="J1359" s="2" t="s">
        <v>22</v>
      </c>
      <c r="K1359" s="2" t="s">
        <v>110</v>
      </c>
      <c r="L1359" s="7">
        <f t="shared" si="63"/>
        <v>3300</v>
      </c>
      <c r="M1359" s="2" t="str">
        <f t="shared" si="64"/>
        <v>November</v>
      </c>
      <c r="N1359" s="6">
        <f t="shared" si="65"/>
        <v>2003</v>
      </c>
    </row>
    <row r="1360" spans="1:14">
      <c r="A1360" s="2" t="s">
        <v>34</v>
      </c>
      <c r="B1360" s="3">
        <v>10180</v>
      </c>
      <c r="C1360" s="3">
        <v>44</v>
      </c>
      <c r="D1360" s="13">
        <v>100</v>
      </c>
      <c r="E1360" s="5">
        <v>37936</v>
      </c>
      <c r="F1360" s="2" t="s">
        <v>13</v>
      </c>
      <c r="G1360" s="2" t="s">
        <v>72</v>
      </c>
      <c r="H1360" s="3">
        <v>4</v>
      </c>
      <c r="I1360" s="6">
        <v>2003</v>
      </c>
      <c r="J1360" s="2" t="s">
        <v>22</v>
      </c>
      <c r="K1360" s="2" t="s">
        <v>35</v>
      </c>
      <c r="L1360" s="7">
        <f t="shared" si="63"/>
        <v>4400</v>
      </c>
      <c r="M1360" s="2" t="str">
        <f t="shared" si="64"/>
        <v>November</v>
      </c>
      <c r="N1360" s="6">
        <f t="shared" si="65"/>
        <v>2003</v>
      </c>
    </row>
    <row r="1361" spans="1:14">
      <c r="A1361" s="2" t="s">
        <v>165</v>
      </c>
      <c r="B1361" s="3">
        <v>10191</v>
      </c>
      <c r="C1361" s="3">
        <v>32</v>
      </c>
      <c r="D1361" s="13">
        <v>100</v>
      </c>
      <c r="E1361" s="5">
        <v>37945</v>
      </c>
      <c r="F1361" s="2" t="s">
        <v>13</v>
      </c>
      <c r="G1361" s="2" t="s">
        <v>72</v>
      </c>
      <c r="H1361" s="3">
        <v>4</v>
      </c>
      <c r="I1361" s="6">
        <v>2003</v>
      </c>
      <c r="J1361" s="2" t="s">
        <v>22</v>
      </c>
      <c r="K1361" s="2" t="s">
        <v>166</v>
      </c>
      <c r="L1361" s="7">
        <f t="shared" si="63"/>
        <v>3200</v>
      </c>
      <c r="M1361" s="2" t="str">
        <f t="shared" si="64"/>
        <v>November</v>
      </c>
      <c r="N1361" s="6">
        <f t="shared" si="65"/>
        <v>2003</v>
      </c>
    </row>
    <row r="1362" spans="1:14">
      <c r="A1362" s="2" t="s">
        <v>40</v>
      </c>
      <c r="B1362" s="3">
        <v>10211</v>
      </c>
      <c r="C1362" s="3">
        <v>41</v>
      </c>
      <c r="D1362" s="13">
        <v>100</v>
      </c>
      <c r="E1362" s="5">
        <v>38001</v>
      </c>
      <c r="F1362" s="2" t="s">
        <v>13</v>
      </c>
      <c r="G1362" s="2" t="s">
        <v>72</v>
      </c>
      <c r="H1362" s="3">
        <v>1</v>
      </c>
      <c r="I1362" s="6">
        <v>2004</v>
      </c>
      <c r="J1362" s="2" t="s">
        <v>22</v>
      </c>
      <c r="K1362" s="2" t="s">
        <v>41</v>
      </c>
      <c r="L1362" s="7">
        <f t="shared" si="63"/>
        <v>4100</v>
      </c>
      <c r="M1362" s="2" t="str">
        <f t="shared" si="64"/>
        <v>January</v>
      </c>
      <c r="N1362" s="6">
        <f t="shared" si="65"/>
        <v>2004</v>
      </c>
    </row>
    <row r="1363" spans="1:14">
      <c r="A1363" s="2" t="s">
        <v>167</v>
      </c>
      <c r="B1363" s="3">
        <v>10225</v>
      </c>
      <c r="C1363" s="3">
        <v>35</v>
      </c>
      <c r="D1363" s="13">
        <v>100</v>
      </c>
      <c r="E1363" s="5">
        <v>38039</v>
      </c>
      <c r="F1363" s="2" t="s">
        <v>13</v>
      </c>
      <c r="G1363" s="2" t="s">
        <v>72</v>
      </c>
      <c r="H1363" s="3">
        <v>1</v>
      </c>
      <c r="I1363" s="6">
        <v>2004</v>
      </c>
      <c r="J1363" s="2" t="s">
        <v>22</v>
      </c>
      <c r="K1363" s="2" t="s">
        <v>168</v>
      </c>
      <c r="L1363" s="7">
        <f t="shared" si="63"/>
        <v>3500</v>
      </c>
      <c r="M1363" s="2" t="str">
        <f t="shared" si="64"/>
        <v>February</v>
      </c>
      <c r="N1363" s="6">
        <f t="shared" si="65"/>
        <v>2004</v>
      </c>
    </row>
    <row r="1364" spans="1:14">
      <c r="A1364" s="2" t="s">
        <v>122</v>
      </c>
      <c r="B1364" s="3">
        <v>10238</v>
      </c>
      <c r="C1364" s="3">
        <v>44</v>
      </c>
      <c r="D1364" s="13">
        <v>100</v>
      </c>
      <c r="E1364" s="5">
        <v>38086</v>
      </c>
      <c r="F1364" s="2" t="s">
        <v>13</v>
      </c>
      <c r="G1364" s="2" t="s">
        <v>72</v>
      </c>
      <c r="H1364" s="3">
        <v>2</v>
      </c>
      <c r="I1364" s="6">
        <v>2004</v>
      </c>
      <c r="J1364" s="2" t="s">
        <v>22</v>
      </c>
      <c r="K1364" s="2" t="s">
        <v>123</v>
      </c>
      <c r="L1364" s="7">
        <f t="shared" si="63"/>
        <v>4400</v>
      </c>
      <c r="M1364" s="2" t="str">
        <f t="shared" si="64"/>
        <v>April</v>
      </c>
      <c r="N1364" s="6">
        <f t="shared" si="65"/>
        <v>2004</v>
      </c>
    </row>
    <row r="1365" spans="1:14">
      <c r="A1365" s="2" t="s">
        <v>40</v>
      </c>
      <c r="B1365" s="3">
        <v>10252</v>
      </c>
      <c r="C1365" s="3">
        <v>26</v>
      </c>
      <c r="D1365" s="13">
        <v>100</v>
      </c>
      <c r="E1365" s="5">
        <v>38133</v>
      </c>
      <c r="F1365" s="2" t="s">
        <v>13</v>
      </c>
      <c r="G1365" s="2" t="s">
        <v>72</v>
      </c>
      <c r="H1365" s="3">
        <v>2</v>
      </c>
      <c r="I1365" s="6">
        <v>2004</v>
      </c>
      <c r="J1365" s="2" t="s">
        <v>22</v>
      </c>
      <c r="K1365" s="2" t="s">
        <v>41</v>
      </c>
      <c r="L1365" s="7">
        <f t="shared" si="63"/>
        <v>2600</v>
      </c>
      <c r="M1365" s="2" t="str">
        <f t="shared" si="64"/>
        <v>May</v>
      </c>
      <c r="N1365" s="6">
        <f t="shared" si="65"/>
        <v>2004</v>
      </c>
    </row>
    <row r="1366" spans="1:14">
      <c r="A1366" s="2" t="s">
        <v>143</v>
      </c>
      <c r="B1366" s="3">
        <v>10264</v>
      </c>
      <c r="C1366" s="3">
        <v>20</v>
      </c>
      <c r="D1366" s="13">
        <v>100</v>
      </c>
      <c r="E1366" s="5">
        <v>38168</v>
      </c>
      <c r="F1366" s="2" t="s">
        <v>13</v>
      </c>
      <c r="G1366" s="2" t="s">
        <v>72</v>
      </c>
      <c r="H1366" s="3">
        <v>2</v>
      </c>
      <c r="I1366" s="6">
        <v>2004</v>
      </c>
      <c r="J1366" s="2" t="s">
        <v>15</v>
      </c>
      <c r="K1366" s="2" t="s">
        <v>144</v>
      </c>
      <c r="L1366" s="7">
        <f t="shared" si="63"/>
        <v>2000</v>
      </c>
      <c r="M1366" s="2" t="str">
        <f t="shared" si="64"/>
        <v>June</v>
      </c>
      <c r="N1366" s="6">
        <f t="shared" si="65"/>
        <v>2004</v>
      </c>
    </row>
    <row r="1367" spans="1:14">
      <c r="A1367" s="2" t="s">
        <v>171</v>
      </c>
      <c r="B1367" s="3">
        <v>10276</v>
      </c>
      <c r="C1367" s="3">
        <v>48</v>
      </c>
      <c r="D1367" s="13">
        <v>100</v>
      </c>
      <c r="E1367" s="5">
        <v>38201</v>
      </c>
      <c r="F1367" s="2" t="s">
        <v>13</v>
      </c>
      <c r="G1367" s="2" t="s">
        <v>72</v>
      </c>
      <c r="H1367" s="3">
        <v>3</v>
      </c>
      <c r="I1367" s="6">
        <v>2004</v>
      </c>
      <c r="J1367" s="2" t="s">
        <v>22</v>
      </c>
      <c r="K1367" s="2" t="s">
        <v>172</v>
      </c>
      <c r="L1367" s="7">
        <f t="shared" si="63"/>
        <v>4800</v>
      </c>
      <c r="M1367" s="2" t="str">
        <f t="shared" si="64"/>
        <v>August</v>
      </c>
      <c r="N1367" s="6">
        <f t="shared" si="65"/>
        <v>2004</v>
      </c>
    </row>
    <row r="1368" spans="1:14">
      <c r="A1368" s="2" t="s">
        <v>167</v>
      </c>
      <c r="B1368" s="3">
        <v>10287</v>
      </c>
      <c r="C1368" s="3">
        <v>34</v>
      </c>
      <c r="D1368" s="13">
        <v>100</v>
      </c>
      <c r="E1368" s="5">
        <v>38229</v>
      </c>
      <c r="F1368" s="2" t="s">
        <v>13</v>
      </c>
      <c r="G1368" s="2" t="s">
        <v>72</v>
      </c>
      <c r="H1368" s="3">
        <v>3</v>
      </c>
      <c r="I1368" s="6">
        <v>2004</v>
      </c>
      <c r="J1368" s="2" t="s">
        <v>22</v>
      </c>
      <c r="K1368" s="2" t="s">
        <v>168</v>
      </c>
      <c r="L1368" s="7">
        <f t="shared" si="63"/>
        <v>3400</v>
      </c>
      <c r="M1368" s="2" t="str">
        <f t="shared" si="64"/>
        <v>August</v>
      </c>
      <c r="N1368" s="6">
        <f t="shared" si="65"/>
        <v>2004</v>
      </c>
    </row>
    <row r="1369" spans="1:14">
      <c r="A1369" s="2" t="s">
        <v>54</v>
      </c>
      <c r="B1369" s="3">
        <v>10299</v>
      </c>
      <c r="C1369" s="3">
        <v>49</v>
      </c>
      <c r="D1369" s="13">
        <v>100</v>
      </c>
      <c r="E1369" s="5">
        <v>38260</v>
      </c>
      <c r="F1369" s="2" t="s">
        <v>13</v>
      </c>
      <c r="G1369" s="2" t="s">
        <v>72</v>
      </c>
      <c r="H1369" s="3">
        <v>3</v>
      </c>
      <c r="I1369" s="6">
        <v>2004</v>
      </c>
      <c r="J1369" s="2" t="s">
        <v>61</v>
      </c>
      <c r="K1369" s="2" t="s">
        <v>55</v>
      </c>
      <c r="L1369" s="7">
        <f t="shared" si="63"/>
        <v>4900</v>
      </c>
      <c r="M1369" s="2" t="str">
        <f t="shared" si="64"/>
        <v>September</v>
      </c>
      <c r="N1369" s="6">
        <f t="shared" si="65"/>
        <v>2004</v>
      </c>
    </row>
    <row r="1370" spans="1:14">
      <c r="A1370" s="2" t="s">
        <v>165</v>
      </c>
      <c r="B1370" s="3">
        <v>10310</v>
      </c>
      <c r="C1370" s="3">
        <v>40</v>
      </c>
      <c r="D1370" s="13">
        <v>100</v>
      </c>
      <c r="E1370" s="5">
        <v>38276</v>
      </c>
      <c r="F1370" s="2" t="s">
        <v>13</v>
      </c>
      <c r="G1370" s="2" t="s">
        <v>72</v>
      </c>
      <c r="H1370" s="3">
        <v>4</v>
      </c>
      <c r="I1370" s="6">
        <v>2004</v>
      </c>
      <c r="J1370" s="2" t="s">
        <v>22</v>
      </c>
      <c r="K1370" s="2" t="s">
        <v>166</v>
      </c>
      <c r="L1370" s="7">
        <f t="shared" si="63"/>
        <v>4000</v>
      </c>
      <c r="M1370" s="2" t="str">
        <f t="shared" si="64"/>
        <v>October</v>
      </c>
      <c r="N1370" s="6">
        <f t="shared" si="65"/>
        <v>2004</v>
      </c>
    </row>
    <row r="1371" spans="1:14">
      <c r="A1371" s="2" t="s">
        <v>188</v>
      </c>
      <c r="B1371" s="3">
        <v>10319</v>
      </c>
      <c r="C1371" s="3">
        <v>45</v>
      </c>
      <c r="D1371" s="13">
        <v>100</v>
      </c>
      <c r="E1371" s="5">
        <v>38294</v>
      </c>
      <c r="F1371" s="2" t="s">
        <v>13</v>
      </c>
      <c r="G1371" s="2" t="s">
        <v>72</v>
      </c>
      <c r="H1371" s="3">
        <v>4</v>
      </c>
      <c r="I1371" s="6">
        <v>2004</v>
      </c>
      <c r="J1371" s="2" t="s">
        <v>61</v>
      </c>
      <c r="K1371" s="2" t="s">
        <v>189</v>
      </c>
      <c r="L1371" s="7">
        <f t="shared" si="63"/>
        <v>4500</v>
      </c>
      <c r="M1371" s="2" t="str">
        <f t="shared" si="64"/>
        <v>November</v>
      </c>
      <c r="N1371" s="6">
        <f t="shared" si="65"/>
        <v>2004</v>
      </c>
    </row>
    <row r="1372" spans="1:14">
      <c r="A1372" s="2" t="s">
        <v>161</v>
      </c>
      <c r="B1372" s="3">
        <v>10330</v>
      </c>
      <c r="C1372" s="3">
        <v>50</v>
      </c>
      <c r="D1372" s="13">
        <v>100</v>
      </c>
      <c r="E1372" s="5">
        <v>38307</v>
      </c>
      <c r="F1372" s="2" t="s">
        <v>13</v>
      </c>
      <c r="G1372" s="2" t="s">
        <v>72</v>
      </c>
      <c r="H1372" s="3">
        <v>4</v>
      </c>
      <c r="I1372" s="6">
        <v>2004</v>
      </c>
      <c r="J1372" s="2" t="s">
        <v>22</v>
      </c>
      <c r="K1372" s="2" t="s">
        <v>162</v>
      </c>
      <c r="L1372" s="7">
        <f t="shared" si="63"/>
        <v>5000</v>
      </c>
      <c r="M1372" s="2" t="str">
        <f t="shared" si="64"/>
        <v>November</v>
      </c>
      <c r="N1372" s="6">
        <f t="shared" si="65"/>
        <v>2004</v>
      </c>
    </row>
    <row r="1373" spans="1:14">
      <c r="A1373" s="2" t="s">
        <v>42</v>
      </c>
      <c r="B1373" s="3">
        <v>10342</v>
      </c>
      <c r="C1373" s="3">
        <v>38</v>
      </c>
      <c r="D1373" s="13">
        <v>100</v>
      </c>
      <c r="E1373" s="5">
        <v>38315</v>
      </c>
      <c r="F1373" s="2" t="s">
        <v>13</v>
      </c>
      <c r="G1373" s="2" t="s">
        <v>72</v>
      </c>
      <c r="H1373" s="3">
        <v>4</v>
      </c>
      <c r="I1373" s="6">
        <v>2004</v>
      </c>
      <c r="J1373" s="2" t="s">
        <v>22</v>
      </c>
      <c r="K1373" s="2" t="s">
        <v>43</v>
      </c>
      <c r="L1373" s="7">
        <f t="shared" si="63"/>
        <v>3800</v>
      </c>
      <c r="M1373" s="2" t="str">
        <f t="shared" si="64"/>
        <v>November</v>
      </c>
      <c r="N1373" s="6">
        <f t="shared" si="65"/>
        <v>2004</v>
      </c>
    </row>
    <row r="1374" spans="1:14">
      <c r="A1374" s="2" t="s">
        <v>69</v>
      </c>
      <c r="B1374" s="3">
        <v>10355</v>
      </c>
      <c r="C1374" s="3">
        <v>25</v>
      </c>
      <c r="D1374" s="13">
        <v>100</v>
      </c>
      <c r="E1374" s="5">
        <v>38328</v>
      </c>
      <c r="F1374" s="2" t="s">
        <v>13</v>
      </c>
      <c r="G1374" s="2" t="s">
        <v>72</v>
      </c>
      <c r="H1374" s="3">
        <v>4</v>
      </c>
      <c r="I1374" s="6">
        <v>2004</v>
      </c>
      <c r="J1374" s="2" t="s">
        <v>22</v>
      </c>
      <c r="K1374" s="2" t="s">
        <v>71</v>
      </c>
      <c r="L1374" s="7">
        <f t="shared" si="63"/>
        <v>2500</v>
      </c>
      <c r="M1374" s="2" t="str">
        <f t="shared" si="64"/>
        <v>December</v>
      </c>
      <c r="N1374" s="6">
        <f t="shared" si="65"/>
        <v>2004</v>
      </c>
    </row>
    <row r="1375" spans="1:14">
      <c r="A1375" s="2" t="s">
        <v>175</v>
      </c>
      <c r="B1375" s="3">
        <v>10363</v>
      </c>
      <c r="C1375" s="3">
        <v>28</v>
      </c>
      <c r="D1375" s="13">
        <v>58.18</v>
      </c>
      <c r="E1375" s="5">
        <v>38358</v>
      </c>
      <c r="F1375" s="2" t="s">
        <v>13</v>
      </c>
      <c r="G1375" s="2" t="s">
        <v>72</v>
      </c>
      <c r="H1375" s="3">
        <v>1</v>
      </c>
      <c r="I1375" s="6">
        <v>2005</v>
      </c>
      <c r="J1375" s="2" t="s">
        <v>15</v>
      </c>
      <c r="K1375" s="2" t="s">
        <v>176</v>
      </c>
      <c r="L1375" s="7">
        <f t="shared" si="63"/>
        <v>1629.04</v>
      </c>
      <c r="M1375" s="2" t="str">
        <f t="shared" si="64"/>
        <v>January</v>
      </c>
      <c r="N1375" s="6">
        <f t="shared" si="65"/>
        <v>2005</v>
      </c>
    </row>
    <row r="1376" spans="1:14">
      <c r="A1376" s="2" t="s">
        <v>69</v>
      </c>
      <c r="B1376" s="3">
        <v>10378</v>
      </c>
      <c r="C1376" s="3">
        <v>49</v>
      </c>
      <c r="D1376" s="13">
        <v>67.14</v>
      </c>
      <c r="E1376" s="5">
        <v>38393</v>
      </c>
      <c r="F1376" s="2" t="s">
        <v>13</v>
      </c>
      <c r="G1376" s="2" t="s">
        <v>72</v>
      </c>
      <c r="H1376" s="3">
        <v>1</v>
      </c>
      <c r="I1376" s="6">
        <v>2005</v>
      </c>
      <c r="J1376" s="2" t="s">
        <v>22</v>
      </c>
      <c r="K1376" s="2" t="s">
        <v>71</v>
      </c>
      <c r="L1376" s="7">
        <f t="shared" si="63"/>
        <v>3289.86</v>
      </c>
      <c r="M1376" s="2" t="str">
        <f t="shared" si="64"/>
        <v>February</v>
      </c>
      <c r="N1376" s="6">
        <f t="shared" si="65"/>
        <v>2005</v>
      </c>
    </row>
    <row r="1377" spans="1:14">
      <c r="A1377" s="2" t="s">
        <v>103</v>
      </c>
      <c r="B1377" s="3">
        <v>10390</v>
      </c>
      <c r="C1377" s="3">
        <v>49</v>
      </c>
      <c r="D1377" s="13">
        <v>100</v>
      </c>
      <c r="E1377" s="5">
        <v>38415</v>
      </c>
      <c r="F1377" s="2" t="s">
        <v>13</v>
      </c>
      <c r="G1377" s="2" t="s">
        <v>72</v>
      </c>
      <c r="H1377" s="3">
        <v>1</v>
      </c>
      <c r="I1377" s="6">
        <v>2005</v>
      </c>
      <c r="J1377" s="2" t="s">
        <v>22</v>
      </c>
      <c r="K1377" s="2" t="s">
        <v>104</v>
      </c>
      <c r="L1377" s="7">
        <f t="shared" si="63"/>
        <v>4900</v>
      </c>
      <c r="M1377" s="2" t="str">
        <f t="shared" si="64"/>
        <v>March</v>
      </c>
      <c r="N1377" s="6">
        <f t="shared" si="65"/>
        <v>2005</v>
      </c>
    </row>
    <row r="1378" spans="1:14">
      <c r="A1378" s="2" t="s">
        <v>183</v>
      </c>
      <c r="B1378" s="3">
        <v>10110</v>
      </c>
      <c r="C1378" s="3">
        <v>42</v>
      </c>
      <c r="D1378" s="13">
        <v>61.29</v>
      </c>
      <c r="E1378" s="5">
        <v>37698</v>
      </c>
      <c r="F1378" s="2" t="s">
        <v>13</v>
      </c>
      <c r="G1378" s="2" t="s">
        <v>72</v>
      </c>
      <c r="H1378" s="3">
        <v>1</v>
      </c>
      <c r="I1378" s="6">
        <v>2003</v>
      </c>
      <c r="J1378" s="2" t="s">
        <v>15</v>
      </c>
      <c r="K1378" s="2" t="s">
        <v>184</v>
      </c>
      <c r="L1378" s="7">
        <f t="shared" si="63"/>
        <v>2574.18</v>
      </c>
      <c r="M1378" s="2" t="str">
        <f t="shared" si="64"/>
        <v>March</v>
      </c>
      <c r="N1378" s="6">
        <f t="shared" si="65"/>
        <v>2003</v>
      </c>
    </row>
    <row r="1379" spans="1:14">
      <c r="A1379" s="2" t="s">
        <v>198</v>
      </c>
      <c r="B1379" s="3">
        <v>10124</v>
      </c>
      <c r="C1379" s="3">
        <v>23</v>
      </c>
      <c r="D1379" s="13">
        <v>57.73</v>
      </c>
      <c r="E1379" s="5">
        <v>37762</v>
      </c>
      <c r="F1379" s="2" t="s">
        <v>13</v>
      </c>
      <c r="G1379" s="2" t="s">
        <v>72</v>
      </c>
      <c r="H1379" s="3">
        <v>2</v>
      </c>
      <c r="I1379" s="6">
        <v>2003</v>
      </c>
      <c r="J1379" s="2" t="s">
        <v>15</v>
      </c>
      <c r="K1379" s="2" t="s">
        <v>199</v>
      </c>
      <c r="L1379" s="7">
        <f t="shared" si="63"/>
        <v>1327.79</v>
      </c>
      <c r="M1379" s="2" t="str">
        <f t="shared" si="64"/>
        <v>May</v>
      </c>
      <c r="N1379" s="6">
        <f t="shared" si="65"/>
        <v>2003</v>
      </c>
    </row>
    <row r="1380" spans="1:14">
      <c r="A1380" s="2" t="s">
        <v>109</v>
      </c>
      <c r="B1380" s="3">
        <v>10148</v>
      </c>
      <c r="C1380" s="3">
        <v>29</v>
      </c>
      <c r="D1380" s="13">
        <v>81.25</v>
      </c>
      <c r="E1380" s="5">
        <v>37875</v>
      </c>
      <c r="F1380" s="2" t="s">
        <v>13</v>
      </c>
      <c r="G1380" s="2" t="s">
        <v>72</v>
      </c>
      <c r="H1380" s="3">
        <v>3</v>
      </c>
      <c r="I1380" s="6">
        <v>2003</v>
      </c>
      <c r="J1380" s="2" t="s">
        <v>15</v>
      </c>
      <c r="K1380" s="2" t="s">
        <v>110</v>
      </c>
      <c r="L1380" s="7">
        <f t="shared" si="63"/>
        <v>2356.25</v>
      </c>
      <c r="M1380" s="2" t="str">
        <f t="shared" si="64"/>
        <v>September</v>
      </c>
      <c r="N1380" s="6">
        <f t="shared" si="65"/>
        <v>2003</v>
      </c>
    </row>
    <row r="1381" spans="1:14">
      <c r="A1381" s="2" t="s">
        <v>185</v>
      </c>
      <c r="B1381" s="3">
        <v>10161</v>
      </c>
      <c r="C1381" s="3">
        <v>25</v>
      </c>
      <c r="D1381" s="13">
        <v>80.54</v>
      </c>
      <c r="E1381" s="5">
        <v>37911</v>
      </c>
      <c r="F1381" s="2" t="s">
        <v>13</v>
      </c>
      <c r="G1381" s="2" t="s">
        <v>72</v>
      </c>
      <c r="H1381" s="3">
        <v>4</v>
      </c>
      <c r="I1381" s="6">
        <v>2003</v>
      </c>
      <c r="J1381" s="2" t="s">
        <v>15</v>
      </c>
      <c r="K1381" s="2" t="s">
        <v>186</v>
      </c>
      <c r="L1381" s="7">
        <f t="shared" si="63"/>
        <v>2013.5</v>
      </c>
      <c r="M1381" s="2" t="str">
        <f t="shared" si="64"/>
        <v>October</v>
      </c>
      <c r="N1381" s="6">
        <f t="shared" si="65"/>
        <v>2003</v>
      </c>
    </row>
    <row r="1382" spans="1:14">
      <c r="A1382" s="2" t="s">
        <v>203</v>
      </c>
      <c r="B1382" s="3">
        <v>10173</v>
      </c>
      <c r="C1382" s="3">
        <v>39</v>
      </c>
      <c r="D1382" s="13">
        <v>71.98</v>
      </c>
      <c r="E1382" s="5">
        <v>37930</v>
      </c>
      <c r="F1382" s="2" t="s">
        <v>13</v>
      </c>
      <c r="G1382" s="2" t="s">
        <v>72</v>
      </c>
      <c r="H1382" s="3">
        <v>4</v>
      </c>
      <c r="I1382" s="6">
        <v>2003</v>
      </c>
      <c r="J1382" s="2" t="s">
        <v>15</v>
      </c>
      <c r="K1382" s="2" t="s">
        <v>204</v>
      </c>
      <c r="L1382" s="7">
        <f t="shared" si="63"/>
        <v>2807.22</v>
      </c>
      <c r="M1382" s="2" t="str">
        <f t="shared" si="64"/>
        <v>November</v>
      </c>
      <c r="N1382" s="6">
        <f t="shared" si="65"/>
        <v>2003</v>
      </c>
    </row>
    <row r="1383" spans="1:14">
      <c r="A1383" s="2" t="s">
        <v>103</v>
      </c>
      <c r="B1383" s="3">
        <v>10182</v>
      </c>
      <c r="C1383" s="3">
        <v>44</v>
      </c>
      <c r="D1383" s="13">
        <v>69.84</v>
      </c>
      <c r="E1383" s="5">
        <v>37937</v>
      </c>
      <c r="F1383" s="2" t="s">
        <v>13</v>
      </c>
      <c r="G1383" s="2" t="s">
        <v>72</v>
      </c>
      <c r="H1383" s="3">
        <v>4</v>
      </c>
      <c r="I1383" s="6">
        <v>2003</v>
      </c>
      <c r="J1383" s="2" t="s">
        <v>22</v>
      </c>
      <c r="K1383" s="2" t="s">
        <v>104</v>
      </c>
      <c r="L1383" s="7">
        <f t="shared" si="63"/>
        <v>3072.96</v>
      </c>
      <c r="M1383" s="2" t="str">
        <f t="shared" si="64"/>
        <v>November</v>
      </c>
      <c r="N1383" s="6">
        <f t="shared" si="65"/>
        <v>2003</v>
      </c>
    </row>
    <row r="1384" spans="1:14">
      <c r="A1384" s="2" t="s">
        <v>205</v>
      </c>
      <c r="B1384" s="3">
        <v>10193</v>
      </c>
      <c r="C1384" s="3">
        <v>25</v>
      </c>
      <c r="D1384" s="13">
        <v>76.26</v>
      </c>
      <c r="E1384" s="5">
        <v>37946</v>
      </c>
      <c r="F1384" s="2" t="s">
        <v>13</v>
      </c>
      <c r="G1384" s="2" t="s">
        <v>72</v>
      </c>
      <c r="H1384" s="3">
        <v>4</v>
      </c>
      <c r="I1384" s="6">
        <v>2003</v>
      </c>
      <c r="J1384" s="2" t="s">
        <v>15</v>
      </c>
      <c r="K1384" s="2" t="s">
        <v>206</v>
      </c>
      <c r="L1384" s="7">
        <f t="shared" si="63"/>
        <v>1906.5</v>
      </c>
      <c r="M1384" s="2" t="str">
        <f t="shared" si="64"/>
        <v>November</v>
      </c>
      <c r="N1384" s="6">
        <f t="shared" si="65"/>
        <v>2003</v>
      </c>
    </row>
    <row r="1385" spans="1:14">
      <c r="A1385" s="2" t="s">
        <v>177</v>
      </c>
      <c r="B1385" s="3">
        <v>10204</v>
      </c>
      <c r="C1385" s="3">
        <v>45</v>
      </c>
      <c r="D1385" s="13">
        <v>76.26</v>
      </c>
      <c r="E1385" s="5">
        <v>37957</v>
      </c>
      <c r="F1385" s="2" t="s">
        <v>13</v>
      </c>
      <c r="G1385" s="2" t="s">
        <v>72</v>
      </c>
      <c r="H1385" s="3">
        <v>4</v>
      </c>
      <c r="I1385" s="6">
        <v>2003</v>
      </c>
      <c r="J1385" s="2" t="s">
        <v>22</v>
      </c>
      <c r="K1385" s="2" t="s">
        <v>178</v>
      </c>
      <c r="L1385" s="7">
        <f t="shared" si="63"/>
        <v>3431.7</v>
      </c>
      <c r="M1385" s="2" t="str">
        <f t="shared" si="64"/>
        <v>December</v>
      </c>
      <c r="N1385" s="6">
        <f t="shared" si="65"/>
        <v>2003</v>
      </c>
    </row>
    <row r="1386" spans="1:14">
      <c r="A1386" s="2" t="s">
        <v>131</v>
      </c>
      <c r="B1386" s="3">
        <v>10213</v>
      </c>
      <c r="C1386" s="3">
        <v>25</v>
      </c>
      <c r="D1386" s="13">
        <v>83.39</v>
      </c>
      <c r="E1386" s="5">
        <v>38008</v>
      </c>
      <c r="F1386" s="2" t="s">
        <v>13</v>
      </c>
      <c r="G1386" s="2" t="s">
        <v>72</v>
      </c>
      <c r="H1386" s="3">
        <v>1</v>
      </c>
      <c r="I1386" s="6">
        <v>2004</v>
      </c>
      <c r="J1386" s="2" t="s">
        <v>15</v>
      </c>
      <c r="K1386" s="2" t="s">
        <v>132</v>
      </c>
      <c r="L1386" s="7">
        <f t="shared" si="63"/>
        <v>2084.75</v>
      </c>
      <c r="M1386" s="2" t="str">
        <f t="shared" si="64"/>
        <v>January</v>
      </c>
      <c r="N1386" s="6">
        <f t="shared" si="65"/>
        <v>2004</v>
      </c>
    </row>
    <row r="1387" spans="1:14">
      <c r="A1387" s="2" t="s">
        <v>85</v>
      </c>
      <c r="B1387" s="3">
        <v>10227</v>
      </c>
      <c r="C1387" s="3">
        <v>37</v>
      </c>
      <c r="D1387" s="13">
        <v>57.73</v>
      </c>
      <c r="E1387" s="5">
        <v>38048</v>
      </c>
      <c r="F1387" s="2" t="s">
        <v>13</v>
      </c>
      <c r="G1387" s="2" t="s">
        <v>72</v>
      </c>
      <c r="H1387" s="3">
        <v>1</v>
      </c>
      <c r="I1387" s="6">
        <v>2004</v>
      </c>
      <c r="J1387" s="2" t="s">
        <v>15</v>
      </c>
      <c r="K1387" s="2" t="s">
        <v>86</v>
      </c>
      <c r="L1387" s="7">
        <f t="shared" si="63"/>
        <v>2136.01</v>
      </c>
      <c r="M1387" s="2" t="str">
        <f t="shared" si="64"/>
        <v>March</v>
      </c>
      <c r="N1387" s="6">
        <f t="shared" si="65"/>
        <v>2004</v>
      </c>
    </row>
    <row r="1388" spans="1:14">
      <c r="A1388" s="2" t="s">
        <v>196</v>
      </c>
      <c r="B1388" s="3">
        <v>10241</v>
      </c>
      <c r="C1388" s="3">
        <v>30</v>
      </c>
      <c r="D1388" s="13">
        <v>66.99</v>
      </c>
      <c r="E1388" s="5">
        <v>38090</v>
      </c>
      <c r="F1388" s="2" t="s">
        <v>13</v>
      </c>
      <c r="G1388" s="2" t="s">
        <v>72</v>
      </c>
      <c r="H1388" s="3">
        <v>2</v>
      </c>
      <c r="I1388" s="6">
        <v>2004</v>
      </c>
      <c r="J1388" s="2" t="s">
        <v>15</v>
      </c>
      <c r="K1388" s="2" t="s">
        <v>197</v>
      </c>
      <c r="L1388" s="7">
        <f t="shared" si="63"/>
        <v>2009.7</v>
      </c>
      <c r="M1388" s="2" t="str">
        <f t="shared" si="64"/>
        <v>April</v>
      </c>
      <c r="N1388" s="6">
        <f t="shared" si="65"/>
        <v>2004</v>
      </c>
    </row>
    <row r="1389" spans="1:14">
      <c r="A1389" s="2" t="s">
        <v>177</v>
      </c>
      <c r="B1389" s="3">
        <v>10267</v>
      </c>
      <c r="C1389" s="3">
        <v>36</v>
      </c>
      <c r="D1389" s="13">
        <v>75.55</v>
      </c>
      <c r="E1389" s="5">
        <v>38175</v>
      </c>
      <c r="F1389" s="2" t="s">
        <v>13</v>
      </c>
      <c r="G1389" s="2" t="s">
        <v>72</v>
      </c>
      <c r="H1389" s="3">
        <v>3</v>
      </c>
      <c r="I1389" s="6">
        <v>2004</v>
      </c>
      <c r="J1389" s="2" t="s">
        <v>15</v>
      </c>
      <c r="K1389" s="2" t="s">
        <v>178</v>
      </c>
      <c r="L1389" s="7">
        <f t="shared" si="63"/>
        <v>2719.8</v>
      </c>
      <c r="M1389" s="2" t="str">
        <f t="shared" si="64"/>
        <v>July</v>
      </c>
      <c r="N1389" s="6">
        <f t="shared" si="65"/>
        <v>2004</v>
      </c>
    </row>
    <row r="1390" spans="1:14">
      <c r="A1390" s="2" t="s">
        <v>69</v>
      </c>
      <c r="B1390" s="3">
        <v>10279</v>
      </c>
      <c r="C1390" s="3">
        <v>26</v>
      </c>
      <c r="D1390" s="13">
        <v>60.58</v>
      </c>
      <c r="E1390" s="5">
        <v>38208</v>
      </c>
      <c r="F1390" s="2" t="s">
        <v>13</v>
      </c>
      <c r="G1390" s="2" t="s">
        <v>72</v>
      </c>
      <c r="H1390" s="3">
        <v>3</v>
      </c>
      <c r="I1390" s="6">
        <v>2004</v>
      </c>
      <c r="J1390" s="2" t="s">
        <v>15</v>
      </c>
      <c r="K1390" s="2" t="s">
        <v>71</v>
      </c>
      <c r="L1390" s="7">
        <f t="shared" si="63"/>
        <v>1575.08</v>
      </c>
      <c r="M1390" s="2" t="str">
        <f t="shared" si="64"/>
        <v>August</v>
      </c>
      <c r="N1390" s="6">
        <f t="shared" si="65"/>
        <v>2004</v>
      </c>
    </row>
    <row r="1391" spans="1:14">
      <c r="A1391" s="2" t="s">
        <v>159</v>
      </c>
      <c r="B1391" s="3">
        <v>10288</v>
      </c>
      <c r="C1391" s="3">
        <v>23</v>
      </c>
      <c r="D1391" s="13">
        <v>73.41</v>
      </c>
      <c r="E1391" s="5">
        <v>38231</v>
      </c>
      <c r="F1391" s="2" t="s">
        <v>13</v>
      </c>
      <c r="G1391" s="2" t="s">
        <v>72</v>
      </c>
      <c r="H1391" s="3">
        <v>3</v>
      </c>
      <c r="I1391" s="6">
        <v>2004</v>
      </c>
      <c r="J1391" s="2" t="s">
        <v>15</v>
      </c>
      <c r="K1391" s="2" t="s">
        <v>160</v>
      </c>
      <c r="L1391" s="7">
        <f t="shared" si="63"/>
        <v>1688.43</v>
      </c>
      <c r="M1391" s="2" t="str">
        <f t="shared" si="64"/>
        <v>September</v>
      </c>
      <c r="N1391" s="6">
        <f t="shared" si="65"/>
        <v>2004</v>
      </c>
    </row>
    <row r="1392" spans="1:14">
      <c r="A1392" s="2" t="s">
        <v>67</v>
      </c>
      <c r="B1392" s="3">
        <v>10302</v>
      </c>
      <c r="C1392" s="3">
        <v>23</v>
      </c>
      <c r="D1392" s="13">
        <v>72.7</v>
      </c>
      <c r="E1392" s="5">
        <v>37900</v>
      </c>
      <c r="F1392" s="2" t="s">
        <v>13</v>
      </c>
      <c r="G1392" s="2" t="s">
        <v>72</v>
      </c>
      <c r="H1392" s="3">
        <v>4</v>
      </c>
      <c r="I1392" s="6">
        <v>2003</v>
      </c>
      <c r="J1392" s="2" t="s">
        <v>15</v>
      </c>
      <c r="K1392" s="2" t="s">
        <v>68</v>
      </c>
      <c r="L1392" s="7">
        <f t="shared" si="63"/>
        <v>1672.1</v>
      </c>
      <c r="M1392" s="2" t="str">
        <f t="shared" si="64"/>
        <v>October</v>
      </c>
      <c r="N1392" s="6">
        <f t="shared" si="65"/>
        <v>2003</v>
      </c>
    </row>
    <row r="1393" spans="1:14">
      <c r="A1393" s="2" t="s">
        <v>69</v>
      </c>
      <c r="B1393" s="3">
        <v>10311</v>
      </c>
      <c r="C1393" s="3">
        <v>25</v>
      </c>
      <c r="D1393" s="13">
        <v>66.99</v>
      </c>
      <c r="E1393" s="5">
        <v>38276</v>
      </c>
      <c r="F1393" s="2" t="s">
        <v>13</v>
      </c>
      <c r="G1393" s="2" t="s">
        <v>72</v>
      </c>
      <c r="H1393" s="3">
        <v>4</v>
      </c>
      <c r="I1393" s="6">
        <v>2004</v>
      </c>
      <c r="J1393" s="2" t="s">
        <v>15</v>
      </c>
      <c r="K1393" s="2" t="s">
        <v>71</v>
      </c>
      <c r="L1393" s="7">
        <f t="shared" si="63"/>
        <v>1674.75</v>
      </c>
      <c r="M1393" s="2" t="str">
        <f t="shared" si="64"/>
        <v>October</v>
      </c>
      <c r="N1393" s="6">
        <f t="shared" si="65"/>
        <v>2004</v>
      </c>
    </row>
    <row r="1394" spans="1:14">
      <c r="A1394" s="2" t="s">
        <v>183</v>
      </c>
      <c r="B1394" s="3">
        <v>10332</v>
      </c>
      <c r="C1394" s="3">
        <v>21</v>
      </c>
      <c r="D1394" s="13">
        <v>100</v>
      </c>
      <c r="E1394" s="5">
        <v>38308</v>
      </c>
      <c r="F1394" s="2" t="s">
        <v>13</v>
      </c>
      <c r="G1394" s="2" t="s">
        <v>72</v>
      </c>
      <c r="H1394" s="3">
        <v>4</v>
      </c>
      <c r="I1394" s="6">
        <v>2004</v>
      </c>
      <c r="J1394" s="2" t="s">
        <v>22</v>
      </c>
      <c r="K1394" s="2" t="s">
        <v>184</v>
      </c>
      <c r="L1394" s="7">
        <f t="shared" si="63"/>
        <v>2100</v>
      </c>
      <c r="M1394" s="2" t="str">
        <f t="shared" si="64"/>
        <v>November</v>
      </c>
      <c r="N1394" s="6">
        <f t="shared" si="65"/>
        <v>2004</v>
      </c>
    </row>
    <row r="1395" spans="1:14">
      <c r="A1395" s="2" t="s">
        <v>163</v>
      </c>
      <c r="B1395" s="3">
        <v>10344</v>
      </c>
      <c r="C1395" s="3">
        <v>26</v>
      </c>
      <c r="D1395" s="13">
        <v>63.43</v>
      </c>
      <c r="E1395" s="5">
        <v>38316</v>
      </c>
      <c r="F1395" s="2" t="s">
        <v>13</v>
      </c>
      <c r="G1395" s="2" t="s">
        <v>72</v>
      </c>
      <c r="H1395" s="3">
        <v>4</v>
      </c>
      <c r="I1395" s="6">
        <v>2004</v>
      </c>
      <c r="J1395" s="2" t="s">
        <v>15</v>
      </c>
      <c r="K1395" s="2" t="s">
        <v>164</v>
      </c>
      <c r="L1395" s="7">
        <f t="shared" si="63"/>
        <v>1649.18</v>
      </c>
      <c r="M1395" s="2" t="str">
        <f t="shared" si="64"/>
        <v>November</v>
      </c>
      <c r="N1395" s="6">
        <f t="shared" si="65"/>
        <v>2004</v>
      </c>
    </row>
    <row r="1396" spans="1:14">
      <c r="A1396" s="2" t="s">
        <v>25</v>
      </c>
      <c r="B1396" s="3">
        <v>10367</v>
      </c>
      <c r="C1396" s="3">
        <v>44</v>
      </c>
      <c r="D1396" s="13">
        <v>85.25</v>
      </c>
      <c r="E1396" s="5">
        <v>38364</v>
      </c>
      <c r="F1396" s="2" t="s">
        <v>155</v>
      </c>
      <c r="G1396" s="2" t="s">
        <v>72</v>
      </c>
      <c r="H1396" s="3">
        <v>1</v>
      </c>
      <c r="I1396" s="6">
        <v>2005</v>
      </c>
      <c r="J1396" s="2" t="s">
        <v>22</v>
      </c>
      <c r="K1396" s="2" t="s">
        <v>26</v>
      </c>
      <c r="L1396" s="7">
        <f t="shared" si="63"/>
        <v>3751</v>
      </c>
      <c r="M1396" s="2" t="str">
        <f t="shared" si="64"/>
        <v>January</v>
      </c>
      <c r="N1396" s="6">
        <f t="shared" si="65"/>
        <v>2005</v>
      </c>
    </row>
    <row r="1397" spans="1:14">
      <c r="A1397" s="2" t="s">
        <v>69</v>
      </c>
      <c r="B1397" s="3">
        <v>10380</v>
      </c>
      <c r="C1397" s="3">
        <v>24</v>
      </c>
      <c r="D1397" s="13">
        <v>100</v>
      </c>
      <c r="E1397" s="5">
        <v>38399</v>
      </c>
      <c r="F1397" s="2" t="s">
        <v>13</v>
      </c>
      <c r="G1397" s="2" t="s">
        <v>72</v>
      </c>
      <c r="H1397" s="3">
        <v>1</v>
      </c>
      <c r="I1397" s="6">
        <v>2005</v>
      </c>
      <c r="J1397" s="2" t="s">
        <v>22</v>
      </c>
      <c r="K1397" s="2" t="s">
        <v>71</v>
      </c>
      <c r="L1397" s="7">
        <f t="shared" si="63"/>
        <v>2400</v>
      </c>
      <c r="M1397" s="2" t="str">
        <f t="shared" si="64"/>
        <v>February</v>
      </c>
      <c r="N1397" s="6">
        <f t="shared" si="65"/>
        <v>2005</v>
      </c>
    </row>
    <row r="1398" spans="1:14">
      <c r="A1398" s="2" t="s">
        <v>149</v>
      </c>
      <c r="B1398" s="3">
        <v>10407</v>
      </c>
      <c r="C1398" s="3">
        <v>66</v>
      </c>
      <c r="D1398" s="13">
        <v>66.99</v>
      </c>
      <c r="E1398" s="5">
        <v>38464</v>
      </c>
      <c r="F1398" s="2" t="s">
        <v>151</v>
      </c>
      <c r="G1398" s="2" t="s">
        <v>72</v>
      </c>
      <c r="H1398" s="3">
        <v>2</v>
      </c>
      <c r="I1398" s="6">
        <v>2005</v>
      </c>
      <c r="J1398" s="2" t="s">
        <v>22</v>
      </c>
      <c r="K1398" s="2" t="s">
        <v>150</v>
      </c>
      <c r="L1398" s="7">
        <f t="shared" si="63"/>
        <v>4421.34</v>
      </c>
      <c r="M1398" s="2" t="str">
        <f t="shared" si="64"/>
        <v>April</v>
      </c>
      <c r="N1398" s="6">
        <f t="shared" si="65"/>
        <v>2005</v>
      </c>
    </row>
    <row r="1399" spans="1:14">
      <c r="A1399" s="2" t="s">
        <v>63</v>
      </c>
      <c r="B1399" s="3">
        <v>10420</v>
      </c>
      <c r="C1399" s="3">
        <v>36</v>
      </c>
      <c r="D1399" s="13">
        <v>57.73</v>
      </c>
      <c r="E1399" s="5">
        <v>38501</v>
      </c>
      <c r="F1399" s="2" t="s">
        <v>113</v>
      </c>
      <c r="G1399" s="2" t="s">
        <v>72</v>
      </c>
      <c r="H1399" s="3">
        <v>2</v>
      </c>
      <c r="I1399" s="6">
        <v>2005</v>
      </c>
      <c r="J1399" s="2" t="s">
        <v>15</v>
      </c>
      <c r="K1399" s="2" t="s">
        <v>64</v>
      </c>
      <c r="L1399" s="7">
        <f t="shared" si="63"/>
        <v>2078.28</v>
      </c>
      <c r="M1399" s="2" t="str">
        <f t="shared" si="64"/>
        <v>May</v>
      </c>
      <c r="N1399" s="6">
        <f t="shared" si="65"/>
        <v>2005</v>
      </c>
    </row>
    <row r="1400" spans="1:14">
      <c r="A1400" s="2" t="s">
        <v>183</v>
      </c>
      <c r="B1400" s="3">
        <v>10110</v>
      </c>
      <c r="C1400" s="3">
        <v>36</v>
      </c>
      <c r="D1400" s="13">
        <v>85.25</v>
      </c>
      <c r="E1400" s="5">
        <v>37698</v>
      </c>
      <c r="F1400" s="2" t="s">
        <v>13</v>
      </c>
      <c r="G1400" s="2" t="s">
        <v>72</v>
      </c>
      <c r="H1400" s="3">
        <v>1</v>
      </c>
      <c r="I1400" s="6">
        <v>2003</v>
      </c>
      <c r="J1400" s="2" t="s">
        <v>22</v>
      </c>
      <c r="K1400" s="2" t="s">
        <v>184</v>
      </c>
      <c r="L1400" s="7">
        <f t="shared" si="63"/>
        <v>3069</v>
      </c>
      <c r="M1400" s="2" t="str">
        <f t="shared" si="64"/>
        <v>March</v>
      </c>
      <c r="N1400" s="6">
        <f t="shared" si="65"/>
        <v>2003</v>
      </c>
    </row>
    <row r="1401" spans="1:14">
      <c r="A1401" s="2" t="s">
        <v>198</v>
      </c>
      <c r="B1401" s="3">
        <v>10124</v>
      </c>
      <c r="C1401" s="3">
        <v>22</v>
      </c>
      <c r="D1401" s="13">
        <v>77.9</v>
      </c>
      <c r="E1401" s="5">
        <v>37762</v>
      </c>
      <c r="F1401" s="2" t="s">
        <v>13</v>
      </c>
      <c r="G1401" s="2" t="s">
        <v>72</v>
      </c>
      <c r="H1401" s="3">
        <v>2</v>
      </c>
      <c r="I1401" s="6">
        <v>2003</v>
      </c>
      <c r="J1401" s="2" t="s">
        <v>15</v>
      </c>
      <c r="K1401" s="2" t="s">
        <v>199</v>
      </c>
      <c r="L1401" s="7">
        <f t="shared" si="63"/>
        <v>1713.8</v>
      </c>
      <c r="M1401" s="2" t="str">
        <f t="shared" si="64"/>
        <v>May</v>
      </c>
      <c r="N1401" s="6">
        <f t="shared" si="65"/>
        <v>2003</v>
      </c>
    </row>
    <row r="1402" spans="1:14">
      <c r="A1402" s="2" t="s">
        <v>109</v>
      </c>
      <c r="B1402" s="3">
        <v>10148</v>
      </c>
      <c r="C1402" s="3">
        <v>25</v>
      </c>
      <c r="D1402" s="13">
        <v>60.26</v>
      </c>
      <c r="E1402" s="5">
        <v>37875</v>
      </c>
      <c r="F1402" s="2" t="s">
        <v>13</v>
      </c>
      <c r="G1402" s="2" t="s">
        <v>72</v>
      </c>
      <c r="H1402" s="3">
        <v>3</v>
      </c>
      <c r="I1402" s="6">
        <v>2003</v>
      </c>
      <c r="J1402" s="2" t="s">
        <v>15</v>
      </c>
      <c r="K1402" s="2" t="s">
        <v>110</v>
      </c>
      <c r="L1402" s="7">
        <f t="shared" si="63"/>
        <v>1506.5</v>
      </c>
      <c r="M1402" s="2" t="str">
        <f t="shared" si="64"/>
        <v>September</v>
      </c>
      <c r="N1402" s="6">
        <f t="shared" si="65"/>
        <v>2003</v>
      </c>
    </row>
    <row r="1403" spans="1:14">
      <c r="A1403" s="2" t="s">
        <v>185</v>
      </c>
      <c r="B1403" s="3">
        <v>10161</v>
      </c>
      <c r="C1403" s="3">
        <v>37</v>
      </c>
      <c r="D1403" s="13">
        <v>72.76</v>
      </c>
      <c r="E1403" s="5">
        <v>37911</v>
      </c>
      <c r="F1403" s="2" t="s">
        <v>13</v>
      </c>
      <c r="G1403" s="2" t="s">
        <v>72</v>
      </c>
      <c r="H1403" s="3">
        <v>4</v>
      </c>
      <c r="I1403" s="6">
        <v>2003</v>
      </c>
      <c r="J1403" s="2" t="s">
        <v>15</v>
      </c>
      <c r="K1403" s="2" t="s">
        <v>186</v>
      </c>
      <c r="L1403" s="7">
        <f t="shared" si="63"/>
        <v>2692.12</v>
      </c>
      <c r="M1403" s="2" t="str">
        <f t="shared" si="64"/>
        <v>October</v>
      </c>
      <c r="N1403" s="6">
        <f t="shared" si="65"/>
        <v>2003</v>
      </c>
    </row>
    <row r="1404" spans="1:14">
      <c r="A1404" s="2" t="s">
        <v>48</v>
      </c>
      <c r="B1404" s="3">
        <v>10172</v>
      </c>
      <c r="C1404" s="3">
        <v>32</v>
      </c>
      <c r="D1404" s="13">
        <v>75.69</v>
      </c>
      <c r="E1404" s="5">
        <v>37930</v>
      </c>
      <c r="F1404" s="2" t="s">
        <v>13</v>
      </c>
      <c r="G1404" s="2" t="s">
        <v>72</v>
      </c>
      <c r="H1404" s="3">
        <v>4</v>
      </c>
      <c r="I1404" s="6">
        <v>2003</v>
      </c>
      <c r="J1404" s="2" t="s">
        <v>15</v>
      </c>
      <c r="K1404" s="2" t="s">
        <v>49</v>
      </c>
      <c r="L1404" s="7">
        <f t="shared" si="63"/>
        <v>2422.08</v>
      </c>
      <c r="M1404" s="2" t="str">
        <f t="shared" si="64"/>
        <v>November</v>
      </c>
      <c r="N1404" s="6">
        <f t="shared" si="65"/>
        <v>2003</v>
      </c>
    </row>
    <row r="1405" spans="1:14">
      <c r="A1405" s="2" t="s">
        <v>103</v>
      </c>
      <c r="B1405" s="3">
        <v>10182</v>
      </c>
      <c r="C1405" s="3">
        <v>47</v>
      </c>
      <c r="D1405" s="13">
        <v>74.22</v>
      </c>
      <c r="E1405" s="5">
        <v>37937</v>
      </c>
      <c r="F1405" s="2" t="s">
        <v>13</v>
      </c>
      <c r="G1405" s="2" t="s">
        <v>72</v>
      </c>
      <c r="H1405" s="3">
        <v>4</v>
      </c>
      <c r="I1405" s="6">
        <v>2003</v>
      </c>
      <c r="J1405" s="2" t="s">
        <v>22</v>
      </c>
      <c r="K1405" s="2" t="s">
        <v>104</v>
      </c>
      <c r="L1405" s="7">
        <f t="shared" si="63"/>
        <v>3488.34</v>
      </c>
      <c r="M1405" s="2" t="str">
        <f t="shared" si="64"/>
        <v>November</v>
      </c>
      <c r="N1405" s="6">
        <f t="shared" si="65"/>
        <v>2003</v>
      </c>
    </row>
    <row r="1406" spans="1:14">
      <c r="A1406" s="2" t="s">
        <v>105</v>
      </c>
      <c r="B1406" s="3">
        <v>10192</v>
      </c>
      <c r="C1406" s="3">
        <v>37</v>
      </c>
      <c r="D1406" s="13">
        <v>69.82</v>
      </c>
      <c r="E1406" s="5">
        <v>37945</v>
      </c>
      <c r="F1406" s="2" t="s">
        <v>13</v>
      </c>
      <c r="G1406" s="2" t="s">
        <v>72</v>
      </c>
      <c r="H1406" s="3">
        <v>4</v>
      </c>
      <c r="I1406" s="6">
        <v>2003</v>
      </c>
      <c r="J1406" s="2" t="s">
        <v>15</v>
      </c>
      <c r="K1406" s="2" t="s">
        <v>106</v>
      </c>
      <c r="L1406" s="7">
        <f t="shared" si="63"/>
        <v>2583.34</v>
      </c>
      <c r="M1406" s="2" t="str">
        <f t="shared" si="64"/>
        <v>November</v>
      </c>
      <c r="N1406" s="6">
        <f t="shared" si="65"/>
        <v>2003</v>
      </c>
    </row>
    <row r="1407" spans="1:14">
      <c r="A1407" s="2" t="s">
        <v>177</v>
      </c>
      <c r="B1407" s="3">
        <v>10204</v>
      </c>
      <c r="C1407" s="3">
        <v>20</v>
      </c>
      <c r="D1407" s="13">
        <v>62.47</v>
      </c>
      <c r="E1407" s="5">
        <v>37957</v>
      </c>
      <c r="F1407" s="2" t="s">
        <v>13</v>
      </c>
      <c r="G1407" s="2" t="s">
        <v>72</v>
      </c>
      <c r="H1407" s="3">
        <v>4</v>
      </c>
      <c r="I1407" s="6">
        <v>2003</v>
      </c>
      <c r="J1407" s="2" t="s">
        <v>15</v>
      </c>
      <c r="K1407" s="2" t="s">
        <v>178</v>
      </c>
      <c r="L1407" s="7">
        <f t="shared" si="63"/>
        <v>1249.4</v>
      </c>
      <c r="M1407" s="2" t="str">
        <f t="shared" si="64"/>
        <v>December</v>
      </c>
      <c r="N1407" s="6">
        <f t="shared" si="65"/>
        <v>2003</v>
      </c>
    </row>
    <row r="1408" spans="1:14">
      <c r="A1408" s="2" t="s">
        <v>69</v>
      </c>
      <c r="B1408" s="3">
        <v>10212</v>
      </c>
      <c r="C1408" s="3">
        <v>41</v>
      </c>
      <c r="D1408" s="13">
        <v>82.31</v>
      </c>
      <c r="E1408" s="5">
        <v>38002</v>
      </c>
      <c r="F1408" s="2" t="s">
        <v>13</v>
      </c>
      <c r="G1408" s="2" t="s">
        <v>72</v>
      </c>
      <c r="H1408" s="3">
        <v>1</v>
      </c>
      <c r="I1408" s="6">
        <v>2004</v>
      </c>
      <c r="J1408" s="2" t="s">
        <v>22</v>
      </c>
      <c r="K1408" s="2" t="s">
        <v>71</v>
      </c>
      <c r="L1408" s="7">
        <f t="shared" si="63"/>
        <v>3374.71</v>
      </c>
      <c r="M1408" s="2" t="str">
        <f t="shared" si="64"/>
        <v>January</v>
      </c>
      <c r="N1408" s="6">
        <f t="shared" si="65"/>
        <v>2004</v>
      </c>
    </row>
    <row r="1409" spans="1:14">
      <c r="A1409" s="2" t="s">
        <v>137</v>
      </c>
      <c r="B1409" s="3">
        <v>10226</v>
      </c>
      <c r="C1409" s="3">
        <v>21</v>
      </c>
      <c r="D1409" s="13">
        <v>60.26</v>
      </c>
      <c r="E1409" s="5">
        <v>38043</v>
      </c>
      <c r="F1409" s="2" t="s">
        <v>13</v>
      </c>
      <c r="G1409" s="2" t="s">
        <v>72</v>
      </c>
      <c r="H1409" s="3">
        <v>1</v>
      </c>
      <c r="I1409" s="6">
        <v>2004</v>
      </c>
      <c r="J1409" s="2" t="s">
        <v>15</v>
      </c>
      <c r="K1409" s="2" t="s">
        <v>138</v>
      </c>
      <c r="L1409" s="7">
        <f t="shared" si="63"/>
        <v>1265.46</v>
      </c>
      <c r="M1409" s="2" t="str">
        <f t="shared" si="64"/>
        <v>February</v>
      </c>
      <c r="N1409" s="6">
        <f t="shared" si="65"/>
        <v>2004</v>
      </c>
    </row>
    <row r="1410" spans="1:14">
      <c r="A1410" s="2" t="s">
        <v>196</v>
      </c>
      <c r="B1410" s="3">
        <v>10241</v>
      </c>
      <c r="C1410" s="3">
        <v>22</v>
      </c>
      <c r="D1410" s="13">
        <v>76.43</v>
      </c>
      <c r="E1410" s="5">
        <v>38090</v>
      </c>
      <c r="F1410" s="2" t="s">
        <v>13</v>
      </c>
      <c r="G1410" s="2" t="s">
        <v>72</v>
      </c>
      <c r="H1410" s="3">
        <v>2</v>
      </c>
      <c r="I1410" s="6">
        <v>2004</v>
      </c>
      <c r="J1410" s="2" t="s">
        <v>15</v>
      </c>
      <c r="K1410" s="2" t="s">
        <v>197</v>
      </c>
      <c r="L1410" s="7">
        <f t="shared" ref="L1410:L1473" si="66">PRODUCT(C1410,D1410)</f>
        <v>1681.46</v>
      </c>
      <c r="M1410" s="2" t="str">
        <f t="shared" ref="M1410:M1473" si="67">TEXT(E1410,"MMMM")</f>
        <v>April</v>
      </c>
      <c r="N1410" s="6">
        <f t="shared" ref="N1410:N1473" si="68">YEAR(E1410)</f>
        <v>2004</v>
      </c>
    </row>
    <row r="1411" spans="1:14">
      <c r="A1411" s="2" t="s">
        <v>177</v>
      </c>
      <c r="B1411" s="3">
        <v>10267</v>
      </c>
      <c r="C1411" s="3">
        <v>40</v>
      </c>
      <c r="D1411" s="13">
        <v>80.1</v>
      </c>
      <c r="E1411" s="5">
        <v>38175</v>
      </c>
      <c r="F1411" s="2" t="s">
        <v>13</v>
      </c>
      <c r="G1411" s="2" t="s">
        <v>72</v>
      </c>
      <c r="H1411" s="3">
        <v>3</v>
      </c>
      <c r="I1411" s="6">
        <v>2004</v>
      </c>
      <c r="J1411" s="2" t="s">
        <v>22</v>
      </c>
      <c r="K1411" s="2" t="s">
        <v>178</v>
      </c>
      <c r="L1411" s="7">
        <f t="shared" si="66"/>
        <v>3204</v>
      </c>
      <c r="M1411" s="2" t="str">
        <f t="shared" si="67"/>
        <v>July</v>
      </c>
      <c r="N1411" s="6">
        <f t="shared" si="68"/>
        <v>2004</v>
      </c>
    </row>
    <row r="1412" spans="1:14">
      <c r="A1412" s="2" t="s">
        <v>69</v>
      </c>
      <c r="B1412" s="3">
        <v>10279</v>
      </c>
      <c r="C1412" s="3">
        <v>32</v>
      </c>
      <c r="D1412" s="13">
        <v>74.96</v>
      </c>
      <c r="E1412" s="5">
        <v>38208</v>
      </c>
      <c r="F1412" s="2" t="s">
        <v>13</v>
      </c>
      <c r="G1412" s="2" t="s">
        <v>72</v>
      </c>
      <c r="H1412" s="3">
        <v>3</v>
      </c>
      <c r="I1412" s="6">
        <v>2004</v>
      </c>
      <c r="J1412" s="2" t="s">
        <v>15</v>
      </c>
      <c r="K1412" s="2" t="s">
        <v>71</v>
      </c>
      <c r="L1412" s="7">
        <f t="shared" si="66"/>
        <v>2398.72</v>
      </c>
      <c r="M1412" s="2" t="str">
        <f t="shared" si="67"/>
        <v>August</v>
      </c>
      <c r="N1412" s="6">
        <f t="shared" si="68"/>
        <v>2004</v>
      </c>
    </row>
    <row r="1413" spans="1:14">
      <c r="A1413" s="2" t="s">
        <v>159</v>
      </c>
      <c r="B1413" s="3">
        <v>10288</v>
      </c>
      <c r="C1413" s="3">
        <v>36</v>
      </c>
      <c r="D1413" s="13">
        <v>66.14</v>
      </c>
      <c r="E1413" s="5">
        <v>38231</v>
      </c>
      <c r="F1413" s="2" t="s">
        <v>13</v>
      </c>
      <c r="G1413" s="2" t="s">
        <v>72</v>
      </c>
      <c r="H1413" s="3">
        <v>3</v>
      </c>
      <c r="I1413" s="6">
        <v>2004</v>
      </c>
      <c r="J1413" s="2" t="s">
        <v>15</v>
      </c>
      <c r="K1413" s="2" t="s">
        <v>160</v>
      </c>
      <c r="L1413" s="7">
        <f t="shared" si="66"/>
        <v>2381.04</v>
      </c>
      <c r="M1413" s="2" t="str">
        <f t="shared" si="67"/>
        <v>September</v>
      </c>
      <c r="N1413" s="6">
        <f t="shared" si="68"/>
        <v>2004</v>
      </c>
    </row>
    <row r="1414" spans="1:14">
      <c r="A1414" s="2" t="s">
        <v>200</v>
      </c>
      <c r="B1414" s="3">
        <v>10301</v>
      </c>
      <c r="C1414" s="3">
        <v>27</v>
      </c>
      <c r="D1414" s="13">
        <v>72.02</v>
      </c>
      <c r="E1414" s="5">
        <v>37899</v>
      </c>
      <c r="F1414" s="2" t="s">
        <v>13</v>
      </c>
      <c r="G1414" s="2" t="s">
        <v>72</v>
      </c>
      <c r="H1414" s="3">
        <v>4</v>
      </c>
      <c r="I1414" s="6">
        <v>2003</v>
      </c>
      <c r="J1414" s="2" t="s">
        <v>15</v>
      </c>
      <c r="K1414" s="2" t="s">
        <v>201</v>
      </c>
      <c r="L1414" s="7">
        <f t="shared" si="66"/>
        <v>1944.54</v>
      </c>
      <c r="M1414" s="2" t="str">
        <f t="shared" si="67"/>
        <v>October</v>
      </c>
      <c r="N1414" s="6">
        <f t="shared" si="68"/>
        <v>2003</v>
      </c>
    </row>
    <row r="1415" spans="1:14">
      <c r="A1415" s="2" t="s">
        <v>69</v>
      </c>
      <c r="B1415" s="3">
        <v>10311</v>
      </c>
      <c r="C1415" s="3">
        <v>26</v>
      </c>
      <c r="D1415" s="13">
        <v>87.45</v>
      </c>
      <c r="E1415" s="5">
        <v>38276</v>
      </c>
      <c r="F1415" s="2" t="s">
        <v>13</v>
      </c>
      <c r="G1415" s="2" t="s">
        <v>72</v>
      </c>
      <c r="H1415" s="3">
        <v>4</v>
      </c>
      <c r="I1415" s="6">
        <v>2004</v>
      </c>
      <c r="J1415" s="2" t="s">
        <v>15</v>
      </c>
      <c r="K1415" s="2" t="s">
        <v>71</v>
      </c>
      <c r="L1415" s="7">
        <f t="shared" si="66"/>
        <v>2273.7</v>
      </c>
      <c r="M1415" s="2" t="str">
        <f t="shared" si="67"/>
        <v>October</v>
      </c>
      <c r="N1415" s="6">
        <f t="shared" si="68"/>
        <v>2004</v>
      </c>
    </row>
    <row r="1416" spans="1:14">
      <c r="A1416" s="2" t="s">
        <v>65</v>
      </c>
      <c r="B1416" s="3">
        <v>10321</v>
      </c>
      <c r="C1416" s="3">
        <v>30</v>
      </c>
      <c r="D1416" s="13">
        <v>70.55</v>
      </c>
      <c r="E1416" s="5">
        <v>38295</v>
      </c>
      <c r="F1416" s="2" t="s">
        <v>13</v>
      </c>
      <c r="G1416" s="2" t="s">
        <v>72</v>
      </c>
      <c r="H1416" s="3">
        <v>4</v>
      </c>
      <c r="I1416" s="6">
        <v>2004</v>
      </c>
      <c r="J1416" s="2" t="s">
        <v>15</v>
      </c>
      <c r="K1416" s="2" t="s">
        <v>66</v>
      </c>
      <c r="L1416" s="7">
        <f t="shared" si="66"/>
        <v>2116.5</v>
      </c>
      <c r="M1416" s="2" t="str">
        <f t="shared" si="67"/>
        <v>November</v>
      </c>
      <c r="N1416" s="6">
        <f t="shared" si="68"/>
        <v>2004</v>
      </c>
    </row>
    <row r="1417" spans="1:14">
      <c r="A1417" s="2" t="s">
        <v>183</v>
      </c>
      <c r="B1417" s="3">
        <v>10332</v>
      </c>
      <c r="C1417" s="3">
        <v>23</v>
      </c>
      <c r="D1417" s="13">
        <v>56.84</v>
      </c>
      <c r="E1417" s="5">
        <v>38308</v>
      </c>
      <c r="F1417" s="2" t="s">
        <v>13</v>
      </c>
      <c r="G1417" s="2" t="s">
        <v>72</v>
      </c>
      <c r="H1417" s="3">
        <v>4</v>
      </c>
      <c r="I1417" s="6">
        <v>2004</v>
      </c>
      <c r="J1417" s="2" t="s">
        <v>15</v>
      </c>
      <c r="K1417" s="2" t="s">
        <v>184</v>
      </c>
      <c r="L1417" s="7">
        <f t="shared" si="66"/>
        <v>1307.32</v>
      </c>
      <c r="M1417" s="2" t="str">
        <f t="shared" si="67"/>
        <v>November</v>
      </c>
      <c r="N1417" s="6">
        <f t="shared" si="68"/>
        <v>2004</v>
      </c>
    </row>
    <row r="1418" spans="1:14">
      <c r="A1418" s="2" t="s">
        <v>163</v>
      </c>
      <c r="B1418" s="3">
        <v>10344</v>
      </c>
      <c r="C1418" s="3">
        <v>29</v>
      </c>
      <c r="D1418" s="13">
        <v>59.53</v>
      </c>
      <c r="E1418" s="5">
        <v>38316</v>
      </c>
      <c r="F1418" s="2" t="s">
        <v>13</v>
      </c>
      <c r="G1418" s="2" t="s">
        <v>72</v>
      </c>
      <c r="H1418" s="3">
        <v>4</v>
      </c>
      <c r="I1418" s="6">
        <v>2004</v>
      </c>
      <c r="J1418" s="2" t="s">
        <v>15</v>
      </c>
      <c r="K1418" s="2" t="s">
        <v>164</v>
      </c>
      <c r="L1418" s="7">
        <f t="shared" si="66"/>
        <v>1726.37</v>
      </c>
      <c r="M1418" s="2" t="str">
        <f t="shared" si="67"/>
        <v>November</v>
      </c>
      <c r="N1418" s="6">
        <f t="shared" si="68"/>
        <v>2004</v>
      </c>
    </row>
    <row r="1419" spans="1:14">
      <c r="A1419" s="2" t="s">
        <v>25</v>
      </c>
      <c r="B1419" s="3">
        <v>10367</v>
      </c>
      <c r="C1419" s="3">
        <v>21</v>
      </c>
      <c r="D1419" s="13">
        <v>60.37</v>
      </c>
      <c r="E1419" s="5">
        <v>38364</v>
      </c>
      <c r="F1419" s="2" t="s">
        <v>155</v>
      </c>
      <c r="G1419" s="2" t="s">
        <v>72</v>
      </c>
      <c r="H1419" s="3">
        <v>1</v>
      </c>
      <c r="I1419" s="6">
        <v>2005</v>
      </c>
      <c r="J1419" s="2" t="s">
        <v>15</v>
      </c>
      <c r="K1419" s="2" t="s">
        <v>26</v>
      </c>
      <c r="L1419" s="7">
        <f t="shared" si="66"/>
        <v>1267.77</v>
      </c>
      <c r="M1419" s="2" t="str">
        <f t="shared" si="67"/>
        <v>January</v>
      </c>
      <c r="N1419" s="6">
        <f t="shared" si="68"/>
        <v>2005</v>
      </c>
    </row>
    <row r="1420" spans="1:14">
      <c r="A1420" s="2" t="s">
        <v>69</v>
      </c>
      <c r="B1420" s="3">
        <v>10380</v>
      </c>
      <c r="C1420" s="3">
        <v>34</v>
      </c>
      <c r="D1420" s="13">
        <v>100</v>
      </c>
      <c r="E1420" s="5">
        <v>38399</v>
      </c>
      <c r="F1420" s="2" t="s">
        <v>13</v>
      </c>
      <c r="G1420" s="2" t="s">
        <v>72</v>
      </c>
      <c r="H1420" s="3">
        <v>1</v>
      </c>
      <c r="I1420" s="6">
        <v>2005</v>
      </c>
      <c r="J1420" s="2" t="s">
        <v>22</v>
      </c>
      <c r="K1420" s="2" t="s">
        <v>71</v>
      </c>
      <c r="L1420" s="7">
        <f t="shared" si="66"/>
        <v>3400</v>
      </c>
      <c r="M1420" s="2" t="str">
        <f t="shared" si="67"/>
        <v>February</v>
      </c>
      <c r="N1420" s="6">
        <f t="shared" si="68"/>
        <v>2005</v>
      </c>
    </row>
    <row r="1421" spans="1:14">
      <c r="A1421" s="2" t="s">
        <v>149</v>
      </c>
      <c r="B1421" s="3">
        <v>10407</v>
      </c>
      <c r="C1421" s="3">
        <v>26</v>
      </c>
      <c r="D1421" s="13">
        <v>76.43</v>
      </c>
      <c r="E1421" s="5">
        <v>38464</v>
      </c>
      <c r="F1421" s="2" t="s">
        <v>151</v>
      </c>
      <c r="G1421" s="2" t="s">
        <v>72</v>
      </c>
      <c r="H1421" s="3">
        <v>2</v>
      </c>
      <c r="I1421" s="6">
        <v>2005</v>
      </c>
      <c r="J1421" s="2" t="s">
        <v>15</v>
      </c>
      <c r="K1421" s="2" t="s">
        <v>150</v>
      </c>
      <c r="L1421" s="7">
        <f t="shared" si="66"/>
        <v>1987.18</v>
      </c>
      <c r="M1421" s="2" t="str">
        <f t="shared" si="67"/>
        <v>April</v>
      </c>
      <c r="N1421" s="6">
        <f t="shared" si="68"/>
        <v>2005</v>
      </c>
    </row>
    <row r="1422" spans="1:14">
      <c r="A1422" s="2" t="s">
        <v>63</v>
      </c>
      <c r="B1422" s="3">
        <v>10420</v>
      </c>
      <c r="C1422" s="3">
        <v>60</v>
      </c>
      <c r="D1422" s="13">
        <v>64.67</v>
      </c>
      <c r="E1422" s="5">
        <v>38501</v>
      </c>
      <c r="F1422" s="2" t="s">
        <v>113</v>
      </c>
      <c r="G1422" s="2" t="s">
        <v>72</v>
      </c>
      <c r="H1422" s="3">
        <v>2</v>
      </c>
      <c r="I1422" s="6">
        <v>2005</v>
      </c>
      <c r="J1422" s="2" t="s">
        <v>22</v>
      </c>
      <c r="K1422" s="2" t="s">
        <v>64</v>
      </c>
      <c r="L1422" s="7">
        <f t="shared" si="66"/>
        <v>3880.2</v>
      </c>
      <c r="M1422" s="2" t="str">
        <f t="shared" si="67"/>
        <v>May</v>
      </c>
      <c r="N1422" s="6">
        <f t="shared" si="68"/>
        <v>2005</v>
      </c>
    </row>
    <row r="1423" spans="1:14">
      <c r="A1423" s="2" t="s">
        <v>69</v>
      </c>
      <c r="B1423" s="3">
        <v>10104</v>
      </c>
      <c r="C1423" s="3">
        <v>35</v>
      </c>
      <c r="D1423" s="13">
        <v>55.49</v>
      </c>
      <c r="E1423" s="5">
        <v>37652</v>
      </c>
      <c r="F1423" s="2" t="s">
        <v>13</v>
      </c>
      <c r="G1423" s="2" t="s">
        <v>72</v>
      </c>
      <c r="H1423" s="3">
        <v>1</v>
      </c>
      <c r="I1423" s="6">
        <v>2003</v>
      </c>
      <c r="J1423" s="2" t="s">
        <v>15</v>
      </c>
      <c r="K1423" s="2" t="s">
        <v>71</v>
      </c>
      <c r="L1423" s="7">
        <f t="shared" si="66"/>
        <v>1942.15</v>
      </c>
      <c r="M1423" s="2" t="str">
        <f t="shared" si="67"/>
        <v>January</v>
      </c>
      <c r="N1423" s="6">
        <f t="shared" si="68"/>
        <v>2003</v>
      </c>
    </row>
    <row r="1424" spans="1:14">
      <c r="A1424" s="2" t="s">
        <v>79</v>
      </c>
      <c r="B1424" s="3">
        <v>10115</v>
      </c>
      <c r="C1424" s="3">
        <v>47</v>
      </c>
      <c r="D1424" s="13">
        <v>69.36</v>
      </c>
      <c r="E1424" s="5">
        <v>37715</v>
      </c>
      <c r="F1424" s="2" t="s">
        <v>13</v>
      </c>
      <c r="G1424" s="2" t="s">
        <v>72</v>
      </c>
      <c r="H1424" s="3">
        <v>2</v>
      </c>
      <c r="I1424" s="6">
        <v>2003</v>
      </c>
      <c r="J1424" s="2" t="s">
        <v>22</v>
      </c>
      <c r="K1424" s="2" t="s">
        <v>80</v>
      </c>
      <c r="L1424" s="7">
        <f t="shared" si="66"/>
        <v>3259.92</v>
      </c>
      <c r="M1424" s="2" t="str">
        <f t="shared" si="67"/>
        <v>April</v>
      </c>
      <c r="N1424" s="6">
        <f t="shared" si="68"/>
        <v>2003</v>
      </c>
    </row>
    <row r="1425" spans="1:14">
      <c r="A1425" s="2" t="s">
        <v>177</v>
      </c>
      <c r="B1425" s="3">
        <v>10127</v>
      </c>
      <c r="C1425" s="3">
        <v>20</v>
      </c>
      <c r="D1425" s="13">
        <v>60.69</v>
      </c>
      <c r="E1425" s="5">
        <v>37775</v>
      </c>
      <c r="F1425" s="2" t="s">
        <v>13</v>
      </c>
      <c r="G1425" s="2" t="s">
        <v>72</v>
      </c>
      <c r="H1425" s="3">
        <v>2</v>
      </c>
      <c r="I1425" s="6">
        <v>2003</v>
      </c>
      <c r="J1425" s="2" t="s">
        <v>15</v>
      </c>
      <c r="K1425" s="2" t="s">
        <v>178</v>
      </c>
      <c r="L1425" s="7">
        <f t="shared" si="66"/>
        <v>1213.8</v>
      </c>
      <c r="M1425" s="2" t="str">
        <f t="shared" si="67"/>
        <v>June</v>
      </c>
      <c r="N1425" s="6">
        <f t="shared" si="68"/>
        <v>2003</v>
      </c>
    </row>
    <row r="1426" spans="1:14">
      <c r="A1426" s="2" t="s">
        <v>175</v>
      </c>
      <c r="B1426" s="3">
        <v>10141</v>
      </c>
      <c r="C1426" s="3">
        <v>20</v>
      </c>
      <c r="D1426" s="13">
        <v>54.33</v>
      </c>
      <c r="E1426" s="5">
        <v>37834</v>
      </c>
      <c r="F1426" s="2" t="s">
        <v>13</v>
      </c>
      <c r="G1426" s="2" t="s">
        <v>72</v>
      </c>
      <c r="H1426" s="3">
        <v>3</v>
      </c>
      <c r="I1426" s="6">
        <v>2003</v>
      </c>
      <c r="J1426" s="2" t="s">
        <v>15</v>
      </c>
      <c r="K1426" s="2" t="s">
        <v>176</v>
      </c>
      <c r="L1426" s="7">
        <f t="shared" si="66"/>
        <v>1086.6</v>
      </c>
      <c r="M1426" s="2" t="str">
        <f t="shared" si="67"/>
        <v>August</v>
      </c>
      <c r="N1426" s="6">
        <f t="shared" si="68"/>
        <v>2003</v>
      </c>
    </row>
    <row r="1427" spans="1:14">
      <c r="A1427" s="2" t="s">
        <v>81</v>
      </c>
      <c r="B1427" s="3">
        <v>10152</v>
      </c>
      <c r="C1427" s="3">
        <v>25</v>
      </c>
      <c r="D1427" s="13">
        <v>65.31</v>
      </c>
      <c r="E1427" s="5">
        <v>37889</v>
      </c>
      <c r="F1427" s="2" t="s">
        <v>13</v>
      </c>
      <c r="G1427" s="2" t="s">
        <v>72</v>
      </c>
      <c r="H1427" s="3">
        <v>3</v>
      </c>
      <c r="I1427" s="6">
        <v>2003</v>
      </c>
      <c r="J1427" s="2" t="s">
        <v>15</v>
      </c>
      <c r="K1427" s="2" t="s">
        <v>82</v>
      </c>
      <c r="L1427" s="7">
        <f t="shared" si="66"/>
        <v>1632.75</v>
      </c>
      <c r="M1427" s="2" t="str">
        <f t="shared" si="67"/>
        <v>September</v>
      </c>
      <c r="N1427" s="6">
        <f t="shared" si="68"/>
        <v>2003</v>
      </c>
    </row>
    <row r="1428" spans="1:14">
      <c r="A1428" s="2" t="s">
        <v>77</v>
      </c>
      <c r="B1428" s="3">
        <v>10165</v>
      </c>
      <c r="C1428" s="3">
        <v>25</v>
      </c>
      <c r="D1428" s="13">
        <v>69.36</v>
      </c>
      <c r="E1428" s="5">
        <v>37916</v>
      </c>
      <c r="F1428" s="2" t="s">
        <v>13</v>
      </c>
      <c r="G1428" s="2" t="s">
        <v>72</v>
      </c>
      <c r="H1428" s="3">
        <v>4</v>
      </c>
      <c r="I1428" s="6">
        <v>2003</v>
      </c>
      <c r="J1428" s="2" t="s">
        <v>15</v>
      </c>
      <c r="K1428" s="2" t="s">
        <v>78</v>
      </c>
      <c r="L1428" s="7">
        <f t="shared" si="66"/>
        <v>1734</v>
      </c>
      <c r="M1428" s="2" t="str">
        <f t="shared" si="67"/>
        <v>October</v>
      </c>
      <c r="N1428" s="6">
        <f t="shared" si="68"/>
        <v>2003</v>
      </c>
    </row>
    <row r="1429" spans="1:14">
      <c r="A1429" s="2" t="s">
        <v>169</v>
      </c>
      <c r="B1429" s="3">
        <v>10176</v>
      </c>
      <c r="C1429" s="3">
        <v>27</v>
      </c>
      <c r="D1429" s="13">
        <v>68.78</v>
      </c>
      <c r="E1429" s="5">
        <v>37931</v>
      </c>
      <c r="F1429" s="2" t="s">
        <v>13</v>
      </c>
      <c r="G1429" s="2" t="s">
        <v>72</v>
      </c>
      <c r="H1429" s="3">
        <v>4</v>
      </c>
      <c r="I1429" s="6">
        <v>2003</v>
      </c>
      <c r="J1429" s="2" t="s">
        <v>15</v>
      </c>
      <c r="K1429" s="2" t="s">
        <v>170</v>
      </c>
      <c r="L1429" s="7">
        <f t="shared" si="66"/>
        <v>1857.06</v>
      </c>
      <c r="M1429" s="2" t="str">
        <f t="shared" si="67"/>
        <v>November</v>
      </c>
      <c r="N1429" s="6">
        <f t="shared" si="68"/>
        <v>2003</v>
      </c>
    </row>
    <row r="1430" spans="1:14">
      <c r="A1430" s="2" t="s">
        <v>192</v>
      </c>
      <c r="B1430" s="3">
        <v>10184</v>
      </c>
      <c r="C1430" s="3">
        <v>31</v>
      </c>
      <c r="D1430" s="13">
        <v>60.11</v>
      </c>
      <c r="E1430" s="5">
        <v>37939</v>
      </c>
      <c r="F1430" s="2" t="s">
        <v>13</v>
      </c>
      <c r="G1430" s="2" t="s">
        <v>72</v>
      </c>
      <c r="H1430" s="3">
        <v>4</v>
      </c>
      <c r="I1430" s="6">
        <v>2003</v>
      </c>
      <c r="J1430" s="2" t="s">
        <v>15</v>
      </c>
      <c r="K1430" s="2" t="s">
        <v>193</v>
      </c>
      <c r="L1430" s="7">
        <f t="shared" si="66"/>
        <v>1863.41</v>
      </c>
      <c r="M1430" s="2" t="str">
        <f t="shared" si="67"/>
        <v>November</v>
      </c>
      <c r="N1430" s="6">
        <f t="shared" si="68"/>
        <v>2003</v>
      </c>
    </row>
    <row r="1431" spans="1:14">
      <c r="A1431" s="2" t="s">
        <v>120</v>
      </c>
      <c r="B1431" s="3">
        <v>10195</v>
      </c>
      <c r="C1431" s="3">
        <v>44</v>
      </c>
      <c r="D1431" s="13">
        <v>66.47</v>
      </c>
      <c r="E1431" s="5">
        <v>37950</v>
      </c>
      <c r="F1431" s="2" t="s">
        <v>13</v>
      </c>
      <c r="G1431" s="2" t="s">
        <v>72</v>
      </c>
      <c r="H1431" s="3">
        <v>4</v>
      </c>
      <c r="I1431" s="6">
        <v>2003</v>
      </c>
      <c r="J1431" s="2" t="s">
        <v>15</v>
      </c>
      <c r="K1431" s="2" t="s">
        <v>121</v>
      </c>
      <c r="L1431" s="7">
        <f t="shared" si="66"/>
        <v>2924.68</v>
      </c>
      <c r="M1431" s="2" t="str">
        <f t="shared" si="67"/>
        <v>November</v>
      </c>
      <c r="N1431" s="6">
        <f t="shared" si="68"/>
        <v>2003</v>
      </c>
    </row>
    <row r="1432" spans="1:14">
      <c r="A1432" s="2" t="s">
        <v>157</v>
      </c>
      <c r="B1432" s="3">
        <v>10207</v>
      </c>
      <c r="C1432" s="3">
        <v>49</v>
      </c>
      <c r="D1432" s="13">
        <v>46.82</v>
      </c>
      <c r="E1432" s="5">
        <v>37964</v>
      </c>
      <c r="F1432" s="2" t="s">
        <v>13</v>
      </c>
      <c r="G1432" s="2" t="s">
        <v>72</v>
      </c>
      <c r="H1432" s="3">
        <v>4</v>
      </c>
      <c r="I1432" s="6">
        <v>2003</v>
      </c>
      <c r="J1432" s="2" t="s">
        <v>15</v>
      </c>
      <c r="K1432" s="2" t="s">
        <v>158</v>
      </c>
      <c r="L1432" s="7">
        <f t="shared" si="66"/>
        <v>2294.18</v>
      </c>
      <c r="M1432" s="2" t="str">
        <f t="shared" si="67"/>
        <v>December</v>
      </c>
      <c r="N1432" s="6">
        <f t="shared" si="68"/>
        <v>2003</v>
      </c>
    </row>
    <row r="1433" spans="1:14">
      <c r="A1433" s="2" t="s">
        <v>179</v>
      </c>
      <c r="B1433" s="3">
        <v>10220</v>
      </c>
      <c r="C1433" s="3">
        <v>26</v>
      </c>
      <c r="D1433" s="13">
        <v>56.07</v>
      </c>
      <c r="E1433" s="5">
        <v>38029</v>
      </c>
      <c r="F1433" s="2" t="s">
        <v>13</v>
      </c>
      <c r="G1433" s="2" t="s">
        <v>72</v>
      </c>
      <c r="H1433" s="3">
        <v>1</v>
      </c>
      <c r="I1433" s="6">
        <v>2004</v>
      </c>
      <c r="J1433" s="2" t="s">
        <v>15</v>
      </c>
      <c r="K1433" s="2" t="s">
        <v>180</v>
      </c>
      <c r="L1433" s="7">
        <f t="shared" si="66"/>
        <v>1457.82</v>
      </c>
      <c r="M1433" s="2" t="str">
        <f t="shared" si="67"/>
        <v>February</v>
      </c>
      <c r="N1433" s="6">
        <f t="shared" si="68"/>
        <v>2004</v>
      </c>
    </row>
    <row r="1434" spans="1:14">
      <c r="A1434" s="2" t="s">
        <v>173</v>
      </c>
      <c r="B1434" s="3">
        <v>10230</v>
      </c>
      <c r="C1434" s="3">
        <v>36</v>
      </c>
      <c r="D1434" s="13">
        <v>54.33</v>
      </c>
      <c r="E1434" s="5">
        <v>38061</v>
      </c>
      <c r="F1434" s="2" t="s">
        <v>13</v>
      </c>
      <c r="G1434" s="2" t="s">
        <v>72</v>
      </c>
      <c r="H1434" s="3">
        <v>1</v>
      </c>
      <c r="I1434" s="6">
        <v>2004</v>
      </c>
      <c r="J1434" s="2" t="s">
        <v>15</v>
      </c>
      <c r="K1434" s="2" t="s">
        <v>174</v>
      </c>
      <c r="L1434" s="7">
        <f t="shared" si="66"/>
        <v>1955.88</v>
      </c>
      <c r="M1434" s="2" t="str">
        <f t="shared" si="67"/>
        <v>March</v>
      </c>
      <c r="N1434" s="6">
        <f t="shared" si="68"/>
        <v>2004</v>
      </c>
    </row>
    <row r="1435" spans="1:14">
      <c r="A1435" s="2" t="s">
        <v>69</v>
      </c>
      <c r="B1435" s="3">
        <v>10246</v>
      </c>
      <c r="C1435" s="3">
        <v>44</v>
      </c>
      <c r="D1435" s="13">
        <v>52.6</v>
      </c>
      <c r="E1435" s="5">
        <v>38112</v>
      </c>
      <c r="F1435" s="2" t="s">
        <v>13</v>
      </c>
      <c r="G1435" s="2" t="s">
        <v>72</v>
      </c>
      <c r="H1435" s="3">
        <v>2</v>
      </c>
      <c r="I1435" s="6">
        <v>2004</v>
      </c>
      <c r="J1435" s="2" t="s">
        <v>15</v>
      </c>
      <c r="K1435" s="2" t="s">
        <v>71</v>
      </c>
      <c r="L1435" s="7">
        <f t="shared" si="66"/>
        <v>2314.4</v>
      </c>
      <c r="M1435" s="2" t="str">
        <f t="shared" si="67"/>
        <v>May</v>
      </c>
      <c r="N1435" s="6">
        <f t="shared" si="68"/>
        <v>2004</v>
      </c>
    </row>
    <row r="1436" spans="1:14">
      <c r="A1436" s="2" t="s">
        <v>159</v>
      </c>
      <c r="B1436" s="3">
        <v>10259</v>
      </c>
      <c r="C1436" s="3">
        <v>28</v>
      </c>
      <c r="D1436" s="13">
        <v>46.82</v>
      </c>
      <c r="E1436" s="5">
        <v>38153</v>
      </c>
      <c r="F1436" s="2" t="s">
        <v>13</v>
      </c>
      <c r="G1436" s="2" t="s">
        <v>72</v>
      </c>
      <c r="H1436" s="3">
        <v>2</v>
      </c>
      <c r="I1436" s="6">
        <v>2004</v>
      </c>
      <c r="J1436" s="2" t="s">
        <v>15</v>
      </c>
      <c r="K1436" s="2" t="s">
        <v>160</v>
      </c>
      <c r="L1436" s="7">
        <f t="shared" si="66"/>
        <v>1310.96</v>
      </c>
      <c r="M1436" s="2" t="str">
        <f t="shared" si="67"/>
        <v>June</v>
      </c>
      <c r="N1436" s="6">
        <f t="shared" si="68"/>
        <v>2004</v>
      </c>
    </row>
    <row r="1437" spans="1:14">
      <c r="A1437" s="2" t="s">
        <v>103</v>
      </c>
      <c r="B1437" s="3">
        <v>10271</v>
      </c>
      <c r="C1437" s="3">
        <v>45</v>
      </c>
      <c r="D1437" s="13">
        <v>64.74</v>
      </c>
      <c r="E1437" s="5">
        <v>38188</v>
      </c>
      <c r="F1437" s="2" t="s">
        <v>13</v>
      </c>
      <c r="G1437" s="2" t="s">
        <v>72</v>
      </c>
      <c r="H1437" s="3">
        <v>3</v>
      </c>
      <c r="I1437" s="6">
        <v>2004</v>
      </c>
      <c r="J1437" s="2" t="s">
        <v>15</v>
      </c>
      <c r="K1437" s="2" t="s">
        <v>104</v>
      </c>
      <c r="L1437" s="7">
        <f t="shared" si="66"/>
        <v>2913.3</v>
      </c>
      <c r="M1437" s="2" t="str">
        <f t="shared" si="67"/>
        <v>July</v>
      </c>
      <c r="N1437" s="6">
        <f t="shared" si="68"/>
        <v>2004</v>
      </c>
    </row>
    <row r="1438" spans="1:14">
      <c r="A1438" s="2" t="s">
        <v>103</v>
      </c>
      <c r="B1438" s="3">
        <v>10282</v>
      </c>
      <c r="C1438" s="3">
        <v>29</v>
      </c>
      <c r="D1438" s="13">
        <v>46.82</v>
      </c>
      <c r="E1438" s="5">
        <v>38219</v>
      </c>
      <c r="F1438" s="2" t="s">
        <v>13</v>
      </c>
      <c r="G1438" s="2" t="s">
        <v>72</v>
      </c>
      <c r="H1438" s="3">
        <v>3</v>
      </c>
      <c r="I1438" s="6">
        <v>2004</v>
      </c>
      <c r="J1438" s="2" t="s">
        <v>15</v>
      </c>
      <c r="K1438" s="2" t="s">
        <v>104</v>
      </c>
      <c r="L1438" s="7">
        <f t="shared" si="66"/>
        <v>1357.78</v>
      </c>
      <c r="M1438" s="2" t="str">
        <f t="shared" si="67"/>
        <v>August</v>
      </c>
      <c r="N1438" s="6">
        <f t="shared" si="68"/>
        <v>2004</v>
      </c>
    </row>
    <row r="1439" spans="1:14">
      <c r="A1439" s="2" t="s">
        <v>12</v>
      </c>
      <c r="B1439" s="3">
        <v>10292</v>
      </c>
      <c r="C1439" s="3">
        <v>40</v>
      </c>
      <c r="D1439" s="13">
        <v>53.75</v>
      </c>
      <c r="E1439" s="5">
        <v>38238</v>
      </c>
      <c r="F1439" s="2" t="s">
        <v>13</v>
      </c>
      <c r="G1439" s="2" t="s">
        <v>72</v>
      </c>
      <c r="H1439" s="3">
        <v>3</v>
      </c>
      <c r="I1439" s="6">
        <v>2004</v>
      </c>
      <c r="J1439" s="2" t="s">
        <v>15</v>
      </c>
      <c r="K1439" s="2" t="s">
        <v>16</v>
      </c>
      <c r="L1439" s="7">
        <f t="shared" si="66"/>
        <v>2150</v>
      </c>
      <c r="M1439" s="2" t="str">
        <f t="shared" si="67"/>
        <v>September</v>
      </c>
      <c r="N1439" s="6">
        <f t="shared" si="68"/>
        <v>2004</v>
      </c>
    </row>
    <row r="1440" spans="1:14">
      <c r="A1440" s="2" t="s">
        <v>52</v>
      </c>
      <c r="B1440" s="3">
        <v>10305</v>
      </c>
      <c r="C1440" s="3">
        <v>45</v>
      </c>
      <c r="D1440" s="13">
        <v>61.85</v>
      </c>
      <c r="E1440" s="5">
        <v>38273</v>
      </c>
      <c r="F1440" s="2" t="s">
        <v>13</v>
      </c>
      <c r="G1440" s="2" t="s">
        <v>72</v>
      </c>
      <c r="H1440" s="3">
        <v>4</v>
      </c>
      <c r="I1440" s="6">
        <v>2004</v>
      </c>
      <c r="J1440" s="2" t="s">
        <v>15</v>
      </c>
      <c r="K1440" s="2" t="s">
        <v>53</v>
      </c>
      <c r="L1440" s="7">
        <f t="shared" si="66"/>
        <v>2783.25</v>
      </c>
      <c r="M1440" s="2" t="str">
        <f t="shared" si="67"/>
        <v>October</v>
      </c>
      <c r="N1440" s="6">
        <f t="shared" si="68"/>
        <v>2004</v>
      </c>
    </row>
    <row r="1441" spans="1:14">
      <c r="A1441" s="2" t="s">
        <v>185</v>
      </c>
      <c r="B1441" s="3">
        <v>10314</v>
      </c>
      <c r="C1441" s="3">
        <v>44</v>
      </c>
      <c r="D1441" s="13">
        <v>53.18</v>
      </c>
      <c r="E1441" s="5">
        <v>38282</v>
      </c>
      <c r="F1441" s="2" t="s">
        <v>13</v>
      </c>
      <c r="G1441" s="2" t="s">
        <v>72</v>
      </c>
      <c r="H1441" s="3">
        <v>4</v>
      </c>
      <c r="I1441" s="6">
        <v>2004</v>
      </c>
      <c r="J1441" s="2" t="s">
        <v>15</v>
      </c>
      <c r="K1441" s="2" t="s">
        <v>186</v>
      </c>
      <c r="L1441" s="7">
        <f t="shared" si="66"/>
        <v>2339.92</v>
      </c>
      <c r="M1441" s="2" t="str">
        <f t="shared" si="67"/>
        <v>October</v>
      </c>
      <c r="N1441" s="6">
        <f t="shared" si="68"/>
        <v>2004</v>
      </c>
    </row>
    <row r="1442" spans="1:14">
      <c r="A1442" s="2" t="s">
        <v>44</v>
      </c>
      <c r="B1442" s="3">
        <v>10324</v>
      </c>
      <c r="C1442" s="3">
        <v>25</v>
      </c>
      <c r="D1442" s="13">
        <v>69.16</v>
      </c>
      <c r="E1442" s="5">
        <v>38296</v>
      </c>
      <c r="F1442" s="2" t="s">
        <v>13</v>
      </c>
      <c r="G1442" s="2" t="s">
        <v>72</v>
      </c>
      <c r="H1442" s="3">
        <v>4</v>
      </c>
      <c r="I1442" s="6">
        <v>2004</v>
      </c>
      <c r="J1442" s="2" t="s">
        <v>15</v>
      </c>
      <c r="K1442" s="2" t="s">
        <v>45</v>
      </c>
      <c r="L1442" s="7">
        <f t="shared" si="66"/>
        <v>1729</v>
      </c>
      <c r="M1442" s="2" t="str">
        <f t="shared" si="67"/>
        <v>November</v>
      </c>
      <c r="N1442" s="6">
        <f t="shared" si="68"/>
        <v>2004</v>
      </c>
    </row>
    <row r="1443" spans="1:14">
      <c r="A1443" s="2" t="s">
        <v>152</v>
      </c>
      <c r="B1443" s="3">
        <v>10336</v>
      </c>
      <c r="C1443" s="3">
        <v>45</v>
      </c>
      <c r="D1443" s="13">
        <v>100</v>
      </c>
      <c r="E1443" s="5">
        <v>38311</v>
      </c>
      <c r="F1443" s="2" t="s">
        <v>13</v>
      </c>
      <c r="G1443" s="2" t="s">
        <v>72</v>
      </c>
      <c r="H1443" s="3">
        <v>4</v>
      </c>
      <c r="I1443" s="6">
        <v>2004</v>
      </c>
      <c r="J1443" s="2" t="s">
        <v>22</v>
      </c>
      <c r="K1443" s="2" t="s">
        <v>153</v>
      </c>
      <c r="L1443" s="7">
        <f t="shared" si="66"/>
        <v>4500</v>
      </c>
      <c r="M1443" s="2" t="str">
        <f t="shared" si="67"/>
        <v>November</v>
      </c>
      <c r="N1443" s="6">
        <f t="shared" si="68"/>
        <v>2004</v>
      </c>
    </row>
    <row r="1444" spans="1:14">
      <c r="A1444" s="2" t="s">
        <v>177</v>
      </c>
      <c r="B1444" s="3">
        <v>10349</v>
      </c>
      <c r="C1444" s="3">
        <v>48</v>
      </c>
      <c r="D1444" s="13">
        <v>47.4</v>
      </c>
      <c r="E1444" s="5">
        <v>38322</v>
      </c>
      <c r="F1444" s="2" t="s">
        <v>13</v>
      </c>
      <c r="G1444" s="2" t="s">
        <v>72</v>
      </c>
      <c r="H1444" s="3">
        <v>4</v>
      </c>
      <c r="I1444" s="6">
        <v>2004</v>
      </c>
      <c r="J1444" s="2" t="s">
        <v>15</v>
      </c>
      <c r="K1444" s="2" t="s">
        <v>178</v>
      </c>
      <c r="L1444" s="7">
        <f t="shared" si="66"/>
        <v>2275.2</v>
      </c>
      <c r="M1444" s="2" t="str">
        <f t="shared" si="67"/>
        <v>December</v>
      </c>
      <c r="N1444" s="6">
        <f t="shared" si="68"/>
        <v>2004</v>
      </c>
    </row>
    <row r="1445" spans="1:14">
      <c r="A1445" s="2" t="s">
        <v>69</v>
      </c>
      <c r="B1445" s="3">
        <v>10358</v>
      </c>
      <c r="C1445" s="3">
        <v>44</v>
      </c>
      <c r="D1445" s="13">
        <v>60.76</v>
      </c>
      <c r="E1445" s="5">
        <v>38331</v>
      </c>
      <c r="F1445" s="2" t="s">
        <v>13</v>
      </c>
      <c r="G1445" s="2" t="s">
        <v>72</v>
      </c>
      <c r="H1445" s="3">
        <v>4</v>
      </c>
      <c r="I1445" s="6">
        <v>2004</v>
      </c>
      <c r="J1445" s="2" t="s">
        <v>15</v>
      </c>
      <c r="K1445" s="2" t="s">
        <v>71</v>
      </c>
      <c r="L1445" s="7">
        <f t="shared" si="66"/>
        <v>2673.44</v>
      </c>
      <c r="M1445" s="2" t="str">
        <f t="shared" si="67"/>
        <v>December</v>
      </c>
      <c r="N1445" s="6">
        <f t="shared" si="68"/>
        <v>2004</v>
      </c>
    </row>
    <row r="1446" spans="1:14">
      <c r="A1446" s="2" t="s">
        <v>103</v>
      </c>
      <c r="B1446" s="3">
        <v>10371</v>
      </c>
      <c r="C1446" s="3">
        <v>25</v>
      </c>
      <c r="D1446" s="13">
        <v>97.27</v>
      </c>
      <c r="E1446" s="5">
        <v>38375</v>
      </c>
      <c r="F1446" s="2" t="s">
        <v>13</v>
      </c>
      <c r="G1446" s="2" t="s">
        <v>72</v>
      </c>
      <c r="H1446" s="3">
        <v>1</v>
      </c>
      <c r="I1446" s="6">
        <v>2005</v>
      </c>
      <c r="J1446" s="2" t="s">
        <v>15</v>
      </c>
      <c r="K1446" s="2" t="s">
        <v>104</v>
      </c>
      <c r="L1446" s="7">
        <f t="shared" si="66"/>
        <v>2431.75</v>
      </c>
      <c r="M1446" s="2" t="str">
        <f t="shared" si="67"/>
        <v>January</v>
      </c>
      <c r="N1446" s="6">
        <f t="shared" si="68"/>
        <v>2005</v>
      </c>
    </row>
    <row r="1447" spans="1:14">
      <c r="A1447" s="2" t="s">
        <v>69</v>
      </c>
      <c r="B1447" s="3">
        <v>10383</v>
      </c>
      <c r="C1447" s="3">
        <v>22</v>
      </c>
      <c r="D1447" s="13">
        <v>91.76</v>
      </c>
      <c r="E1447" s="5">
        <v>38405</v>
      </c>
      <c r="F1447" s="2" t="s">
        <v>13</v>
      </c>
      <c r="G1447" s="2" t="s">
        <v>72</v>
      </c>
      <c r="H1447" s="3">
        <v>1</v>
      </c>
      <c r="I1447" s="6">
        <v>2005</v>
      </c>
      <c r="J1447" s="2" t="s">
        <v>15</v>
      </c>
      <c r="K1447" s="2" t="s">
        <v>71</v>
      </c>
      <c r="L1447" s="7">
        <f t="shared" si="66"/>
        <v>2018.72</v>
      </c>
      <c r="M1447" s="2" t="str">
        <f t="shared" si="67"/>
        <v>February</v>
      </c>
      <c r="N1447" s="6">
        <f t="shared" si="68"/>
        <v>2005</v>
      </c>
    </row>
    <row r="1448" spans="1:14">
      <c r="A1448" s="2" t="s">
        <v>69</v>
      </c>
      <c r="B1448" s="3">
        <v>10394</v>
      </c>
      <c r="C1448" s="3">
        <v>31</v>
      </c>
      <c r="D1448" s="13">
        <v>50.29</v>
      </c>
      <c r="E1448" s="5">
        <v>38426</v>
      </c>
      <c r="F1448" s="2" t="s">
        <v>13</v>
      </c>
      <c r="G1448" s="2" t="s">
        <v>72</v>
      </c>
      <c r="H1448" s="3">
        <v>1</v>
      </c>
      <c r="I1448" s="6">
        <v>2005</v>
      </c>
      <c r="J1448" s="2" t="s">
        <v>15</v>
      </c>
      <c r="K1448" s="2" t="s">
        <v>71</v>
      </c>
      <c r="L1448" s="7">
        <f t="shared" si="66"/>
        <v>1558.99</v>
      </c>
      <c r="M1448" s="2" t="str">
        <f t="shared" si="67"/>
        <v>March</v>
      </c>
      <c r="N1448" s="6">
        <f t="shared" si="68"/>
        <v>2005</v>
      </c>
    </row>
    <row r="1449" spans="1:14">
      <c r="A1449" s="2" t="s">
        <v>69</v>
      </c>
      <c r="B1449" s="3">
        <v>10412</v>
      </c>
      <c r="C1449" s="3">
        <v>21</v>
      </c>
      <c r="D1449" s="13">
        <v>52.6</v>
      </c>
      <c r="E1449" s="5">
        <v>38475</v>
      </c>
      <c r="F1449" s="2" t="s">
        <v>13</v>
      </c>
      <c r="G1449" s="2" t="s">
        <v>72</v>
      </c>
      <c r="H1449" s="3">
        <v>2</v>
      </c>
      <c r="I1449" s="6">
        <v>2005</v>
      </c>
      <c r="J1449" s="2" t="s">
        <v>15</v>
      </c>
      <c r="K1449" s="2" t="s">
        <v>71</v>
      </c>
      <c r="L1449" s="7">
        <f t="shared" si="66"/>
        <v>1104.6</v>
      </c>
      <c r="M1449" s="2" t="str">
        <f t="shared" si="67"/>
        <v>May</v>
      </c>
      <c r="N1449" s="6">
        <f t="shared" si="68"/>
        <v>2005</v>
      </c>
    </row>
    <row r="1450" spans="1:14">
      <c r="A1450" s="2" t="s">
        <v>50</v>
      </c>
      <c r="B1450" s="3">
        <v>10425</v>
      </c>
      <c r="C1450" s="3">
        <v>55</v>
      </c>
      <c r="D1450" s="13">
        <v>46.82</v>
      </c>
      <c r="E1450" s="5">
        <v>38503</v>
      </c>
      <c r="F1450" s="2" t="s">
        <v>113</v>
      </c>
      <c r="G1450" s="2" t="s">
        <v>72</v>
      </c>
      <c r="H1450" s="3">
        <v>2</v>
      </c>
      <c r="I1450" s="6">
        <v>2005</v>
      </c>
      <c r="J1450" s="2" t="s">
        <v>15</v>
      </c>
      <c r="K1450" s="2" t="s">
        <v>51</v>
      </c>
      <c r="L1450" s="7">
        <f t="shared" si="66"/>
        <v>2575.1</v>
      </c>
      <c r="M1450" s="2" t="str">
        <f t="shared" si="67"/>
        <v>May</v>
      </c>
      <c r="N1450" s="6">
        <f t="shared" si="68"/>
        <v>2005</v>
      </c>
    </row>
    <row r="1451" spans="1:14">
      <c r="A1451" s="2" t="s">
        <v>12</v>
      </c>
      <c r="B1451" s="3">
        <v>10107</v>
      </c>
      <c r="C1451" s="3">
        <v>25</v>
      </c>
      <c r="D1451" s="13">
        <v>100</v>
      </c>
      <c r="E1451" s="5">
        <v>37676</v>
      </c>
      <c r="F1451" s="2" t="s">
        <v>13</v>
      </c>
      <c r="G1451" s="2" t="s">
        <v>14</v>
      </c>
      <c r="H1451" s="3">
        <v>1</v>
      </c>
      <c r="I1451" s="6">
        <v>2003</v>
      </c>
      <c r="J1451" s="2" t="s">
        <v>15</v>
      </c>
      <c r="K1451" s="2" t="s">
        <v>16</v>
      </c>
      <c r="L1451" s="7">
        <f t="shared" si="66"/>
        <v>2500</v>
      </c>
      <c r="M1451" s="2" t="str">
        <f t="shared" si="67"/>
        <v>February</v>
      </c>
      <c r="N1451" s="6">
        <f t="shared" si="68"/>
        <v>2003</v>
      </c>
    </row>
    <row r="1452" spans="1:14">
      <c r="A1452" s="2" t="s">
        <v>42</v>
      </c>
      <c r="B1452" s="3">
        <v>10120</v>
      </c>
      <c r="C1452" s="3">
        <v>35</v>
      </c>
      <c r="D1452" s="13">
        <v>98.05</v>
      </c>
      <c r="E1452" s="5">
        <v>37740</v>
      </c>
      <c r="F1452" s="2" t="s">
        <v>13</v>
      </c>
      <c r="G1452" s="2" t="s">
        <v>14</v>
      </c>
      <c r="H1452" s="3">
        <v>2</v>
      </c>
      <c r="I1452" s="6">
        <v>2003</v>
      </c>
      <c r="J1452" s="2" t="s">
        <v>22</v>
      </c>
      <c r="K1452" s="2" t="s">
        <v>43</v>
      </c>
      <c r="L1452" s="7">
        <f t="shared" si="66"/>
        <v>3431.75</v>
      </c>
      <c r="M1452" s="2" t="str">
        <f t="shared" si="67"/>
        <v>April</v>
      </c>
      <c r="N1452" s="6">
        <f t="shared" si="68"/>
        <v>2003</v>
      </c>
    </row>
    <row r="1453" spans="1:14">
      <c r="A1453" s="2" t="s">
        <v>21</v>
      </c>
      <c r="B1453" s="3">
        <v>10134</v>
      </c>
      <c r="C1453" s="3">
        <v>35</v>
      </c>
      <c r="D1453" s="13">
        <v>93.54</v>
      </c>
      <c r="E1453" s="5">
        <v>37803</v>
      </c>
      <c r="F1453" s="2" t="s">
        <v>13</v>
      </c>
      <c r="G1453" s="2" t="s">
        <v>14</v>
      </c>
      <c r="H1453" s="3">
        <v>3</v>
      </c>
      <c r="I1453" s="6">
        <v>2003</v>
      </c>
      <c r="J1453" s="2" t="s">
        <v>22</v>
      </c>
      <c r="K1453" s="2" t="s">
        <v>23</v>
      </c>
      <c r="L1453" s="7">
        <f t="shared" si="66"/>
        <v>3273.9</v>
      </c>
      <c r="M1453" s="2" t="str">
        <f t="shared" si="67"/>
        <v>July</v>
      </c>
      <c r="N1453" s="6">
        <f t="shared" si="68"/>
        <v>2003</v>
      </c>
    </row>
    <row r="1454" spans="1:14">
      <c r="A1454" s="2" t="s">
        <v>25</v>
      </c>
      <c r="B1454" s="3">
        <v>10145</v>
      </c>
      <c r="C1454" s="3">
        <v>43</v>
      </c>
      <c r="D1454" s="13">
        <v>95.8</v>
      </c>
      <c r="E1454" s="5">
        <v>37858</v>
      </c>
      <c r="F1454" s="2" t="s">
        <v>13</v>
      </c>
      <c r="G1454" s="2" t="s">
        <v>14</v>
      </c>
      <c r="H1454" s="3">
        <v>3</v>
      </c>
      <c r="I1454" s="6">
        <v>2003</v>
      </c>
      <c r="J1454" s="2" t="s">
        <v>22</v>
      </c>
      <c r="K1454" s="2" t="s">
        <v>26</v>
      </c>
      <c r="L1454" s="7">
        <f t="shared" si="66"/>
        <v>4119.4</v>
      </c>
      <c r="M1454" s="2" t="str">
        <f t="shared" si="67"/>
        <v>August</v>
      </c>
      <c r="N1454" s="6">
        <f t="shared" si="68"/>
        <v>2003</v>
      </c>
    </row>
    <row r="1455" spans="1:14">
      <c r="A1455" s="2" t="s">
        <v>28</v>
      </c>
      <c r="B1455" s="3">
        <v>10159</v>
      </c>
      <c r="C1455" s="3">
        <v>44</v>
      </c>
      <c r="D1455" s="13">
        <v>100</v>
      </c>
      <c r="E1455" s="5">
        <v>37904</v>
      </c>
      <c r="F1455" s="2" t="s">
        <v>13</v>
      </c>
      <c r="G1455" s="2" t="s">
        <v>14</v>
      </c>
      <c r="H1455" s="3">
        <v>4</v>
      </c>
      <c r="I1455" s="6">
        <v>2003</v>
      </c>
      <c r="J1455" s="2" t="s">
        <v>22</v>
      </c>
      <c r="K1455" s="2" t="s">
        <v>29</v>
      </c>
      <c r="L1455" s="7">
        <f t="shared" si="66"/>
        <v>4400</v>
      </c>
      <c r="M1455" s="2" t="str">
        <f t="shared" si="67"/>
        <v>October</v>
      </c>
      <c r="N1455" s="6">
        <f t="shared" si="68"/>
        <v>2003</v>
      </c>
    </row>
    <row r="1456" spans="1:14">
      <c r="A1456" s="2" t="s">
        <v>31</v>
      </c>
      <c r="B1456" s="3">
        <v>10168</v>
      </c>
      <c r="C1456" s="3">
        <v>50</v>
      </c>
      <c r="D1456" s="13">
        <v>100</v>
      </c>
      <c r="E1456" s="5">
        <v>37922</v>
      </c>
      <c r="F1456" s="2" t="s">
        <v>13</v>
      </c>
      <c r="G1456" s="2" t="s">
        <v>14</v>
      </c>
      <c r="H1456" s="3">
        <v>4</v>
      </c>
      <c r="I1456" s="6">
        <v>2003</v>
      </c>
      <c r="J1456" s="2" t="s">
        <v>22</v>
      </c>
      <c r="K1456" s="2" t="s">
        <v>32</v>
      </c>
      <c r="L1456" s="7">
        <f t="shared" si="66"/>
        <v>5000</v>
      </c>
      <c r="M1456" s="2" t="str">
        <f t="shared" si="67"/>
        <v>October</v>
      </c>
      <c r="N1456" s="6">
        <f t="shared" si="68"/>
        <v>2003</v>
      </c>
    </row>
    <row r="1457" spans="1:14">
      <c r="A1457" s="2" t="s">
        <v>34</v>
      </c>
      <c r="B1457" s="3">
        <v>10180</v>
      </c>
      <c r="C1457" s="3">
        <v>48</v>
      </c>
      <c r="D1457" s="13">
        <v>100</v>
      </c>
      <c r="E1457" s="5">
        <v>37936</v>
      </c>
      <c r="F1457" s="2" t="s">
        <v>13</v>
      </c>
      <c r="G1457" s="2" t="s">
        <v>14</v>
      </c>
      <c r="H1457" s="3">
        <v>4</v>
      </c>
      <c r="I1457" s="6">
        <v>2003</v>
      </c>
      <c r="J1457" s="2" t="s">
        <v>22</v>
      </c>
      <c r="K1457" s="2" t="s">
        <v>35</v>
      </c>
      <c r="L1457" s="7">
        <f t="shared" si="66"/>
        <v>4800</v>
      </c>
      <c r="M1457" s="2" t="str">
        <f t="shared" si="67"/>
        <v>November</v>
      </c>
      <c r="N1457" s="6">
        <f t="shared" si="68"/>
        <v>2003</v>
      </c>
    </row>
    <row r="1458" spans="1:14">
      <c r="A1458" s="2" t="s">
        <v>36</v>
      </c>
      <c r="B1458" s="3">
        <v>10188</v>
      </c>
      <c r="C1458" s="3">
        <v>25</v>
      </c>
      <c r="D1458" s="13">
        <v>100</v>
      </c>
      <c r="E1458" s="5">
        <v>37943</v>
      </c>
      <c r="F1458" s="2" t="s">
        <v>13</v>
      </c>
      <c r="G1458" s="2" t="s">
        <v>14</v>
      </c>
      <c r="H1458" s="3">
        <v>4</v>
      </c>
      <c r="I1458" s="6">
        <v>2003</v>
      </c>
      <c r="J1458" s="2" t="s">
        <v>15</v>
      </c>
      <c r="K1458" s="2" t="s">
        <v>37</v>
      </c>
      <c r="L1458" s="7">
        <f t="shared" si="66"/>
        <v>2500</v>
      </c>
      <c r="M1458" s="2" t="str">
        <f t="shared" si="67"/>
        <v>November</v>
      </c>
      <c r="N1458" s="6">
        <f t="shared" si="68"/>
        <v>2003</v>
      </c>
    </row>
    <row r="1459" spans="1:14">
      <c r="A1459" s="2" t="s">
        <v>38</v>
      </c>
      <c r="B1459" s="3">
        <v>10201</v>
      </c>
      <c r="C1459" s="3">
        <v>39</v>
      </c>
      <c r="D1459" s="13">
        <v>100</v>
      </c>
      <c r="E1459" s="5">
        <v>37956</v>
      </c>
      <c r="F1459" s="2" t="s">
        <v>13</v>
      </c>
      <c r="G1459" s="2" t="s">
        <v>14</v>
      </c>
      <c r="H1459" s="3">
        <v>4</v>
      </c>
      <c r="I1459" s="6">
        <v>2003</v>
      </c>
      <c r="J1459" s="2" t="s">
        <v>22</v>
      </c>
      <c r="K1459" s="2" t="s">
        <v>39</v>
      </c>
      <c r="L1459" s="7">
        <f t="shared" si="66"/>
        <v>3900</v>
      </c>
      <c r="M1459" s="2" t="str">
        <f t="shared" si="67"/>
        <v>December</v>
      </c>
      <c r="N1459" s="6">
        <f t="shared" si="68"/>
        <v>2003</v>
      </c>
    </row>
    <row r="1460" spans="1:14">
      <c r="A1460" s="2" t="s">
        <v>40</v>
      </c>
      <c r="B1460" s="3">
        <v>10211</v>
      </c>
      <c r="C1460" s="3">
        <v>25</v>
      </c>
      <c r="D1460" s="13">
        <v>90.16</v>
      </c>
      <c r="E1460" s="5">
        <v>38001</v>
      </c>
      <c r="F1460" s="2" t="s">
        <v>13</v>
      </c>
      <c r="G1460" s="2" t="s">
        <v>14</v>
      </c>
      <c r="H1460" s="3">
        <v>1</v>
      </c>
      <c r="I1460" s="6">
        <v>2004</v>
      </c>
      <c r="J1460" s="2" t="s">
        <v>15</v>
      </c>
      <c r="K1460" s="2" t="s">
        <v>41</v>
      </c>
      <c r="L1460" s="7">
        <f t="shared" si="66"/>
        <v>2254</v>
      </c>
      <c r="M1460" s="2" t="str">
        <f t="shared" si="67"/>
        <v>January</v>
      </c>
      <c r="N1460" s="6">
        <f t="shared" si="68"/>
        <v>2004</v>
      </c>
    </row>
    <row r="1461" spans="1:14">
      <c r="A1461" s="2" t="s">
        <v>42</v>
      </c>
      <c r="B1461" s="3">
        <v>10223</v>
      </c>
      <c r="C1461" s="3">
        <v>32</v>
      </c>
      <c r="D1461" s="13">
        <v>91.29</v>
      </c>
      <c r="E1461" s="5">
        <v>38037</v>
      </c>
      <c r="F1461" s="2" t="s">
        <v>13</v>
      </c>
      <c r="G1461" s="2" t="s">
        <v>14</v>
      </c>
      <c r="H1461" s="3">
        <v>1</v>
      </c>
      <c r="I1461" s="6">
        <v>2004</v>
      </c>
      <c r="J1461" s="2" t="s">
        <v>15</v>
      </c>
      <c r="K1461" s="2" t="s">
        <v>43</v>
      </c>
      <c r="L1461" s="7">
        <f t="shared" si="66"/>
        <v>2921.28</v>
      </c>
      <c r="M1461" s="2" t="str">
        <f t="shared" si="67"/>
        <v>February</v>
      </c>
      <c r="N1461" s="6">
        <f t="shared" si="68"/>
        <v>2004</v>
      </c>
    </row>
    <row r="1462" spans="1:14">
      <c r="A1462" s="2" t="s">
        <v>44</v>
      </c>
      <c r="B1462" s="3">
        <v>10237</v>
      </c>
      <c r="C1462" s="3">
        <v>20</v>
      </c>
      <c r="D1462" s="13">
        <v>100</v>
      </c>
      <c r="E1462" s="5">
        <v>38082</v>
      </c>
      <c r="F1462" s="2" t="s">
        <v>13</v>
      </c>
      <c r="G1462" s="2" t="s">
        <v>14</v>
      </c>
      <c r="H1462" s="3">
        <v>2</v>
      </c>
      <c r="I1462" s="6">
        <v>2004</v>
      </c>
      <c r="J1462" s="2" t="s">
        <v>15</v>
      </c>
      <c r="K1462" s="2" t="s">
        <v>45</v>
      </c>
      <c r="L1462" s="7">
        <f t="shared" si="66"/>
        <v>2000</v>
      </c>
      <c r="M1462" s="2" t="str">
        <f t="shared" si="67"/>
        <v>April</v>
      </c>
      <c r="N1462" s="6">
        <f t="shared" si="68"/>
        <v>2004</v>
      </c>
    </row>
    <row r="1463" spans="1:14">
      <c r="A1463" s="2" t="s">
        <v>46</v>
      </c>
      <c r="B1463" s="3">
        <v>10251</v>
      </c>
      <c r="C1463" s="3">
        <v>26</v>
      </c>
      <c r="D1463" s="13">
        <v>100</v>
      </c>
      <c r="E1463" s="5">
        <v>38125</v>
      </c>
      <c r="F1463" s="2" t="s">
        <v>13</v>
      </c>
      <c r="G1463" s="2" t="s">
        <v>14</v>
      </c>
      <c r="H1463" s="3">
        <v>2</v>
      </c>
      <c r="I1463" s="6">
        <v>2004</v>
      </c>
      <c r="J1463" s="2" t="s">
        <v>15</v>
      </c>
      <c r="K1463" s="2" t="s">
        <v>47</v>
      </c>
      <c r="L1463" s="7">
        <f t="shared" si="66"/>
        <v>2600</v>
      </c>
      <c r="M1463" s="2" t="str">
        <f t="shared" si="67"/>
        <v>May</v>
      </c>
      <c r="N1463" s="6">
        <f t="shared" si="68"/>
        <v>2004</v>
      </c>
    </row>
    <row r="1464" spans="1:14">
      <c r="A1464" s="2" t="s">
        <v>48</v>
      </c>
      <c r="B1464" s="3">
        <v>10263</v>
      </c>
      <c r="C1464" s="3">
        <v>42</v>
      </c>
      <c r="D1464" s="13">
        <v>100</v>
      </c>
      <c r="E1464" s="5">
        <v>38166</v>
      </c>
      <c r="F1464" s="2" t="s">
        <v>13</v>
      </c>
      <c r="G1464" s="2" t="s">
        <v>14</v>
      </c>
      <c r="H1464" s="3">
        <v>2</v>
      </c>
      <c r="I1464" s="6">
        <v>2004</v>
      </c>
      <c r="J1464" s="2" t="s">
        <v>22</v>
      </c>
      <c r="K1464" s="2" t="s">
        <v>49</v>
      </c>
      <c r="L1464" s="7">
        <f t="shared" si="66"/>
        <v>4200</v>
      </c>
      <c r="M1464" s="2" t="str">
        <f t="shared" si="67"/>
        <v>June</v>
      </c>
      <c r="N1464" s="6">
        <f t="shared" si="68"/>
        <v>2004</v>
      </c>
    </row>
    <row r="1465" spans="1:14">
      <c r="A1465" s="2" t="s">
        <v>50</v>
      </c>
      <c r="B1465" s="3">
        <v>10275</v>
      </c>
      <c r="C1465" s="3">
        <v>21</v>
      </c>
      <c r="D1465" s="13">
        <v>100</v>
      </c>
      <c r="E1465" s="5">
        <v>38191</v>
      </c>
      <c r="F1465" s="2" t="s">
        <v>13</v>
      </c>
      <c r="G1465" s="2" t="s">
        <v>14</v>
      </c>
      <c r="H1465" s="3">
        <v>3</v>
      </c>
      <c r="I1465" s="6">
        <v>2004</v>
      </c>
      <c r="J1465" s="2" t="s">
        <v>15</v>
      </c>
      <c r="K1465" s="2" t="s">
        <v>51</v>
      </c>
      <c r="L1465" s="7">
        <f t="shared" si="66"/>
        <v>2100</v>
      </c>
      <c r="M1465" s="2" t="str">
        <f t="shared" si="67"/>
        <v>July</v>
      </c>
      <c r="N1465" s="6">
        <f t="shared" si="68"/>
        <v>2004</v>
      </c>
    </row>
    <row r="1466" spans="1:14">
      <c r="A1466" s="2" t="s">
        <v>52</v>
      </c>
      <c r="B1466" s="3">
        <v>10285</v>
      </c>
      <c r="C1466" s="3">
        <v>34</v>
      </c>
      <c r="D1466" s="13">
        <v>100</v>
      </c>
      <c r="E1466" s="5">
        <v>38226</v>
      </c>
      <c r="F1466" s="2" t="s">
        <v>13</v>
      </c>
      <c r="G1466" s="2" t="s">
        <v>14</v>
      </c>
      <c r="H1466" s="3">
        <v>3</v>
      </c>
      <c r="I1466" s="6">
        <v>2004</v>
      </c>
      <c r="J1466" s="2" t="s">
        <v>22</v>
      </c>
      <c r="K1466" s="2" t="s">
        <v>53</v>
      </c>
      <c r="L1466" s="7">
        <f t="shared" si="66"/>
        <v>3400</v>
      </c>
      <c r="M1466" s="2" t="str">
        <f t="shared" si="67"/>
        <v>August</v>
      </c>
      <c r="N1466" s="6">
        <f t="shared" si="68"/>
        <v>2004</v>
      </c>
    </row>
    <row r="1467" spans="1:14">
      <c r="A1467" s="2" t="s">
        <v>54</v>
      </c>
      <c r="B1467" s="3">
        <v>10299</v>
      </c>
      <c r="C1467" s="3">
        <v>47</v>
      </c>
      <c r="D1467" s="13">
        <v>100</v>
      </c>
      <c r="E1467" s="5">
        <v>38260</v>
      </c>
      <c r="F1467" s="2" t="s">
        <v>13</v>
      </c>
      <c r="G1467" s="2" t="s">
        <v>14</v>
      </c>
      <c r="H1467" s="3">
        <v>3</v>
      </c>
      <c r="I1467" s="6">
        <v>2004</v>
      </c>
      <c r="J1467" s="2" t="s">
        <v>22</v>
      </c>
      <c r="K1467" s="2" t="s">
        <v>55</v>
      </c>
      <c r="L1467" s="7">
        <f t="shared" si="66"/>
        <v>4700</v>
      </c>
      <c r="M1467" s="2" t="str">
        <f t="shared" si="67"/>
        <v>September</v>
      </c>
      <c r="N1467" s="6">
        <f t="shared" si="68"/>
        <v>2004</v>
      </c>
    </row>
    <row r="1468" spans="1:14">
      <c r="A1468" s="2" t="s">
        <v>56</v>
      </c>
      <c r="B1468" s="3">
        <v>10309</v>
      </c>
      <c r="C1468" s="3">
        <v>21</v>
      </c>
      <c r="D1468" s="13">
        <v>100</v>
      </c>
      <c r="E1468" s="5">
        <v>38275</v>
      </c>
      <c r="F1468" s="2" t="s">
        <v>13</v>
      </c>
      <c r="G1468" s="2" t="s">
        <v>14</v>
      </c>
      <c r="H1468" s="3">
        <v>4</v>
      </c>
      <c r="I1468" s="6">
        <v>2004</v>
      </c>
      <c r="J1468" s="2" t="s">
        <v>15</v>
      </c>
      <c r="K1468" s="2" t="s">
        <v>57</v>
      </c>
      <c r="L1468" s="7">
        <f t="shared" si="66"/>
        <v>2100</v>
      </c>
      <c r="M1468" s="2" t="str">
        <f t="shared" si="67"/>
        <v>October</v>
      </c>
      <c r="N1468" s="6">
        <f t="shared" si="68"/>
        <v>2004</v>
      </c>
    </row>
    <row r="1469" spans="1:14">
      <c r="A1469" s="2" t="s">
        <v>58</v>
      </c>
      <c r="B1469" s="3">
        <v>10318</v>
      </c>
      <c r="C1469" s="3">
        <v>48</v>
      </c>
      <c r="D1469" s="13">
        <v>100</v>
      </c>
      <c r="E1469" s="5">
        <v>38293</v>
      </c>
      <c r="F1469" s="2" t="s">
        <v>13</v>
      </c>
      <c r="G1469" s="2" t="s">
        <v>14</v>
      </c>
      <c r="H1469" s="3">
        <v>4</v>
      </c>
      <c r="I1469" s="6">
        <v>2004</v>
      </c>
      <c r="J1469" s="2" t="s">
        <v>22</v>
      </c>
      <c r="K1469" s="2" t="s">
        <v>59</v>
      </c>
      <c r="L1469" s="7">
        <f t="shared" si="66"/>
        <v>4800</v>
      </c>
      <c r="M1469" s="2" t="str">
        <f t="shared" si="67"/>
        <v>November</v>
      </c>
      <c r="N1469" s="6">
        <f t="shared" si="68"/>
        <v>2004</v>
      </c>
    </row>
    <row r="1470" spans="1:14">
      <c r="A1470" s="2" t="s">
        <v>12</v>
      </c>
      <c r="B1470" s="3">
        <v>10329</v>
      </c>
      <c r="C1470" s="3">
        <v>30</v>
      </c>
      <c r="D1470" s="13">
        <v>87.78</v>
      </c>
      <c r="E1470" s="5">
        <v>38306</v>
      </c>
      <c r="F1470" s="2" t="s">
        <v>13</v>
      </c>
      <c r="G1470" s="2" t="s">
        <v>14</v>
      </c>
      <c r="H1470" s="3">
        <v>4</v>
      </c>
      <c r="I1470" s="6">
        <v>2004</v>
      </c>
      <c r="J1470" s="2" t="s">
        <v>15</v>
      </c>
      <c r="K1470" s="2" t="s">
        <v>16</v>
      </c>
      <c r="L1470" s="7">
        <f t="shared" si="66"/>
        <v>2633.4</v>
      </c>
      <c r="M1470" s="2" t="str">
        <f t="shared" si="67"/>
        <v>November</v>
      </c>
      <c r="N1470" s="6">
        <f t="shared" si="68"/>
        <v>2004</v>
      </c>
    </row>
    <row r="1471" spans="1:14">
      <c r="A1471" s="2" t="s">
        <v>95</v>
      </c>
      <c r="B1471" s="3">
        <v>10339</v>
      </c>
      <c r="C1471" s="3">
        <v>27</v>
      </c>
      <c r="D1471" s="13">
        <v>84.39</v>
      </c>
      <c r="E1471" s="5">
        <v>38314</v>
      </c>
      <c r="F1471" s="2" t="s">
        <v>13</v>
      </c>
      <c r="G1471" s="2" t="s">
        <v>14</v>
      </c>
      <c r="H1471" s="3">
        <v>4</v>
      </c>
      <c r="I1471" s="6">
        <v>2004</v>
      </c>
      <c r="J1471" s="2" t="s">
        <v>15</v>
      </c>
      <c r="K1471" s="2" t="s">
        <v>96</v>
      </c>
      <c r="L1471" s="7">
        <f t="shared" si="66"/>
        <v>2278.53</v>
      </c>
      <c r="M1471" s="2" t="str">
        <f t="shared" si="67"/>
        <v>November</v>
      </c>
      <c r="N1471" s="6">
        <f t="shared" si="68"/>
        <v>2004</v>
      </c>
    </row>
    <row r="1472" spans="1:14">
      <c r="A1472" s="2" t="s">
        <v>31</v>
      </c>
      <c r="B1472" s="3">
        <v>10362</v>
      </c>
      <c r="C1472" s="3">
        <v>50</v>
      </c>
      <c r="D1472" s="13">
        <v>96.92</v>
      </c>
      <c r="E1472" s="5">
        <v>38357</v>
      </c>
      <c r="F1472" s="2" t="s">
        <v>13</v>
      </c>
      <c r="G1472" s="2" t="s">
        <v>14</v>
      </c>
      <c r="H1472" s="3">
        <v>1</v>
      </c>
      <c r="I1472" s="6">
        <v>2005</v>
      </c>
      <c r="J1472" s="2" t="s">
        <v>22</v>
      </c>
      <c r="K1472" s="2" t="s">
        <v>32</v>
      </c>
      <c r="L1472" s="7">
        <f t="shared" si="66"/>
        <v>4846</v>
      </c>
      <c r="M1472" s="2" t="str">
        <f t="shared" si="67"/>
        <v>January</v>
      </c>
      <c r="N1472" s="6">
        <f t="shared" si="68"/>
        <v>2005</v>
      </c>
    </row>
    <row r="1473" spans="1:14">
      <c r="A1473" s="2" t="s">
        <v>81</v>
      </c>
      <c r="B1473" s="3">
        <v>10374</v>
      </c>
      <c r="C1473" s="3">
        <v>38</v>
      </c>
      <c r="D1473" s="13">
        <v>100</v>
      </c>
      <c r="E1473" s="5">
        <v>38385</v>
      </c>
      <c r="F1473" s="2" t="s">
        <v>13</v>
      </c>
      <c r="G1473" s="2" t="s">
        <v>14</v>
      </c>
      <c r="H1473" s="3">
        <v>1</v>
      </c>
      <c r="I1473" s="6">
        <v>2005</v>
      </c>
      <c r="J1473" s="2" t="s">
        <v>22</v>
      </c>
      <c r="K1473" s="2" t="s">
        <v>82</v>
      </c>
      <c r="L1473" s="7">
        <f t="shared" si="66"/>
        <v>3800</v>
      </c>
      <c r="M1473" s="2" t="str">
        <f t="shared" si="67"/>
        <v>February</v>
      </c>
      <c r="N1473" s="6">
        <f t="shared" si="68"/>
        <v>2005</v>
      </c>
    </row>
    <row r="1474" spans="1:14">
      <c r="A1474" s="2" t="s">
        <v>99</v>
      </c>
      <c r="B1474" s="3">
        <v>10389</v>
      </c>
      <c r="C1474" s="3">
        <v>45</v>
      </c>
      <c r="D1474" s="13">
        <v>100</v>
      </c>
      <c r="E1474" s="5">
        <v>38414</v>
      </c>
      <c r="F1474" s="2" t="s">
        <v>13</v>
      </c>
      <c r="G1474" s="2" t="s">
        <v>14</v>
      </c>
      <c r="H1474" s="3">
        <v>1</v>
      </c>
      <c r="I1474" s="6">
        <v>2005</v>
      </c>
      <c r="J1474" s="2" t="s">
        <v>22</v>
      </c>
      <c r="K1474" s="2" t="s">
        <v>100</v>
      </c>
      <c r="L1474" s="7">
        <f t="shared" ref="L1474:L1537" si="69">PRODUCT(C1474,D1474)</f>
        <v>4500</v>
      </c>
      <c r="M1474" s="2" t="str">
        <f t="shared" ref="M1474:M1537" si="70">TEXT(E1474,"MMMM")</f>
        <v>March</v>
      </c>
      <c r="N1474" s="6">
        <f t="shared" ref="N1474:N1537" si="71">YEAR(E1474)</f>
        <v>2005</v>
      </c>
    </row>
    <row r="1475" spans="1:14">
      <c r="A1475" s="2" t="s">
        <v>67</v>
      </c>
      <c r="B1475" s="3">
        <v>10403</v>
      </c>
      <c r="C1475" s="3">
        <v>46</v>
      </c>
      <c r="D1475" s="13">
        <v>100</v>
      </c>
      <c r="E1475" s="5">
        <v>38450</v>
      </c>
      <c r="F1475" s="2" t="s">
        <v>13</v>
      </c>
      <c r="G1475" s="2" t="s">
        <v>14</v>
      </c>
      <c r="H1475" s="3">
        <v>2</v>
      </c>
      <c r="I1475" s="6">
        <v>2005</v>
      </c>
      <c r="J1475" s="2" t="s">
        <v>22</v>
      </c>
      <c r="K1475" s="2" t="s">
        <v>68</v>
      </c>
      <c r="L1475" s="7">
        <f t="shared" si="69"/>
        <v>4600</v>
      </c>
      <c r="M1475" s="2" t="str">
        <f t="shared" si="70"/>
        <v>April</v>
      </c>
      <c r="N1475" s="6">
        <f t="shared" si="71"/>
        <v>2005</v>
      </c>
    </row>
    <row r="1476" spans="1:14">
      <c r="A1476" s="2" t="s">
        <v>69</v>
      </c>
      <c r="B1476" s="3">
        <v>10417</v>
      </c>
      <c r="C1476" s="3">
        <v>35</v>
      </c>
      <c r="D1476" s="13">
        <v>100</v>
      </c>
      <c r="E1476" s="5">
        <v>38485</v>
      </c>
      <c r="F1476" s="2" t="s">
        <v>70</v>
      </c>
      <c r="G1476" s="2" t="s">
        <v>14</v>
      </c>
      <c r="H1476" s="3">
        <v>2</v>
      </c>
      <c r="I1476" s="6">
        <v>2005</v>
      </c>
      <c r="J1476" s="2" t="s">
        <v>22</v>
      </c>
      <c r="K1476" s="2" t="s">
        <v>71</v>
      </c>
      <c r="L1476" s="7">
        <f t="shared" si="69"/>
        <v>3500</v>
      </c>
      <c r="M1476" s="2" t="str">
        <f t="shared" si="70"/>
        <v>May</v>
      </c>
      <c r="N1476" s="6">
        <f t="shared" si="71"/>
        <v>2005</v>
      </c>
    </row>
    <row r="1477" spans="1:14">
      <c r="A1477" s="2" t="s">
        <v>183</v>
      </c>
      <c r="B1477" s="3">
        <v>10110</v>
      </c>
      <c r="C1477" s="3">
        <v>29</v>
      </c>
      <c r="D1477" s="13">
        <v>59.37</v>
      </c>
      <c r="E1477" s="5">
        <v>37698</v>
      </c>
      <c r="F1477" s="2" t="s">
        <v>13</v>
      </c>
      <c r="G1477" s="2" t="s">
        <v>72</v>
      </c>
      <c r="H1477" s="3">
        <v>1</v>
      </c>
      <c r="I1477" s="6">
        <v>2003</v>
      </c>
      <c r="J1477" s="2" t="s">
        <v>15</v>
      </c>
      <c r="K1477" s="2" t="s">
        <v>184</v>
      </c>
      <c r="L1477" s="7">
        <f t="shared" si="69"/>
        <v>1721.73</v>
      </c>
      <c r="M1477" s="2" t="str">
        <f t="shared" si="70"/>
        <v>March</v>
      </c>
      <c r="N1477" s="6">
        <f t="shared" si="71"/>
        <v>2003</v>
      </c>
    </row>
    <row r="1478" spans="1:14">
      <c r="A1478" s="2" t="s">
        <v>118</v>
      </c>
      <c r="B1478" s="3">
        <v>10123</v>
      </c>
      <c r="C1478" s="3">
        <v>50</v>
      </c>
      <c r="D1478" s="13">
        <v>59.87</v>
      </c>
      <c r="E1478" s="5">
        <v>37761</v>
      </c>
      <c r="F1478" s="2" t="s">
        <v>13</v>
      </c>
      <c r="G1478" s="2" t="s">
        <v>72</v>
      </c>
      <c r="H1478" s="3">
        <v>2</v>
      </c>
      <c r="I1478" s="6">
        <v>2003</v>
      </c>
      <c r="J1478" s="2" t="s">
        <v>15</v>
      </c>
      <c r="K1478" s="2" t="s">
        <v>119</v>
      </c>
      <c r="L1478" s="7">
        <f t="shared" si="69"/>
        <v>2993.5</v>
      </c>
      <c r="M1478" s="2" t="str">
        <f t="shared" si="70"/>
        <v>May</v>
      </c>
      <c r="N1478" s="6">
        <f t="shared" si="71"/>
        <v>2003</v>
      </c>
    </row>
    <row r="1479" spans="1:14">
      <c r="A1479" s="2" t="s">
        <v>18</v>
      </c>
      <c r="B1479" s="3">
        <v>10137</v>
      </c>
      <c r="C1479" s="3">
        <v>26</v>
      </c>
      <c r="D1479" s="13">
        <v>49.81</v>
      </c>
      <c r="E1479" s="5">
        <v>37812</v>
      </c>
      <c r="F1479" s="2" t="s">
        <v>13</v>
      </c>
      <c r="G1479" s="2" t="s">
        <v>72</v>
      </c>
      <c r="H1479" s="3">
        <v>3</v>
      </c>
      <c r="I1479" s="6">
        <v>2003</v>
      </c>
      <c r="J1479" s="2" t="s">
        <v>15</v>
      </c>
      <c r="K1479" s="2" t="s">
        <v>19</v>
      </c>
      <c r="L1479" s="7">
        <f t="shared" si="69"/>
        <v>1295.06</v>
      </c>
      <c r="M1479" s="2" t="str">
        <f t="shared" si="70"/>
        <v>July</v>
      </c>
      <c r="N1479" s="6">
        <f t="shared" si="71"/>
        <v>2003</v>
      </c>
    </row>
    <row r="1480" spans="1:14">
      <c r="A1480" s="2" t="s">
        <v>109</v>
      </c>
      <c r="B1480" s="3">
        <v>10148</v>
      </c>
      <c r="C1480" s="3">
        <v>47</v>
      </c>
      <c r="D1480" s="13">
        <v>56.85</v>
      </c>
      <c r="E1480" s="5">
        <v>37875</v>
      </c>
      <c r="F1480" s="2" t="s">
        <v>13</v>
      </c>
      <c r="G1480" s="2" t="s">
        <v>72</v>
      </c>
      <c r="H1480" s="3">
        <v>3</v>
      </c>
      <c r="I1480" s="6">
        <v>2003</v>
      </c>
      <c r="J1480" s="2" t="s">
        <v>15</v>
      </c>
      <c r="K1480" s="2" t="s">
        <v>110</v>
      </c>
      <c r="L1480" s="7">
        <f t="shared" si="69"/>
        <v>2671.95</v>
      </c>
      <c r="M1480" s="2" t="str">
        <f t="shared" si="70"/>
        <v>September</v>
      </c>
      <c r="N1480" s="6">
        <f t="shared" si="71"/>
        <v>2003</v>
      </c>
    </row>
    <row r="1481" spans="1:14">
      <c r="A1481" s="2" t="s">
        <v>185</v>
      </c>
      <c r="B1481" s="3">
        <v>10161</v>
      </c>
      <c r="C1481" s="3">
        <v>23</v>
      </c>
      <c r="D1481" s="13">
        <v>53.33</v>
      </c>
      <c r="E1481" s="5">
        <v>37911</v>
      </c>
      <c r="F1481" s="2" t="s">
        <v>13</v>
      </c>
      <c r="G1481" s="2" t="s">
        <v>72</v>
      </c>
      <c r="H1481" s="3">
        <v>4</v>
      </c>
      <c r="I1481" s="6">
        <v>2003</v>
      </c>
      <c r="J1481" s="2" t="s">
        <v>15</v>
      </c>
      <c r="K1481" s="2" t="s">
        <v>186</v>
      </c>
      <c r="L1481" s="7">
        <f t="shared" si="69"/>
        <v>1226.59</v>
      </c>
      <c r="M1481" s="2" t="str">
        <f t="shared" si="70"/>
        <v>October</v>
      </c>
      <c r="N1481" s="6">
        <f t="shared" si="71"/>
        <v>2003</v>
      </c>
    </row>
    <row r="1482" spans="1:14">
      <c r="A1482" s="2" t="s">
        <v>48</v>
      </c>
      <c r="B1482" s="3">
        <v>10172</v>
      </c>
      <c r="C1482" s="3">
        <v>34</v>
      </c>
      <c r="D1482" s="13">
        <v>42.76</v>
      </c>
      <c r="E1482" s="5">
        <v>37930</v>
      </c>
      <c r="F1482" s="2" t="s">
        <v>13</v>
      </c>
      <c r="G1482" s="2" t="s">
        <v>72</v>
      </c>
      <c r="H1482" s="3">
        <v>4</v>
      </c>
      <c r="I1482" s="6">
        <v>2003</v>
      </c>
      <c r="J1482" s="2" t="s">
        <v>15</v>
      </c>
      <c r="K1482" s="2" t="s">
        <v>49</v>
      </c>
      <c r="L1482" s="7">
        <f t="shared" si="69"/>
        <v>1453.84</v>
      </c>
      <c r="M1482" s="2" t="str">
        <f t="shared" si="70"/>
        <v>November</v>
      </c>
      <c r="N1482" s="6">
        <f t="shared" si="71"/>
        <v>2003</v>
      </c>
    </row>
    <row r="1483" spans="1:14">
      <c r="A1483" s="2" t="s">
        <v>36</v>
      </c>
      <c r="B1483" s="3">
        <v>10181</v>
      </c>
      <c r="C1483" s="3">
        <v>34</v>
      </c>
      <c r="D1483" s="13">
        <v>53.83</v>
      </c>
      <c r="E1483" s="5">
        <v>37937</v>
      </c>
      <c r="F1483" s="2" t="s">
        <v>13</v>
      </c>
      <c r="G1483" s="2" t="s">
        <v>72</v>
      </c>
      <c r="H1483" s="3">
        <v>4</v>
      </c>
      <c r="I1483" s="6">
        <v>2003</v>
      </c>
      <c r="J1483" s="2" t="s">
        <v>15</v>
      </c>
      <c r="K1483" s="2" t="s">
        <v>37</v>
      </c>
      <c r="L1483" s="7">
        <f t="shared" si="69"/>
        <v>1830.22</v>
      </c>
      <c r="M1483" s="2" t="str">
        <f t="shared" si="70"/>
        <v>November</v>
      </c>
      <c r="N1483" s="6">
        <f t="shared" si="71"/>
        <v>2003</v>
      </c>
    </row>
    <row r="1484" spans="1:14">
      <c r="A1484" s="2" t="s">
        <v>105</v>
      </c>
      <c r="B1484" s="3">
        <v>10192</v>
      </c>
      <c r="C1484" s="3">
        <v>47</v>
      </c>
      <c r="D1484" s="13">
        <v>53.83</v>
      </c>
      <c r="E1484" s="5">
        <v>37945</v>
      </c>
      <c r="F1484" s="2" t="s">
        <v>13</v>
      </c>
      <c r="G1484" s="2" t="s">
        <v>72</v>
      </c>
      <c r="H1484" s="3">
        <v>4</v>
      </c>
      <c r="I1484" s="6">
        <v>2003</v>
      </c>
      <c r="J1484" s="2" t="s">
        <v>15</v>
      </c>
      <c r="K1484" s="2" t="s">
        <v>106</v>
      </c>
      <c r="L1484" s="7">
        <f t="shared" si="69"/>
        <v>2530.01</v>
      </c>
      <c r="M1484" s="2" t="str">
        <f t="shared" si="70"/>
        <v>November</v>
      </c>
      <c r="N1484" s="6">
        <f t="shared" si="71"/>
        <v>2003</v>
      </c>
    </row>
    <row r="1485" spans="1:14">
      <c r="A1485" s="2" t="s">
        <v>177</v>
      </c>
      <c r="B1485" s="3">
        <v>10204</v>
      </c>
      <c r="C1485" s="3">
        <v>45</v>
      </c>
      <c r="D1485" s="13">
        <v>49.81</v>
      </c>
      <c r="E1485" s="5">
        <v>37957</v>
      </c>
      <c r="F1485" s="2" t="s">
        <v>13</v>
      </c>
      <c r="G1485" s="2" t="s">
        <v>72</v>
      </c>
      <c r="H1485" s="3">
        <v>4</v>
      </c>
      <c r="I1485" s="6">
        <v>2003</v>
      </c>
      <c r="J1485" s="2" t="s">
        <v>15</v>
      </c>
      <c r="K1485" s="2" t="s">
        <v>178</v>
      </c>
      <c r="L1485" s="7">
        <f t="shared" si="69"/>
        <v>2241.45</v>
      </c>
      <c r="M1485" s="2" t="str">
        <f t="shared" si="70"/>
        <v>December</v>
      </c>
      <c r="N1485" s="6">
        <f t="shared" si="71"/>
        <v>2003</v>
      </c>
    </row>
    <row r="1486" spans="1:14">
      <c r="A1486" s="2" t="s">
        <v>69</v>
      </c>
      <c r="B1486" s="3">
        <v>10212</v>
      </c>
      <c r="C1486" s="3">
        <v>45</v>
      </c>
      <c r="D1486" s="13">
        <v>53.33</v>
      </c>
      <c r="E1486" s="5">
        <v>38002</v>
      </c>
      <c r="F1486" s="2" t="s">
        <v>13</v>
      </c>
      <c r="G1486" s="2" t="s">
        <v>72</v>
      </c>
      <c r="H1486" s="3">
        <v>1</v>
      </c>
      <c r="I1486" s="6">
        <v>2004</v>
      </c>
      <c r="J1486" s="2" t="s">
        <v>15</v>
      </c>
      <c r="K1486" s="2" t="s">
        <v>71</v>
      </c>
      <c r="L1486" s="7">
        <f t="shared" si="69"/>
        <v>2399.85</v>
      </c>
      <c r="M1486" s="2" t="str">
        <f t="shared" si="70"/>
        <v>January</v>
      </c>
      <c r="N1486" s="6">
        <f t="shared" si="71"/>
        <v>2004</v>
      </c>
    </row>
    <row r="1487" spans="1:14">
      <c r="A1487" s="2" t="s">
        <v>137</v>
      </c>
      <c r="B1487" s="3">
        <v>10226</v>
      </c>
      <c r="C1487" s="3">
        <v>36</v>
      </c>
      <c r="D1487" s="13">
        <v>43.27</v>
      </c>
      <c r="E1487" s="5">
        <v>38043</v>
      </c>
      <c r="F1487" s="2" t="s">
        <v>13</v>
      </c>
      <c r="G1487" s="2" t="s">
        <v>72</v>
      </c>
      <c r="H1487" s="3">
        <v>1</v>
      </c>
      <c r="I1487" s="6">
        <v>2004</v>
      </c>
      <c r="J1487" s="2" t="s">
        <v>15</v>
      </c>
      <c r="K1487" s="2" t="s">
        <v>138</v>
      </c>
      <c r="L1487" s="7">
        <f t="shared" si="69"/>
        <v>1557.72</v>
      </c>
      <c r="M1487" s="2" t="str">
        <f t="shared" si="70"/>
        <v>February</v>
      </c>
      <c r="N1487" s="6">
        <f t="shared" si="71"/>
        <v>2004</v>
      </c>
    </row>
    <row r="1488" spans="1:14">
      <c r="A1488" s="2" t="s">
        <v>196</v>
      </c>
      <c r="B1488" s="3">
        <v>10241</v>
      </c>
      <c r="C1488" s="3">
        <v>21</v>
      </c>
      <c r="D1488" s="13">
        <v>40.25</v>
      </c>
      <c r="E1488" s="5">
        <v>38090</v>
      </c>
      <c r="F1488" s="2" t="s">
        <v>13</v>
      </c>
      <c r="G1488" s="2" t="s">
        <v>72</v>
      </c>
      <c r="H1488" s="3">
        <v>2</v>
      </c>
      <c r="I1488" s="6">
        <v>2004</v>
      </c>
      <c r="J1488" s="2" t="s">
        <v>15</v>
      </c>
      <c r="K1488" s="2" t="s">
        <v>197</v>
      </c>
      <c r="L1488" s="7">
        <f t="shared" si="69"/>
        <v>845.25</v>
      </c>
      <c r="M1488" s="2" t="str">
        <f t="shared" si="70"/>
        <v>April</v>
      </c>
      <c r="N1488" s="6">
        <f t="shared" si="71"/>
        <v>2004</v>
      </c>
    </row>
    <row r="1489" spans="1:14">
      <c r="A1489" s="2" t="s">
        <v>169</v>
      </c>
      <c r="B1489" s="3">
        <v>10266</v>
      </c>
      <c r="C1489" s="3">
        <v>28</v>
      </c>
      <c r="D1489" s="13">
        <v>48.3</v>
      </c>
      <c r="E1489" s="5">
        <v>38174</v>
      </c>
      <c r="F1489" s="2" t="s">
        <v>13</v>
      </c>
      <c r="G1489" s="2" t="s">
        <v>72</v>
      </c>
      <c r="H1489" s="3">
        <v>3</v>
      </c>
      <c r="I1489" s="6">
        <v>2004</v>
      </c>
      <c r="J1489" s="2" t="s">
        <v>15</v>
      </c>
      <c r="K1489" s="2" t="s">
        <v>170</v>
      </c>
      <c r="L1489" s="7">
        <f t="shared" si="69"/>
        <v>1352.4</v>
      </c>
      <c r="M1489" s="2" t="str">
        <f t="shared" si="70"/>
        <v>July</v>
      </c>
      <c r="N1489" s="6">
        <f t="shared" si="71"/>
        <v>2004</v>
      </c>
    </row>
    <row r="1490" spans="1:14">
      <c r="A1490" s="2" t="s">
        <v>198</v>
      </c>
      <c r="B1490" s="3">
        <v>10278</v>
      </c>
      <c r="C1490" s="3">
        <v>35</v>
      </c>
      <c r="D1490" s="13">
        <v>45.28</v>
      </c>
      <c r="E1490" s="5">
        <v>38205</v>
      </c>
      <c r="F1490" s="2" t="s">
        <v>13</v>
      </c>
      <c r="G1490" s="2" t="s">
        <v>72</v>
      </c>
      <c r="H1490" s="3">
        <v>3</v>
      </c>
      <c r="I1490" s="6">
        <v>2004</v>
      </c>
      <c r="J1490" s="2" t="s">
        <v>15</v>
      </c>
      <c r="K1490" s="2" t="s">
        <v>199</v>
      </c>
      <c r="L1490" s="7">
        <f t="shared" si="69"/>
        <v>1584.8</v>
      </c>
      <c r="M1490" s="2" t="str">
        <f t="shared" si="70"/>
        <v>August</v>
      </c>
      <c r="N1490" s="6">
        <f t="shared" si="71"/>
        <v>2004</v>
      </c>
    </row>
    <row r="1491" spans="1:14">
      <c r="A1491" s="2" t="s">
        <v>159</v>
      </c>
      <c r="B1491" s="3">
        <v>10288</v>
      </c>
      <c r="C1491" s="3">
        <v>50</v>
      </c>
      <c r="D1491" s="13">
        <v>52.32</v>
      </c>
      <c r="E1491" s="5">
        <v>38231</v>
      </c>
      <c r="F1491" s="2" t="s">
        <v>13</v>
      </c>
      <c r="G1491" s="2" t="s">
        <v>72</v>
      </c>
      <c r="H1491" s="3">
        <v>3</v>
      </c>
      <c r="I1491" s="6">
        <v>2004</v>
      </c>
      <c r="J1491" s="2" t="s">
        <v>15</v>
      </c>
      <c r="K1491" s="2" t="s">
        <v>160</v>
      </c>
      <c r="L1491" s="7">
        <f t="shared" si="69"/>
        <v>2616</v>
      </c>
      <c r="M1491" s="2" t="str">
        <f t="shared" si="70"/>
        <v>September</v>
      </c>
      <c r="N1491" s="6">
        <f t="shared" si="71"/>
        <v>2004</v>
      </c>
    </row>
    <row r="1492" spans="1:14">
      <c r="A1492" s="2" t="s">
        <v>200</v>
      </c>
      <c r="B1492" s="3">
        <v>10301</v>
      </c>
      <c r="C1492" s="3">
        <v>22</v>
      </c>
      <c r="D1492" s="13">
        <v>51.32</v>
      </c>
      <c r="E1492" s="5">
        <v>37899</v>
      </c>
      <c r="F1492" s="2" t="s">
        <v>13</v>
      </c>
      <c r="G1492" s="2" t="s">
        <v>72</v>
      </c>
      <c r="H1492" s="3">
        <v>4</v>
      </c>
      <c r="I1492" s="6">
        <v>2003</v>
      </c>
      <c r="J1492" s="2" t="s">
        <v>15</v>
      </c>
      <c r="K1492" s="2" t="s">
        <v>201</v>
      </c>
      <c r="L1492" s="7">
        <f t="shared" si="69"/>
        <v>1129.04</v>
      </c>
      <c r="M1492" s="2" t="str">
        <f t="shared" si="70"/>
        <v>October</v>
      </c>
      <c r="N1492" s="6">
        <f t="shared" si="71"/>
        <v>2003</v>
      </c>
    </row>
    <row r="1493" spans="1:14">
      <c r="A1493" s="2" t="s">
        <v>69</v>
      </c>
      <c r="B1493" s="3">
        <v>10311</v>
      </c>
      <c r="C1493" s="3">
        <v>45</v>
      </c>
      <c r="D1493" s="13">
        <v>49.3</v>
      </c>
      <c r="E1493" s="5">
        <v>38276</v>
      </c>
      <c r="F1493" s="2" t="s">
        <v>13</v>
      </c>
      <c r="G1493" s="2" t="s">
        <v>72</v>
      </c>
      <c r="H1493" s="3">
        <v>4</v>
      </c>
      <c r="I1493" s="6">
        <v>2004</v>
      </c>
      <c r="J1493" s="2" t="s">
        <v>15</v>
      </c>
      <c r="K1493" s="2" t="s">
        <v>71</v>
      </c>
      <c r="L1493" s="7">
        <f t="shared" si="69"/>
        <v>2218.5</v>
      </c>
      <c r="M1493" s="2" t="str">
        <f t="shared" si="70"/>
        <v>October</v>
      </c>
      <c r="N1493" s="6">
        <f t="shared" si="71"/>
        <v>2004</v>
      </c>
    </row>
    <row r="1494" spans="1:14">
      <c r="A1494" s="2" t="s">
        <v>65</v>
      </c>
      <c r="B1494" s="3">
        <v>10321</v>
      </c>
      <c r="C1494" s="3">
        <v>48</v>
      </c>
      <c r="D1494" s="13">
        <v>42.26</v>
      </c>
      <c r="E1494" s="5">
        <v>38295</v>
      </c>
      <c r="F1494" s="2" t="s">
        <v>13</v>
      </c>
      <c r="G1494" s="2" t="s">
        <v>72</v>
      </c>
      <c r="H1494" s="3">
        <v>4</v>
      </c>
      <c r="I1494" s="6">
        <v>2004</v>
      </c>
      <c r="J1494" s="2" t="s">
        <v>15</v>
      </c>
      <c r="K1494" s="2" t="s">
        <v>66</v>
      </c>
      <c r="L1494" s="7">
        <f t="shared" si="69"/>
        <v>2028.48</v>
      </c>
      <c r="M1494" s="2" t="str">
        <f t="shared" si="70"/>
        <v>November</v>
      </c>
      <c r="N1494" s="6">
        <f t="shared" si="71"/>
        <v>2004</v>
      </c>
    </row>
    <row r="1495" spans="1:14">
      <c r="A1495" s="2" t="s">
        <v>183</v>
      </c>
      <c r="B1495" s="3">
        <v>10332</v>
      </c>
      <c r="C1495" s="3">
        <v>20</v>
      </c>
      <c r="D1495" s="13">
        <v>87.96</v>
      </c>
      <c r="E1495" s="5">
        <v>38308</v>
      </c>
      <c r="F1495" s="2" t="s">
        <v>13</v>
      </c>
      <c r="G1495" s="2" t="s">
        <v>72</v>
      </c>
      <c r="H1495" s="3">
        <v>4</v>
      </c>
      <c r="I1495" s="6">
        <v>2004</v>
      </c>
      <c r="J1495" s="2" t="s">
        <v>15</v>
      </c>
      <c r="K1495" s="2" t="s">
        <v>184</v>
      </c>
      <c r="L1495" s="7">
        <f t="shared" si="69"/>
        <v>1759.2</v>
      </c>
      <c r="M1495" s="2" t="str">
        <f t="shared" si="70"/>
        <v>November</v>
      </c>
      <c r="N1495" s="6">
        <f t="shared" si="71"/>
        <v>2004</v>
      </c>
    </row>
    <row r="1496" spans="1:14">
      <c r="A1496" s="2" t="s">
        <v>18</v>
      </c>
      <c r="B1496" s="3">
        <v>10343</v>
      </c>
      <c r="C1496" s="3">
        <v>27</v>
      </c>
      <c r="D1496" s="13">
        <v>36.21</v>
      </c>
      <c r="E1496" s="5">
        <v>38315</v>
      </c>
      <c r="F1496" s="2" t="s">
        <v>13</v>
      </c>
      <c r="G1496" s="2" t="s">
        <v>72</v>
      </c>
      <c r="H1496" s="3">
        <v>4</v>
      </c>
      <c r="I1496" s="6">
        <v>2004</v>
      </c>
      <c r="J1496" s="2" t="s">
        <v>15</v>
      </c>
      <c r="K1496" s="2" t="s">
        <v>19</v>
      </c>
      <c r="L1496" s="7">
        <f t="shared" si="69"/>
        <v>977.67</v>
      </c>
      <c r="M1496" s="2" t="str">
        <f t="shared" si="70"/>
        <v>November</v>
      </c>
      <c r="N1496" s="6">
        <f t="shared" si="71"/>
        <v>2004</v>
      </c>
    </row>
    <row r="1497" spans="1:14">
      <c r="A1497" s="2" t="s">
        <v>25</v>
      </c>
      <c r="B1497" s="3">
        <v>10367</v>
      </c>
      <c r="C1497" s="3">
        <v>38</v>
      </c>
      <c r="D1497" s="13">
        <v>38.5</v>
      </c>
      <c r="E1497" s="5">
        <v>38364</v>
      </c>
      <c r="F1497" s="2" t="s">
        <v>155</v>
      </c>
      <c r="G1497" s="2" t="s">
        <v>72</v>
      </c>
      <c r="H1497" s="3">
        <v>1</v>
      </c>
      <c r="I1497" s="6">
        <v>2005</v>
      </c>
      <c r="J1497" s="2" t="s">
        <v>15</v>
      </c>
      <c r="K1497" s="2" t="s">
        <v>26</v>
      </c>
      <c r="L1497" s="7">
        <f t="shared" si="69"/>
        <v>1463</v>
      </c>
      <c r="M1497" s="2" t="str">
        <f t="shared" si="70"/>
        <v>January</v>
      </c>
      <c r="N1497" s="6">
        <f t="shared" si="71"/>
        <v>2005</v>
      </c>
    </row>
    <row r="1498" spans="1:14">
      <c r="A1498" s="2" t="s">
        <v>69</v>
      </c>
      <c r="B1498" s="3">
        <v>10379</v>
      </c>
      <c r="C1498" s="3">
        <v>32</v>
      </c>
      <c r="D1498" s="13">
        <v>100</v>
      </c>
      <c r="E1498" s="5">
        <v>38393</v>
      </c>
      <c r="F1498" s="2" t="s">
        <v>13</v>
      </c>
      <c r="G1498" s="2" t="s">
        <v>72</v>
      </c>
      <c r="H1498" s="3">
        <v>1</v>
      </c>
      <c r="I1498" s="6">
        <v>2005</v>
      </c>
      <c r="J1498" s="2" t="s">
        <v>22</v>
      </c>
      <c r="K1498" s="2" t="s">
        <v>71</v>
      </c>
      <c r="L1498" s="7">
        <f t="shared" si="69"/>
        <v>3200</v>
      </c>
      <c r="M1498" s="2" t="str">
        <f t="shared" si="70"/>
        <v>February</v>
      </c>
      <c r="N1498" s="6">
        <f t="shared" si="71"/>
        <v>2005</v>
      </c>
    </row>
    <row r="1499" spans="1:14">
      <c r="A1499" s="2" t="s">
        <v>149</v>
      </c>
      <c r="B1499" s="3">
        <v>10407</v>
      </c>
      <c r="C1499" s="3">
        <v>64</v>
      </c>
      <c r="D1499" s="13">
        <v>40.25</v>
      </c>
      <c r="E1499" s="5">
        <v>38464</v>
      </c>
      <c r="F1499" s="2" t="s">
        <v>151</v>
      </c>
      <c r="G1499" s="2" t="s">
        <v>72</v>
      </c>
      <c r="H1499" s="3">
        <v>2</v>
      </c>
      <c r="I1499" s="6">
        <v>2005</v>
      </c>
      <c r="J1499" s="2" t="s">
        <v>15</v>
      </c>
      <c r="K1499" s="2" t="s">
        <v>150</v>
      </c>
      <c r="L1499" s="7">
        <f t="shared" si="69"/>
        <v>2576</v>
      </c>
      <c r="M1499" s="2" t="str">
        <f t="shared" si="70"/>
        <v>April</v>
      </c>
      <c r="N1499" s="6">
        <f t="shared" si="71"/>
        <v>2005</v>
      </c>
    </row>
    <row r="1500" spans="1:14">
      <c r="A1500" s="2" t="s">
        <v>63</v>
      </c>
      <c r="B1500" s="3">
        <v>10420</v>
      </c>
      <c r="C1500" s="3">
        <v>37</v>
      </c>
      <c r="D1500" s="13">
        <v>60.37</v>
      </c>
      <c r="E1500" s="5">
        <v>38501</v>
      </c>
      <c r="F1500" s="2" t="s">
        <v>113</v>
      </c>
      <c r="G1500" s="2" t="s">
        <v>72</v>
      </c>
      <c r="H1500" s="3">
        <v>2</v>
      </c>
      <c r="I1500" s="6">
        <v>2005</v>
      </c>
      <c r="J1500" s="2" t="s">
        <v>15</v>
      </c>
      <c r="K1500" s="2" t="s">
        <v>64</v>
      </c>
      <c r="L1500" s="7">
        <f t="shared" si="69"/>
        <v>2233.69</v>
      </c>
      <c r="M1500" s="2" t="str">
        <f t="shared" si="70"/>
        <v>May</v>
      </c>
      <c r="N1500" s="6">
        <f t="shared" si="71"/>
        <v>2005</v>
      </c>
    </row>
    <row r="1501" spans="1:14">
      <c r="A1501" s="2" t="s">
        <v>203</v>
      </c>
      <c r="B1501" s="3">
        <v>10106</v>
      </c>
      <c r="C1501" s="3">
        <v>28</v>
      </c>
      <c r="D1501" s="13">
        <v>88.63</v>
      </c>
      <c r="E1501" s="5">
        <v>37669</v>
      </c>
      <c r="F1501" s="2" t="s">
        <v>13</v>
      </c>
      <c r="G1501" s="2" t="s">
        <v>207</v>
      </c>
      <c r="H1501" s="3">
        <v>1</v>
      </c>
      <c r="I1501" s="6">
        <v>2003</v>
      </c>
      <c r="J1501" s="2" t="s">
        <v>15</v>
      </c>
      <c r="K1501" s="2" t="s">
        <v>204</v>
      </c>
      <c r="L1501" s="7">
        <f t="shared" si="69"/>
        <v>2481.64</v>
      </c>
      <c r="M1501" s="2" t="str">
        <f t="shared" si="70"/>
        <v>February</v>
      </c>
      <c r="N1501" s="6">
        <f t="shared" si="71"/>
        <v>2003</v>
      </c>
    </row>
    <row r="1502" spans="1:14">
      <c r="A1502" s="2" t="s">
        <v>42</v>
      </c>
      <c r="B1502" s="3">
        <v>10120</v>
      </c>
      <c r="C1502" s="3">
        <v>39</v>
      </c>
      <c r="D1502" s="13">
        <v>100</v>
      </c>
      <c r="E1502" s="5">
        <v>37740</v>
      </c>
      <c r="F1502" s="2" t="s">
        <v>13</v>
      </c>
      <c r="G1502" s="2" t="s">
        <v>207</v>
      </c>
      <c r="H1502" s="3">
        <v>2</v>
      </c>
      <c r="I1502" s="6">
        <v>2003</v>
      </c>
      <c r="J1502" s="2" t="s">
        <v>22</v>
      </c>
      <c r="K1502" s="2" t="s">
        <v>43</v>
      </c>
      <c r="L1502" s="7">
        <f t="shared" si="69"/>
        <v>3900</v>
      </c>
      <c r="M1502" s="2" t="str">
        <f t="shared" si="70"/>
        <v>April</v>
      </c>
      <c r="N1502" s="6">
        <f t="shared" si="71"/>
        <v>2003</v>
      </c>
    </row>
    <row r="1503" spans="1:14">
      <c r="A1503" s="2" t="s">
        <v>69</v>
      </c>
      <c r="B1503" s="3">
        <v>10133</v>
      </c>
      <c r="C1503" s="3">
        <v>41</v>
      </c>
      <c r="D1503" s="13">
        <v>94.1</v>
      </c>
      <c r="E1503" s="5">
        <v>37799</v>
      </c>
      <c r="F1503" s="2" t="s">
        <v>13</v>
      </c>
      <c r="G1503" s="2" t="s">
        <v>207</v>
      </c>
      <c r="H1503" s="3">
        <v>2</v>
      </c>
      <c r="I1503" s="6">
        <v>2003</v>
      </c>
      <c r="J1503" s="2" t="s">
        <v>22</v>
      </c>
      <c r="K1503" s="2" t="s">
        <v>71</v>
      </c>
      <c r="L1503" s="7">
        <f t="shared" si="69"/>
        <v>3858.1</v>
      </c>
      <c r="M1503" s="2" t="str">
        <f t="shared" si="70"/>
        <v>June</v>
      </c>
      <c r="N1503" s="6">
        <f t="shared" si="71"/>
        <v>2003</v>
      </c>
    </row>
    <row r="1504" spans="1:14">
      <c r="A1504" s="2" t="s">
        <v>25</v>
      </c>
      <c r="B1504" s="3">
        <v>10145</v>
      </c>
      <c r="C1504" s="3">
        <v>40</v>
      </c>
      <c r="D1504" s="13">
        <v>87.54</v>
      </c>
      <c r="E1504" s="5">
        <v>37858</v>
      </c>
      <c r="F1504" s="2" t="s">
        <v>13</v>
      </c>
      <c r="G1504" s="2" t="s">
        <v>207</v>
      </c>
      <c r="H1504" s="3">
        <v>3</v>
      </c>
      <c r="I1504" s="6">
        <v>2003</v>
      </c>
      <c r="J1504" s="2" t="s">
        <v>22</v>
      </c>
      <c r="K1504" s="2" t="s">
        <v>26</v>
      </c>
      <c r="L1504" s="7">
        <f t="shared" si="69"/>
        <v>3501.6</v>
      </c>
      <c r="M1504" s="2" t="str">
        <f t="shared" si="70"/>
        <v>August</v>
      </c>
      <c r="N1504" s="6">
        <f t="shared" si="71"/>
        <v>2003</v>
      </c>
    </row>
    <row r="1505" spans="1:14">
      <c r="A1505" s="2" t="s">
        <v>31</v>
      </c>
      <c r="B1505" s="3">
        <v>10168</v>
      </c>
      <c r="C1505" s="3">
        <v>49</v>
      </c>
      <c r="D1505" s="13">
        <v>100</v>
      </c>
      <c r="E1505" s="5">
        <v>37922</v>
      </c>
      <c r="F1505" s="2" t="s">
        <v>13</v>
      </c>
      <c r="G1505" s="2" t="s">
        <v>207</v>
      </c>
      <c r="H1505" s="3">
        <v>4</v>
      </c>
      <c r="I1505" s="6">
        <v>2003</v>
      </c>
      <c r="J1505" s="2" t="s">
        <v>22</v>
      </c>
      <c r="K1505" s="2" t="s">
        <v>32</v>
      </c>
      <c r="L1505" s="7">
        <f t="shared" si="69"/>
        <v>4900</v>
      </c>
      <c r="M1505" s="2" t="str">
        <f t="shared" si="70"/>
        <v>October</v>
      </c>
      <c r="N1505" s="6">
        <f t="shared" si="71"/>
        <v>2003</v>
      </c>
    </row>
    <row r="1506" spans="1:14">
      <c r="A1506" s="2" t="s">
        <v>114</v>
      </c>
      <c r="B1506" s="3">
        <v>10210</v>
      </c>
      <c r="C1506" s="3">
        <v>27</v>
      </c>
      <c r="D1506" s="13">
        <v>98.48</v>
      </c>
      <c r="E1506" s="5">
        <v>37998</v>
      </c>
      <c r="F1506" s="2" t="s">
        <v>13</v>
      </c>
      <c r="G1506" s="2" t="s">
        <v>207</v>
      </c>
      <c r="H1506" s="3">
        <v>1</v>
      </c>
      <c r="I1506" s="6">
        <v>2004</v>
      </c>
      <c r="J1506" s="2" t="s">
        <v>15</v>
      </c>
      <c r="K1506" s="2" t="s">
        <v>115</v>
      </c>
      <c r="L1506" s="7">
        <f t="shared" si="69"/>
        <v>2658.96</v>
      </c>
      <c r="M1506" s="2" t="str">
        <f t="shared" si="70"/>
        <v>January</v>
      </c>
      <c r="N1506" s="6">
        <f t="shared" si="71"/>
        <v>2004</v>
      </c>
    </row>
    <row r="1507" spans="1:14">
      <c r="A1507" s="2" t="s">
        <v>42</v>
      </c>
      <c r="B1507" s="3">
        <v>10223</v>
      </c>
      <c r="C1507" s="3">
        <v>34</v>
      </c>
      <c r="D1507" s="13">
        <v>100</v>
      </c>
      <c r="E1507" s="5">
        <v>38037</v>
      </c>
      <c r="F1507" s="2" t="s">
        <v>13</v>
      </c>
      <c r="G1507" s="2" t="s">
        <v>207</v>
      </c>
      <c r="H1507" s="3">
        <v>1</v>
      </c>
      <c r="I1507" s="6">
        <v>2004</v>
      </c>
      <c r="J1507" s="2" t="s">
        <v>22</v>
      </c>
      <c r="K1507" s="2" t="s">
        <v>43</v>
      </c>
      <c r="L1507" s="7">
        <f t="shared" si="69"/>
        <v>3400</v>
      </c>
      <c r="M1507" s="2" t="str">
        <f t="shared" si="70"/>
        <v>February</v>
      </c>
      <c r="N1507" s="6">
        <f t="shared" si="71"/>
        <v>2004</v>
      </c>
    </row>
    <row r="1508" spans="1:14">
      <c r="A1508" s="2" t="s">
        <v>141</v>
      </c>
      <c r="B1508" s="3">
        <v>10235</v>
      </c>
      <c r="C1508" s="3">
        <v>23</v>
      </c>
      <c r="D1508" s="13">
        <v>96.29</v>
      </c>
      <c r="E1508" s="5">
        <v>38079</v>
      </c>
      <c r="F1508" s="2" t="s">
        <v>13</v>
      </c>
      <c r="G1508" s="2" t="s">
        <v>207</v>
      </c>
      <c r="H1508" s="3">
        <v>2</v>
      </c>
      <c r="I1508" s="6">
        <v>2004</v>
      </c>
      <c r="J1508" s="2" t="s">
        <v>15</v>
      </c>
      <c r="K1508" s="2" t="s">
        <v>142</v>
      </c>
      <c r="L1508" s="7">
        <f t="shared" si="69"/>
        <v>2214.67</v>
      </c>
      <c r="M1508" s="2" t="str">
        <f t="shared" si="70"/>
        <v>April</v>
      </c>
      <c r="N1508" s="6">
        <f t="shared" si="71"/>
        <v>2004</v>
      </c>
    </row>
    <row r="1509" spans="1:14">
      <c r="A1509" s="2" t="s">
        <v>149</v>
      </c>
      <c r="B1509" s="3">
        <v>10250</v>
      </c>
      <c r="C1509" s="3">
        <v>31</v>
      </c>
      <c r="D1509" s="13">
        <v>88.63</v>
      </c>
      <c r="E1509" s="5">
        <v>38118</v>
      </c>
      <c r="F1509" s="2" t="s">
        <v>13</v>
      </c>
      <c r="G1509" s="2" t="s">
        <v>207</v>
      </c>
      <c r="H1509" s="3">
        <v>2</v>
      </c>
      <c r="I1509" s="6">
        <v>2004</v>
      </c>
      <c r="J1509" s="2" t="s">
        <v>15</v>
      </c>
      <c r="K1509" s="2" t="s">
        <v>150</v>
      </c>
      <c r="L1509" s="7">
        <f t="shared" si="69"/>
        <v>2747.53</v>
      </c>
      <c r="M1509" s="2" t="str">
        <f t="shared" si="70"/>
        <v>May</v>
      </c>
      <c r="N1509" s="6">
        <f t="shared" si="71"/>
        <v>2004</v>
      </c>
    </row>
    <row r="1510" spans="1:14">
      <c r="A1510" s="2" t="s">
        <v>69</v>
      </c>
      <c r="B1510" s="3">
        <v>10262</v>
      </c>
      <c r="C1510" s="3">
        <v>34</v>
      </c>
      <c r="D1510" s="13">
        <v>97.38</v>
      </c>
      <c r="E1510" s="5">
        <v>38162</v>
      </c>
      <c r="F1510" s="2" t="s">
        <v>128</v>
      </c>
      <c r="G1510" s="2" t="s">
        <v>207</v>
      </c>
      <c r="H1510" s="3">
        <v>2</v>
      </c>
      <c r="I1510" s="6">
        <v>2004</v>
      </c>
      <c r="J1510" s="2" t="s">
        <v>22</v>
      </c>
      <c r="K1510" s="2" t="s">
        <v>71</v>
      </c>
      <c r="L1510" s="7">
        <f t="shared" si="69"/>
        <v>3310.92</v>
      </c>
      <c r="M1510" s="2" t="str">
        <f t="shared" si="70"/>
        <v>June</v>
      </c>
      <c r="N1510" s="6">
        <f t="shared" si="71"/>
        <v>2004</v>
      </c>
    </row>
    <row r="1511" spans="1:14">
      <c r="A1511" s="2" t="s">
        <v>50</v>
      </c>
      <c r="B1511" s="3">
        <v>10275</v>
      </c>
      <c r="C1511" s="3">
        <v>25</v>
      </c>
      <c r="D1511" s="13">
        <v>95.2</v>
      </c>
      <c r="E1511" s="5">
        <v>38191</v>
      </c>
      <c r="F1511" s="2" t="s">
        <v>13</v>
      </c>
      <c r="G1511" s="2" t="s">
        <v>207</v>
      </c>
      <c r="H1511" s="3">
        <v>3</v>
      </c>
      <c r="I1511" s="6">
        <v>2004</v>
      </c>
      <c r="J1511" s="2" t="s">
        <v>15</v>
      </c>
      <c r="K1511" s="2" t="s">
        <v>51</v>
      </c>
      <c r="L1511" s="7">
        <f t="shared" si="69"/>
        <v>2380</v>
      </c>
      <c r="M1511" s="2" t="str">
        <f t="shared" si="70"/>
        <v>July</v>
      </c>
      <c r="N1511" s="6">
        <f t="shared" si="71"/>
        <v>2004</v>
      </c>
    </row>
    <row r="1512" spans="1:14">
      <c r="A1512" s="2" t="s">
        <v>200</v>
      </c>
      <c r="B1512" s="3">
        <v>10284</v>
      </c>
      <c r="C1512" s="3">
        <v>22</v>
      </c>
      <c r="D1512" s="13">
        <v>100</v>
      </c>
      <c r="E1512" s="5">
        <v>38220</v>
      </c>
      <c r="F1512" s="2" t="s">
        <v>13</v>
      </c>
      <c r="G1512" s="2" t="s">
        <v>207</v>
      </c>
      <c r="H1512" s="3">
        <v>3</v>
      </c>
      <c r="I1512" s="6">
        <v>2004</v>
      </c>
      <c r="J1512" s="2" t="s">
        <v>15</v>
      </c>
      <c r="K1512" s="2" t="s">
        <v>201</v>
      </c>
      <c r="L1512" s="7">
        <f t="shared" si="69"/>
        <v>2200</v>
      </c>
      <c r="M1512" s="2" t="str">
        <f t="shared" si="70"/>
        <v>August</v>
      </c>
      <c r="N1512" s="6">
        <f t="shared" si="71"/>
        <v>2004</v>
      </c>
    </row>
    <row r="1513" spans="1:14">
      <c r="A1513" s="2" t="s">
        <v>179</v>
      </c>
      <c r="B1513" s="3">
        <v>10297</v>
      </c>
      <c r="C1513" s="3">
        <v>32</v>
      </c>
      <c r="D1513" s="13">
        <v>100</v>
      </c>
      <c r="E1513" s="5">
        <v>38246</v>
      </c>
      <c r="F1513" s="2" t="s">
        <v>13</v>
      </c>
      <c r="G1513" s="2" t="s">
        <v>207</v>
      </c>
      <c r="H1513" s="3">
        <v>3</v>
      </c>
      <c r="I1513" s="6">
        <v>2004</v>
      </c>
      <c r="J1513" s="2" t="s">
        <v>22</v>
      </c>
      <c r="K1513" s="2" t="s">
        <v>180</v>
      </c>
      <c r="L1513" s="7">
        <f t="shared" si="69"/>
        <v>3200</v>
      </c>
      <c r="M1513" s="2" t="str">
        <f t="shared" si="70"/>
        <v>September</v>
      </c>
      <c r="N1513" s="6">
        <f t="shared" si="71"/>
        <v>2004</v>
      </c>
    </row>
    <row r="1514" spans="1:14">
      <c r="A1514" s="2" t="s">
        <v>120</v>
      </c>
      <c r="B1514" s="3">
        <v>10308</v>
      </c>
      <c r="C1514" s="3">
        <v>31</v>
      </c>
      <c r="D1514" s="13">
        <v>100</v>
      </c>
      <c r="E1514" s="5">
        <v>38275</v>
      </c>
      <c r="F1514" s="2" t="s">
        <v>13</v>
      </c>
      <c r="G1514" s="2" t="s">
        <v>207</v>
      </c>
      <c r="H1514" s="3">
        <v>4</v>
      </c>
      <c r="I1514" s="6">
        <v>2004</v>
      </c>
      <c r="J1514" s="2" t="s">
        <v>22</v>
      </c>
      <c r="K1514" s="2" t="s">
        <v>121</v>
      </c>
      <c r="L1514" s="7">
        <f t="shared" si="69"/>
        <v>3100</v>
      </c>
      <c r="M1514" s="2" t="str">
        <f t="shared" si="70"/>
        <v>October</v>
      </c>
      <c r="N1514" s="6">
        <f t="shared" si="71"/>
        <v>2004</v>
      </c>
    </row>
    <row r="1515" spans="1:14">
      <c r="A1515" s="2" t="s">
        <v>145</v>
      </c>
      <c r="B1515" s="3">
        <v>10316</v>
      </c>
      <c r="C1515" s="3">
        <v>25</v>
      </c>
      <c r="D1515" s="13">
        <v>100</v>
      </c>
      <c r="E1515" s="5">
        <v>38292</v>
      </c>
      <c r="F1515" s="2" t="s">
        <v>13</v>
      </c>
      <c r="G1515" s="2" t="s">
        <v>207</v>
      </c>
      <c r="H1515" s="3">
        <v>4</v>
      </c>
      <c r="I1515" s="6">
        <v>2004</v>
      </c>
      <c r="J1515" s="2" t="s">
        <v>15</v>
      </c>
      <c r="K1515" s="2" t="s">
        <v>146</v>
      </c>
      <c r="L1515" s="7">
        <f t="shared" si="69"/>
        <v>2500</v>
      </c>
      <c r="M1515" s="2" t="str">
        <f t="shared" si="70"/>
        <v>November</v>
      </c>
      <c r="N1515" s="6">
        <f t="shared" si="71"/>
        <v>2004</v>
      </c>
    </row>
    <row r="1516" spans="1:14">
      <c r="A1516" s="2" t="s">
        <v>203</v>
      </c>
      <c r="B1516" s="3">
        <v>10328</v>
      </c>
      <c r="C1516" s="3">
        <v>47</v>
      </c>
      <c r="D1516" s="13">
        <v>87.54</v>
      </c>
      <c r="E1516" s="5">
        <v>38303</v>
      </c>
      <c r="F1516" s="2" t="s">
        <v>13</v>
      </c>
      <c r="G1516" s="2" t="s">
        <v>207</v>
      </c>
      <c r="H1516" s="3">
        <v>4</v>
      </c>
      <c r="I1516" s="6">
        <v>2004</v>
      </c>
      <c r="J1516" s="2" t="s">
        <v>22</v>
      </c>
      <c r="K1516" s="2" t="s">
        <v>204</v>
      </c>
      <c r="L1516" s="7">
        <f t="shared" si="69"/>
        <v>4114.38</v>
      </c>
      <c r="M1516" s="2" t="str">
        <f t="shared" si="70"/>
        <v>November</v>
      </c>
      <c r="N1516" s="6">
        <f t="shared" si="71"/>
        <v>2004</v>
      </c>
    </row>
    <row r="1517" spans="1:14">
      <c r="A1517" s="2" t="s">
        <v>95</v>
      </c>
      <c r="B1517" s="3">
        <v>10339</v>
      </c>
      <c r="C1517" s="3">
        <v>21</v>
      </c>
      <c r="D1517" s="13">
        <v>50.65</v>
      </c>
      <c r="E1517" s="5">
        <v>38314</v>
      </c>
      <c r="F1517" s="2" t="s">
        <v>13</v>
      </c>
      <c r="G1517" s="2" t="s">
        <v>207</v>
      </c>
      <c r="H1517" s="3">
        <v>4</v>
      </c>
      <c r="I1517" s="6">
        <v>2004</v>
      </c>
      <c r="J1517" s="2" t="s">
        <v>15</v>
      </c>
      <c r="K1517" s="2" t="s">
        <v>96</v>
      </c>
      <c r="L1517" s="7">
        <f t="shared" si="69"/>
        <v>1063.65</v>
      </c>
      <c r="M1517" s="2" t="str">
        <f t="shared" si="70"/>
        <v>November</v>
      </c>
      <c r="N1517" s="6">
        <f t="shared" si="71"/>
        <v>2004</v>
      </c>
    </row>
    <row r="1518" spans="1:14">
      <c r="A1518" s="2" t="s">
        <v>208</v>
      </c>
      <c r="B1518" s="3">
        <v>10353</v>
      </c>
      <c r="C1518" s="3">
        <v>28</v>
      </c>
      <c r="D1518" s="13">
        <v>71.73</v>
      </c>
      <c r="E1518" s="5">
        <v>38325</v>
      </c>
      <c r="F1518" s="2" t="s">
        <v>13</v>
      </c>
      <c r="G1518" s="2" t="s">
        <v>207</v>
      </c>
      <c r="H1518" s="3">
        <v>4</v>
      </c>
      <c r="I1518" s="6">
        <v>2004</v>
      </c>
      <c r="J1518" s="2" t="s">
        <v>15</v>
      </c>
      <c r="K1518" s="2" t="s">
        <v>209</v>
      </c>
      <c r="L1518" s="7">
        <f t="shared" si="69"/>
        <v>2008.44</v>
      </c>
      <c r="M1518" s="2" t="str">
        <f t="shared" si="70"/>
        <v>December</v>
      </c>
      <c r="N1518" s="6">
        <f t="shared" si="71"/>
        <v>2004</v>
      </c>
    </row>
    <row r="1519" spans="1:14">
      <c r="A1519" s="2" t="s">
        <v>81</v>
      </c>
      <c r="B1519" s="3">
        <v>10374</v>
      </c>
      <c r="C1519" s="3">
        <v>46</v>
      </c>
      <c r="D1519" s="13">
        <v>94.1</v>
      </c>
      <c r="E1519" s="5">
        <v>38385</v>
      </c>
      <c r="F1519" s="2" t="s">
        <v>13</v>
      </c>
      <c r="G1519" s="2" t="s">
        <v>207</v>
      </c>
      <c r="H1519" s="3">
        <v>1</v>
      </c>
      <c r="I1519" s="6">
        <v>2005</v>
      </c>
      <c r="J1519" s="2" t="s">
        <v>22</v>
      </c>
      <c r="K1519" s="2" t="s">
        <v>82</v>
      </c>
      <c r="L1519" s="7">
        <f t="shared" si="69"/>
        <v>4328.6</v>
      </c>
      <c r="M1519" s="2" t="str">
        <f t="shared" si="70"/>
        <v>February</v>
      </c>
      <c r="N1519" s="6">
        <f t="shared" si="71"/>
        <v>2005</v>
      </c>
    </row>
    <row r="1520" spans="1:14">
      <c r="A1520" s="2" t="s">
        <v>69</v>
      </c>
      <c r="B1520" s="3">
        <v>10386</v>
      </c>
      <c r="C1520" s="3">
        <v>33</v>
      </c>
      <c r="D1520" s="13">
        <v>41.71</v>
      </c>
      <c r="E1520" s="5">
        <v>38412</v>
      </c>
      <c r="F1520" s="2" t="s">
        <v>155</v>
      </c>
      <c r="G1520" s="2" t="s">
        <v>207</v>
      </c>
      <c r="H1520" s="3">
        <v>1</v>
      </c>
      <c r="I1520" s="6">
        <v>2005</v>
      </c>
      <c r="J1520" s="2" t="s">
        <v>15</v>
      </c>
      <c r="K1520" s="2" t="s">
        <v>71</v>
      </c>
      <c r="L1520" s="7">
        <f t="shared" si="69"/>
        <v>1376.43</v>
      </c>
      <c r="M1520" s="2" t="str">
        <f t="shared" si="70"/>
        <v>March</v>
      </c>
      <c r="N1520" s="6">
        <f t="shared" si="71"/>
        <v>2005</v>
      </c>
    </row>
    <row r="1521" spans="1:14">
      <c r="A1521" s="2" t="s">
        <v>18</v>
      </c>
      <c r="B1521" s="3">
        <v>10398</v>
      </c>
      <c r="C1521" s="3">
        <v>43</v>
      </c>
      <c r="D1521" s="13">
        <v>100</v>
      </c>
      <c r="E1521" s="5">
        <v>38441</v>
      </c>
      <c r="F1521" s="2" t="s">
        <v>13</v>
      </c>
      <c r="G1521" s="2" t="s">
        <v>207</v>
      </c>
      <c r="H1521" s="3">
        <v>1</v>
      </c>
      <c r="I1521" s="6">
        <v>2005</v>
      </c>
      <c r="J1521" s="2" t="s">
        <v>22</v>
      </c>
      <c r="K1521" s="2" t="s">
        <v>19</v>
      </c>
      <c r="L1521" s="7">
        <f t="shared" si="69"/>
        <v>4300</v>
      </c>
      <c r="M1521" s="2" t="str">
        <f t="shared" si="70"/>
        <v>March</v>
      </c>
      <c r="N1521" s="6">
        <f t="shared" si="71"/>
        <v>2005</v>
      </c>
    </row>
    <row r="1522" spans="1:14">
      <c r="A1522" s="2" t="s">
        <v>46</v>
      </c>
      <c r="B1522" s="3">
        <v>10401</v>
      </c>
      <c r="C1522" s="3">
        <v>38</v>
      </c>
      <c r="D1522" s="13">
        <v>96.29</v>
      </c>
      <c r="E1522" s="5">
        <v>38445</v>
      </c>
      <c r="F1522" s="2" t="s">
        <v>151</v>
      </c>
      <c r="G1522" s="2" t="s">
        <v>207</v>
      </c>
      <c r="H1522" s="3">
        <v>2</v>
      </c>
      <c r="I1522" s="6">
        <v>2005</v>
      </c>
      <c r="J1522" s="2" t="s">
        <v>22</v>
      </c>
      <c r="K1522" s="2" t="s">
        <v>47</v>
      </c>
      <c r="L1522" s="7">
        <f t="shared" si="69"/>
        <v>3659.02</v>
      </c>
      <c r="M1522" s="2" t="str">
        <f t="shared" si="70"/>
        <v>April</v>
      </c>
      <c r="N1522" s="6">
        <f t="shared" si="71"/>
        <v>2005</v>
      </c>
    </row>
    <row r="1523" spans="1:14">
      <c r="A1523" s="2" t="s">
        <v>169</v>
      </c>
      <c r="B1523" s="3">
        <v>10416</v>
      </c>
      <c r="C1523" s="3">
        <v>47</v>
      </c>
      <c r="D1523" s="13">
        <v>88.63</v>
      </c>
      <c r="E1523" s="5">
        <v>38482</v>
      </c>
      <c r="F1523" s="2" t="s">
        <v>13</v>
      </c>
      <c r="G1523" s="2" t="s">
        <v>207</v>
      </c>
      <c r="H1523" s="3">
        <v>2</v>
      </c>
      <c r="I1523" s="6">
        <v>2005</v>
      </c>
      <c r="J1523" s="2" t="s">
        <v>22</v>
      </c>
      <c r="K1523" s="2" t="s">
        <v>170</v>
      </c>
      <c r="L1523" s="7">
        <f t="shared" si="69"/>
        <v>4165.61</v>
      </c>
      <c r="M1523" s="2" t="str">
        <f t="shared" si="70"/>
        <v>May</v>
      </c>
      <c r="N1523" s="6">
        <f t="shared" si="71"/>
        <v>2005</v>
      </c>
    </row>
    <row r="1524" spans="1:14">
      <c r="A1524" s="2" t="s">
        <v>173</v>
      </c>
      <c r="B1524" s="3">
        <v>10101</v>
      </c>
      <c r="C1524" s="3">
        <v>45</v>
      </c>
      <c r="D1524" s="13">
        <v>31.2</v>
      </c>
      <c r="E1524" s="5">
        <v>37630</v>
      </c>
      <c r="F1524" s="2" t="s">
        <v>13</v>
      </c>
      <c r="G1524" s="2" t="s">
        <v>202</v>
      </c>
      <c r="H1524" s="3">
        <v>1</v>
      </c>
      <c r="I1524" s="6">
        <v>2003</v>
      </c>
      <c r="J1524" s="2" t="s">
        <v>15</v>
      </c>
      <c r="K1524" s="2" t="s">
        <v>174</v>
      </c>
      <c r="L1524" s="7">
        <f t="shared" si="69"/>
        <v>1404</v>
      </c>
      <c r="M1524" s="2" t="str">
        <f t="shared" si="70"/>
        <v>January</v>
      </c>
      <c r="N1524" s="6">
        <f t="shared" si="71"/>
        <v>2003</v>
      </c>
    </row>
    <row r="1525" spans="1:14">
      <c r="A1525" s="2" t="s">
        <v>183</v>
      </c>
      <c r="B1525" s="3">
        <v>10110</v>
      </c>
      <c r="C1525" s="3">
        <v>20</v>
      </c>
      <c r="D1525" s="13">
        <v>35.51</v>
      </c>
      <c r="E1525" s="5">
        <v>37698</v>
      </c>
      <c r="F1525" s="2" t="s">
        <v>13</v>
      </c>
      <c r="G1525" s="2" t="s">
        <v>202</v>
      </c>
      <c r="H1525" s="3">
        <v>1</v>
      </c>
      <c r="I1525" s="6">
        <v>2003</v>
      </c>
      <c r="J1525" s="2" t="s">
        <v>15</v>
      </c>
      <c r="K1525" s="2" t="s">
        <v>184</v>
      </c>
      <c r="L1525" s="7">
        <f t="shared" si="69"/>
        <v>710.2</v>
      </c>
      <c r="M1525" s="2" t="str">
        <f t="shared" si="70"/>
        <v>March</v>
      </c>
      <c r="N1525" s="6">
        <f t="shared" si="71"/>
        <v>2003</v>
      </c>
    </row>
    <row r="1526" spans="1:14">
      <c r="A1526" s="2" t="s">
        <v>198</v>
      </c>
      <c r="B1526" s="3">
        <v>10124</v>
      </c>
      <c r="C1526" s="3">
        <v>45</v>
      </c>
      <c r="D1526" s="13">
        <v>37.84</v>
      </c>
      <c r="E1526" s="5">
        <v>37762</v>
      </c>
      <c r="F1526" s="2" t="s">
        <v>13</v>
      </c>
      <c r="G1526" s="2" t="s">
        <v>202</v>
      </c>
      <c r="H1526" s="3">
        <v>2</v>
      </c>
      <c r="I1526" s="6">
        <v>2003</v>
      </c>
      <c r="J1526" s="2" t="s">
        <v>15</v>
      </c>
      <c r="K1526" s="2" t="s">
        <v>199</v>
      </c>
      <c r="L1526" s="7">
        <f t="shared" si="69"/>
        <v>1702.8</v>
      </c>
      <c r="M1526" s="2" t="str">
        <f t="shared" si="70"/>
        <v>May</v>
      </c>
      <c r="N1526" s="6">
        <f t="shared" si="71"/>
        <v>2003</v>
      </c>
    </row>
    <row r="1527" spans="1:14">
      <c r="A1527" s="2" t="s">
        <v>194</v>
      </c>
      <c r="B1527" s="3">
        <v>10149</v>
      </c>
      <c r="C1527" s="3">
        <v>36</v>
      </c>
      <c r="D1527" s="13">
        <v>33.19</v>
      </c>
      <c r="E1527" s="5">
        <v>37876</v>
      </c>
      <c r="F1527" s="2" t="s">
        <v>13</v>
      </c>
      <c r="G1527" s="2" t="s">
        <v>202</v>
      </c>
      <c r="H1527" s="3">
        <v>3</v>
      </c>
      <c r="I1527" s="6">
        <v>2003</v>
      </c>
      <c r="J1527" s="2" t="s">
        <v>15</v>
      </c>
      <c r="K1527" s="2" t="s">
        <v>195</v>
      </c>
      <c r="L1527" s="7">
        <f t="shared" si="69"/>
        <v>1194.84</v>
      </c>
      <c r="M1527" s="2" t="str">
        <f t="shared" si="70"/>
        <v>September</v>
      </c>
      <c r="N1527" s="6">
        <f t="shared" si="71"/>
        <v>2003</v>
      </c>
    </row>
    <row r="1528" spans="1:14">
      <c r="A1528" s="2" t="s">
        <v>28</v>
      </c>
      <c r="B1528" s="3">
        <v>10162</v>
      </c>
      <c r="C1528" s="3">
        <v>37</v>
      </c>
      <c r="D1528" s="13">
        <v>27.22</v>
      </c>
      <c r="E1528" s="5">
        <v>37912</v>
      </c>
      <c r="F1528" s="2" t="s">
        <v>13</v>
      </c>
      <c r="G1528" s="2" t="s">
        <v>202</v>
      </c>
      <c r="H1528" s="3">
        <v>4</v>
      </c>
      <c r="I1528" s="6">
        <v>2003</v>
      </c>
      <c r="J1528" s="2" t="s">
        <v>15</v>
      </c>
      <c r="K1528" s="2" t="s">
        <v>29</v>
      </c>
      <c r="L1528" s="7">
        <f t="shared" si="69"/>
        <v>1007.14</v>
      </c>
      <c r="M1528" s="2" t="str">
        <f t="shared" si="70"/>
        <v>October</v>
      </c>
      <c r="N1528" s="6">
        <f t="shared" si="71"/>
        <v>2003</v>
      </c>
    </row>
    <row r="1529" spans="1:14">
      <c r="A1529" s="2" t="s">
        <v>203</v>
      </c>
      <c r="B1529" s="3">
        <v>10173</v>
      </c>
      <c r="C1529" s="3">
        <v>31</v>
      </c>
      <c r="D1529" s="13">
        <v>31.53</v>
      </c>
      <c r="E1529" s="5">
        <v>37930</v>
      </c>
      <c r="F1529" s="2" t="s">
        <v>13</v>
      </c>
      <c r="G1529" s="2" t="s">
        <v>202</v>
      </c>
      <c r="H1529" s="3">
        <v>4</v>
      </c>
      <c r="I1529" s="6">
        <v>2003</v>
      </c>
      <c r="J1529" s="2" t="s">
        <v>15</v>
      </c>
      <c r="K1529" s="2" t="s">
        <v>204</v>
      </c>
      <c r="L1529" s="7">
        <f t="shared" si="69"/>
        <v>977.43</v>
      </c>
      <c r="M1529" s="2" t="str">
        <f t="shared" si="70"/>
        <v>November</v>
      </c>
      <c r="N1529" s="6">
        <f t="shared" si="71"/>
        <v>2003</v>
      </c>
    </row>
    <row r="1530" spans="1:14">
      <c r="A1530" s="2" t="s">
        <v>103</v>
      </c>
      <c r="B1530" s="3">
        <v>10182</v>
      </c>
      <c r="C1530" s="3">
        <v>39</v>
      </c>
      <c r="D1530" s="13">
        <v>36.84</v>
      </c>
      <c r="E1530" s="5">
        <v>37937</v>
      </c>
      <c r="F1530" s="2" t="s">
        <v>13</v>
      </c>
      <c r="G1530" s="2" t="s">
        <v>202</v>
      </c>
      <c r="H1530" s="3">
        <v>4</v>
      </c>
      <c r="I1530" s="6">
        <v>2003</v>
      </c>
      <c r="J1530" s="2" t="s">
        <v>15</v>
      </c>
      <c r="K1530" s="2" t="s">
        <v>104</v>
      </c>
      <c r="L1530" s="7">
        <f t="shared" si="69"/>
        <v>1436.76</v>
      </c>
      <c r="M1530" s="2" t="str">
        <f t="shared" si="70"/>
        <v>November</v>
      </c>
      <c r="N1530" s="6">
        <f t="shared" si="71"/>
        <v>2003</v>
      </c>
    </row>
    <row r="1531" spans="1:14">
      <c r="A1531" s="2" t="s">
        <v>205</v>
      </c>
      <c r="B1531" s="3">
        <v>10193</v>
      </c>
      <c r="C1531" s="3">
        <v>26</v>
      </c>
      <c r="D1531" s="13">
        <v>29.21</v>
      </c>
      <c r="E1531" s="5">
        <v>37946</v>
      </c>
      <c r="F1531" s="2" t="s">
        <v>13</v>
      </c>
      <c r="G1531" s="2" t="s">
        <v>202</v>
      </c>
      <c r="H1531" s="3">
        <v>4</v>
      </c>
      <c r="I1531" s="6">
        <v>2003</v>
      </c>
      <c r="J1531" s="2" t="s">
        <v>15</v>
      </c>
      <c r="K1531" s="2" t="s">
        <v>206</v>
      </c>
      <c r="L1531" s="7">
        <f t="shared" si="69"/>
        <v>759.46</v>
      </c>
      <c r="M1531" s="2" t="str">
        <f t="shared" si="70"/>
        <v>November</v>
      </c>
      <c r="N1531" s="6">
        <f t="shared" si="71"/>
        <v>2003</v>
      </c>
    </row>
    <row r="1532" spans="1:14">
      <c r="A1532" s="2" t="s">
        <v>69</v>
      </c>
      <c r="B1532" s="3">
        <v>10205</v>
      </c>
      <c r="C1532" s="3">
        <v>32</v>
      </c>
      <c r="D1532" s="13">
        <v>37.17</v>
      </c>
      <c r="E1532" s="5">
        <v>37958</v>
      </c>
      <c r="F1532" s="2" t="s">
        <v>13</v>
      </c>
      <c r="G1532" s="2" t="s">
        <v>202</v>
      </c>
      <c r="H1532" s="3">
        <v>4</v>
      </c>
      <c r="I1532" s="6">
        <v>2003</v>
      </c>
      <c r="J1532" s="2" t="s">
        <v>15</v>
      </c>
      <c r="K1532" s="2" t="s">
        <v>71</v>
      </c>
      <c r="L1532" s="7">
        <f t="shared" si="69"/>
        <v>1189.44</v>
      </c>
      <c r="M1532" s="2" t="str">
        <f t="shared" si="70"/>
        <v>December</v>
      </c>
      <c r="N1532" s="6">
        <f t="shared" si="71"/>
        <v>2003</v>
      </c>
    </row>
    <row r="1533" spans="1:14">
      <c r="A1533" s="2" t="s">
        <v>75</v>
      </c>
      <c r="B1533" s="3">
        <v>10214</v>
      </c>
      <c r="C1533" s="3">
        <v>20</v>
      </c>
      <c r="D1533" s="13">
        <v>34.19</v>
      </c>
      <c r="E1533" s="5">
        <v>38012</v>
      </c>
      <c r="F1533" s="2" t="s">
        <v>13</v>
      </c>
      <c r="G1533" s="2" t="s">
        <v>202</v>
      </c>
      <c r="H1533" s="3">
        <v>1</v>
      </c>
      <c r="I1533" s="6">
        <v>2004</v>
      </c>
      <c r="J1533" s="2" t="s">
        <v>15</v>
      </c>
      <c r="K1533" s="2" t="s">
        <v>76</v>
      </c>
      <c r="L1533" s="7">
        <f t="shared" si="69"/>
        <v>683.8</v>
      </c>
      <c r="M1533" s="2" t="str">
        <f t="shared" si="70"/>
        <v>January</v>
      </c>
      <c r="N1533" s="6">
        <f t="shared" si="71"/>
        <v>2004</v>
      </c>
    </row>
    <row r="1534" spans="1:14">
      <c r="A1534" s="2" t="s">
        <v>85</v>
      </c>
      <c r="B1534" s="3">
        <v>10227</v>
      </c>
      <c r="C1534" s="3">
        <v>42</v>
      </c>
      <c r="D1534" s="13">
        <v>29.21</v>
      </c>
      <c r="E1534" s="5">
        <v>38048</v>
      </c>
      <c r="F1534" s="2" t="s">
        <v>13</v>
      </c>
      <c r="G1534" s="2" t="s">
        <v>202</v>
      </c>
      <c r="H1534" s="3">
        <v>1</v>
      </c>
      <c r="I1534" s="6">
        <v>2004</v>
      </c>
      <c r="J1534" s="2" t="s">
        <v>15</v>
      </c>
      <c r="K1534" s="2" t="s">
        <v>86</v>
      </c>
      <c r="L1534" s="7">
        <f t="shared" si="69"/>
        <v>1226.82</v>
      </c>
      <c r="M1534" s="2" t="str">
        <f t="shared" si="70"/>
        <v>March</v>
      </c>
      <c r="N1534" s="6">
        <f t="shared" si="71"/>
        <v>2004</v>
      </c>
    </row>
    <row r="1535" spans="1:14">
      <c r="A1535" s="2" t="s">
        <v>157</v>
      </c>
      <c r="B1535" s="3">
        <v>10243</v>
      </c>
      <c r="C1535" s="3">
        <v>33</v>
      </c>
      <c r="D1535" s="13">
        <v>29.54</v>
      </c>
      <c r="E1535" s="5">
        <v>38103</v>
      </c>
      <c r="F1535" s="2" t="s">
        <v>13</v>
      </c>
      <c r="G1535" s="2" t="s">
        <v>202</v>
      </c>
      <c r="H1535" s="3">
        <v>2</v>
      </c>
      <c r="I1535" s="6">
        <v>2004</v>
      </c>
      <c r="J1535" s="2" t="s">
        <v>15</v>
      </c>
      <c r="K1535" s="2" t="s">
        <v>158</v>
      </c>
      <c r="L1535" s="7">
        <f t="shared" si="69"/>
        <v>974.82</v>
      </c>
      <c r="M1535" s="2" t="str">
        <f t="shared" si="70"/>
        <v>April</v>
      </c>
      <c r="N1535" s="6">
        <f t="shared" si="71"/>
        <v>2004</v>
      </c>
    </row>
    <row r="1536" spans="1:14">
      <c r="A1536" s="2" t="s">
        <v>97</v>
      </c>
      <c r="B1536" s="3">
        <v>10280</v>
      </c>
      <c r="C1536" s="3">
        <v>20</v>
      </c>
      <c r="D1536" s="13">
        <v>28.88</v>
      </c>
      <c r="E1536" s="5">
        <v>38216</v>
      </c>
      <c r="F1536" s="2" t="s">
        <v>13</v>
      </c>
      <c r="G1536" s="2" t="s">
        <v>202</v>
      </c>
      <c r="H1536" s="3">
        <v>3</v>
      </c>
      <c r="I1536" s="6">
        <v>2004</v>
      </c>
      <c r="J1536" s="2" t="s">
        <v>15</v>
      </c>
      <c r="K1536" s="2" t="s">
        <v>98</v>
      </c>
      <c r="L1536" s="7">
        <f t="shared" si="69"/>
        <v>577.6</v>
      </c>
      <c r="M1536" s="2" t="str">
        <f t="shared" si="70"/>
        <v>August</v>
      </c>
      <c r="N1536" s="6">
        <f t="shared" si="71"/>
        <v>2004</v>
      </c>
    </row>
    <row r="1537" spans="1:14">
      <c r="A1537" s="2" t="s">
        <v>159</v>
      </c>
      <c r="B1537" s="3">
        <v>10288</v>
      </c>
      <c r="C1537" s="3">
        <v>29</v>
      </c>
      <c r="D1537" s="13">
        <v>38.17</v>
      </c>
      <c r="E1537" s="5">
        <v>38231</v>
      </c>
      <c r="F1537" s="2" t="s">
        <v>13</v>
      </c>
      <c r="G1537" s="2" t="s">
        <v>202</v>
      </c>
      <c r="H1537" s="3">
        <v>3</v>
      </c>
      <c r="I1537" s="6">
        <v>2004</v>
      </c>
      <c r="J1537" s="2" t="s">
        <v>15</v>
      </c>
      <c r="K1537" s="2" t="s">
        <v>160</v>
      </c>
      <c r="L1537" s="7">
        <f t="shared" si="69"/>
        <v>1106.93</v>
      </c>
      <c r="M1537" s="2" t="str">
        <f t="shared" si="70"/>
        <v>September</v>
      </c>
      <c r="N1537" s="6">
        <f t="shared" si="71"/>
        <v>2004</v>
      </c>
    </row>
    <row r="1538" spans="1:14">
      <c r="A1538" s="2" t="s">
        <v>101</v>
      </c>
      <c r="B1538" s="3">
        <v>10304</v>
      </c>
      <c r="C1538" s="3">
        <v>23</v>
      </c>
      <c r="D1538" s="13">
        <v>30.2</v>
      </c>
      <c r="E1538" s="5">
        <v>38271</v>
      </c>
      <c r="F1538" s="2" t="s">
        <v>13</v>
      </c>
      <c r="G1538" s="2" t="s">
        <v>202</v>
      </c>
      <c r="H1538" s="3">
        <v>4</v>
      </c>
      <c r="I1538" s="6">
        <v>2004</v>
      </c>
      <c r="J1538" s="2" t="s">
        <v>15</v>
      </c>
      <c r="K1538" s="2" t="s">
        <v>102</v>
      </c>
      <c r="L1538" s="7">
        <f t="shared" ref="L1538:L1601" si="72">PRODUCT(C1538,D1538)</f>
        <v>694.6</v>
      </c>
      <c r="M1538" s="2" t="str">
        <f t="shared" ref="M1538:M1601" si="73">TEXT(E1538,"MMMM")</f>
        <v>October</v>
      </c>
      <c r="N1538" s="6">
        <f t="shared" ref="N1538:N1601" si="74">YEAR(E1538)</f>
        <v>2004</v>
      </c>
    </row>
    <row r="1539" spans="1:14">
      <c r="A1539" s="2" t="s">
        <v>103</v>
      </c>
      <c r="B1539" s="3">
        <v>10312</v>
      </c>
      <c r="C1539" s="3">
        <v>39</v>
      </c>
      <c r="D1539" s="13">
        <v>29.54</v>
      </c>
      <c r="E1539" s="5">
        <v>38281</v>
      </c>
      <c r="F1539" s="2" t="s">
        <v>13</v>
      </c>
      <c r="G1539" s="2" t="s">
        <v>202</v>
      </c>
      <c r="H1539" s="3">
        <v>4</v>
      </c>
      <c r="I1539" s="6">
        <v>2004</v>
      </c>
      <c r="J1539" s="2" t="s">
        <v>15</v>
      </c>
      <c r="K1539" s="2" t="s">
        <v>104</v>
      </c>
      <c r="L1539" s="7">
        <f t="shared" si="72"/>
        <v>1152.06</v>
      </c>
      <c r="M1539" s="2" t="str">
        <f t="shared" si="73"/>
        <v>October</v>
      </c>
      <c r="N1539" s="6">
        <f t="shared" si="74"/>
        <v>2004</v>
      </c>
    </row>
    <row r="1540" spans="1:14">
      <c r="A1540" s="2" t="s">
        <v>105</v>
      </c>
      <c r="B1540" s="3">
        <v>10322</v>
      </c>
      <c r="C1540" s="3">
        <v>20</v>
      </c>
      <c r="D1540" s="13">
        <v>100</v>
      </c>
      <c r="E1540" s="5">
        <v>38295</v>
      </c>
      <c r="F1540" s="2" t="s">
        <v>13</v>
      </c>
      <c r="G1540" s="2" t="s">
        <v>202</v>
      </c>
      <c r="H1540" s="3">
        <v>4</v>
      </c>
      <c r="I1540" s="6">
        <v>2004</v>
      </c>
      <c r="J1540" s="2" t="s">
        <v>15</v>
      </c>
      <c r="K1540" s="2" t="s">
        <v>106</v>
      </c>
      <c r="L1540" s="7">
        <f t="shared" si="72"/>
        <v>2000</v>
      </c>
      <c r="M1540" s="2" t="str">
        <f t="shared" si="73"/>
        <v>November</v>
      </c>
      <c r="N1540" s="6">
        <f t="shared" si="74"/>
        <v>2004</v>
      </c>
    </row>
    <row r="1541" spans="1:14">
      <c r="A1541" s="2" t="s">
        <v>183</v>
      </c>
      <c r="B1541" s="3">
        <v>10332</v>
      </c>
      <c r="C1541" s="3">
        <v>45</v>
      </c>
      <c r="D1541" s="13">
        <v>81.91</v>
      </c>
      <c r="E1541" s="5">
        <v>38308</v>
      </c>
      <c r="F1541" s="2" t="s">
        <v>13</v>
      </c>
      <c r="G1541" s="2" t="s">
        <v>202</v>
      </c>
      <c r="H1541" s="3">
        <v>4</v>
      </c>
      <c r="I1541" s="6">
        <v>2004</v>
      </c>
      <c r="J1541" s="2" t="s">
        <v>22</v>
      </c>
      <c r="K1541" s="2" t="s">
        <v>184</v>
      </c>
      <c r="L1541" s="7">
        <f t="shared" si="72"/>
        <v>3685.95</v>
      </c>
      <c r="M1541" s="2" t="str">
        <f t="shared" si="73"/>
        <v>November</v>
      </c>
      <c r="N1541" s="6">
        <f t="shared" si="74"/>
        <v>2004</v>
      </c>
    </row>
    <row r="1542" spans="1:14">
      <c r="A1542" s="2" t="s">
        <v>163</v>
      </c>
      <c r="B1542" s="3">
        <v>10344</v>
      </c>
      <c r="C1542" s="3">
        <v>20</v>
      </c>
      <c r="D1542" s="13">
        <v>35.18</v>
      </c>
      <c r="E1542" s="5">
        <v>38316</v>
      </c>
      <c r="F1542" s="2" t="s">
        <v>13</v>
      </c>
      <c r="G1542" s="2" t="s">
        <v>202</v>
      </c>
      <c r="H1542" s="3">
        <v>4</v>
      </c>
      <c r="I1542" s="6">
        <v>2004</v>
      </c>
      <c r="J1542" s="2" t="s">
        <v>15</v>
      </c>
      <c r="K1542" s="2" t="s">
        <v>164</v>
      </c>
      <c r="L1542" s="7">
        <f t="shared" si="72"/>
        <v>703.6</v>
      </c>
      <c r="M1542" s="2" t="str">
        <f t="shared" si="73"/>
        <v>November</v>
      </c>
      <c r="N1542" s="6">
        <f t="shared" si="74"/>
        <v>2004</v>
      </c>
    </row>
    <row r="1543" spans="1:14">
      <c r="A1543" s="2" t="s">
        <v>21</v>
      </c>
      <c r="B1543" s="3">
        <v>10356</v>
      </c>
      <c r="C1543" s="3">
        <v>48</v>
      </c>
      <c r="D1543" s="13">
        <v>100</v>
      </c>
      <c r="E1543" s="5">
        <v>38330</v>
      </c>
      <c r="F1543" s="2" t="s">
        <v>13</v>
      </c>
      <c r="G1543" s="2" t="s">
        <v>202</v>
      </c>
      <c r="H1543" s="3">
        <v>4</v>
      </c>
      <c r="I1543" s="6">
        <v>2004</v>
      </c>
      <c r="J1543" s="2" t="s">
        <v>61</v>
      </c>
      <c r="K1543" s="2" t="s">
        <v>23</v>
      </c>
      <c r="L1543" s="7">
        <f t="shared" si="72"/>
        <v>4800</v>
      </c>
      <c r="M1543" s="2" t="str">
        <f t="shared" si="73"/>
        <v>December</v>
      </c>
      <c r="N1543" s="6">
        <f t="shared" si="74"/>
        <v>2004</v>
      </c>
    </row>
    <row r="1544" spans="1:14">
      <c r="A1544" s="2" t="s">
        <v>25</v>
      </c>
      <c r="B1544" s="3">
        <v>10367</v>
      </c>
      <c r="C1544" s="3">
        <v>23</v>
      </c>
      <c r="D1544" s="13">
        <v>36.29</v>
      </c>
      <c r="E1544" s="5">
        <v>38364</v>
      </c>
      <c r="F1544" s="2" t="s">
        <v>155</v>
      </c>
      <c r="G1544" s="2" t="s">
        <v>202</v>
      </c>
      <c r="H1544" s="3">
        <v>1</v>
      </c>
      <c r="I1544" s="6">
        <v>2005</v>
      </c>
      <c r="J1544" s="2" t="s">
        <v>15</v>
      </c>
      <c r="K1544" s="2" t="s">
        <v>26</v>
      </c>
      <c r="L1544" s="7">
        <f t="shared" si="72"/>
        <v>834.67</v>
      </c>
      <c r="M1544" s="2" t="str">
        <f t="shared" si="73"/>
        <v>January</v>
      </c>
      <c r="N1544" s="6">
        <f t="shared" si="74"/>
        <v>2005</v>
      </c>
    </row>
    <row r="1545" spans="1:14">
      <c r="A1545" s="2" t="s">
        <v>69</v>
      </c>
      <c r="B1545" s="3">
        <v>10380</v>
      </c>
      <c r="C1545" s="3">
        <v>32</v>
      </c>
      <c r="D1545" s="13">
        <v>70.56</v>
      </c>
      <c r="E1545" s="5">
        <v>38399</v>
      </c>
      <c r="F1545" s="2" t="s">
        <v>13</v>
      </c>
      <c r="G1545" s="2" t="s">
        <v>202</v>
      </c>
      <c r="H1545" s="3">
        <v>1</v>
      </c>
      <c r="I1545" s="6">
        <v>2005</v>
      </c>
      <c r="J1545" s="2" t="s">
        <v>15</v>
      </c>
      <c r="K1545" s="2" t="s">
        <v>71</v>
      </c>
      <c r="L1545" s="7">
        <f t="shared" si="72"/>
        <v>2257.92</v>
      </c>
      <c r="M1545" s="2" t="str">
        <f t="shared" si="73"/>
        <v>February</v>
      </c>
      <c r="N1545" s="6">
        <f t="shared" si="74"/>
        <v>2005</v>
      </c>
    </row>
    <row r="1546" spans="1:14">
      <c r="A1546" s="2" t="s">
        <v>109</v>
      </c>
      <c r="B1546" s="3">
        <v>10391</v>
      </c>
      <c r="C1546" s="3">
        <v>33</v>
      </c>
      <c r="D1546" s="13">
        <v>100</v>
      </c>
      <c r="E1546" s="5">
        <v>38420</v>
      </c>
      <c r="F1546" s="2" t="s">
        <v>13</v>
      </c>
      <c r="G1546" s="2" t="s">
        <v>202</v>
      </c>
      <c r="H1546" s="3">
        <v>1</v>
      </c>
      <c r="I1546" s="6">
        <v>2005</v>
      </c>
      <c r="J1546" s="2" t="s">
        <v>61</v>
      </c>
      <c r="K1546" s="2" t="s">
        <v>110</v>
      </c>
      <c r="L1546" s="7">
        <f t="shared" si="72"/>
        <v>3300</v>
      </c>
      <c r="M1546" s="2" t="str">
        <f t="shared" si="73"/>
        <v>March</v>
      </c>
      <c r="N1546" s="6">
        <f t="shared" si="74"/>
        <v>2005</v>
      </c>
    </row>
    <row r="1547" spans="1:14">
      <c r="A1547" s="2" t="s">
        <v>159</v>
      </c>
      <c r="B1547" s="3">
        <v>10409</v>
      </c>
      <c r="C1547" s="3">
        <v>61</v>
      </c>
      <c r="D1547" s="13">
        <v>29.54</v>
      </c>
      <c r="E1547" s="5">
        <v>38465</v>
      </c>
      <c r="F1547" s="2" t="s">
        <v>13</v>
      </c>
      <c r="G1547" s="2" t="s">
        <v>202</v>
      </c>
      <c r="H1547" s="3">
        <v>2</v>
      </c>
      <c r="I1547" s="6">
        <v>2005</v>
      </c>
      <c r="J1547" s="2" t="s">
        <v>15</v>
      </c>
      <c r="K1547" s="2" t="s">
        <v>160</v>
      </c>
      <c r="L1547" s="7">
        <f t="shared" si="72"/>
        <v>1801.94</v>
      </c>
      <c r="M1547" s="2" t="str">
        <f t="shared" si="73"/>
        <v>April</v>
      </c>
      <c r="N1547" s="6">
        <f t="shared" si="74"/>
        <v>2005</v>
      </c>
    </row>
    <row r="1548" spans="1:14">
      <c r="A1548" s="2" t="s">
        <v>63</v>
      </c>
      <c r="B1548" s="3">
        <v>10420</v>
      </c>
      <c r="C1548" s="3">
        <v>45</v>
      </c>
      <c r="D1548" s="13">
        <v>26.88</v>
      </c>
      <c r="E1548" s="5">
        <v>38501</v>
      </c>
      <c r="F1548" s="2" t="s">
        <v>113</v>
      </c>
      <c r="G1548" s="2" t="s">
        <v>202</v>
      </c>
      <c r="H1548" s="3">
        <v>2</v>
      </c>
      <c r="I1548" s="6">
        <v>2005</v>
      </c>
      <c r="J1548" s="2" t="s">
        <v>15</v>
      </c>
      <c r="K1548" s="2" t="s">
        <v>64</v>
      </c>
      <c r="L1548" s="7">
        <f t="shared" si="72"/>
        <v>1209.6</v>
      </c>
      <c r="M1548" s="2" t="str">
        <f t="shared" si="73"/>
        <v>May</v>
      </c>
      <c r="N1548" s="6">
        <f t="shared" si="74"/>
        <v>2005</v>
      </c>
    </row>
    <row r="1549" spans="1:14">
      <c r="A1549" s="2" t="s">
        <v>12</v>
      </c>
      <c r="B1549" s="3">
        <v>10107</v>
      </c>
      <c r="C1549" s="3">
        <v>38</v>
      </c>
      <c r="D1549" s="13">
        <v>83.03</v>
      </c>
      <c r="E1549" s="5">
        <v>37676</v>
      </c>
      <c r="F1549" s="2" t="s">
        <v>13</v>
      </c>
      <c r="G1549" s="2" t="s">
        <v>14</v>
      </c>
      <c r="H1549" s="3">
        <v>1</v>
      </c>
      <c r="I1549" s="6">
        <v>2003</v>
      </c>
      <c r="J1549" s="2" t="s">
        <v>22</v>
      </c>
      <c r="K1549" s="2" t="s">
        <v>16</v>
      </c>
      <c r="L1549" s="7">
        <f t="shared" si="72"/>
        <v>3155.14</v>
      </c>
      <c r="M1549" s="2" t="str">
        <f t="shared" si="73"/>
        <v>February</v>
      </c>
      <c r="N1549" s="6">
        <f t="shared" si="74"/>
        <v>2003</v>
      </c>
    </row>
    <row r="1550" spans="1:14">
      <c r="A1550" s="2" t="s">
        <v>42</v>
      </c>
      <c r="B1550" s="3">
        <v>10120</v>
      </c>
      <c r="C1550" s="3">
        <v>34</v>
      </c>
      <c r="D1550" s="13">
        <v>83.79</v>
      </c>
      <c r="E1550" s="5">
        <v>37740</v>
      </c>
      <c r="F1550" s="2" t="s">
        <v>13</v>
      </c>
      <c r="G1550" s="2" t="s">
        <v>14</v>
      </c>
      <c r="H1550" s="3">
        <v>2</v>
      </c>
      <c r="I1550" s="6">
        <v>2003</v>
      </c>
      <c r="J1550" s="2" t="s">
        <v>15</v>
      </c>
      <c r="K1550" s="2" t="s">
        <v>43</v>
      </c>
      <c r="L1550" s="7">
        <f t="shared" si="72"/>
        <v>2848.86</v>
      </c>
      <c r="M1550" s="2" t="str">
        <f t="shared" si="73"/>
        <v>April</v>
      </c>
      <c r="N1550" s="6">
        <f t="shared" si="74"/>
        <v>2003</v>
      </c>
    </row>
    <row r="1551" spans="1:14">
      <c r="A1551" s="2" t="s">
        <v>21</v>
      </c>
      <c r="B1551" s="3">
        <v>10134</v>
      </c>
      <c r="C1551" s="3">
        <v>43</v>
      </c>
      <c r="D1551" s="13">
        <v>83.03</v>
      </c>
      <c r="E1551" s="5">
        <v>37803</v>
      </c>
      <c r="F1551" s="2" t="s">
        <v>13</v>
      </c>
      <c r="G1551" s="2" t="s">
        <v>14</v>
      </c>
      <c r="H1551" s="3">
        <v>3</v>
      </c>
      <c r="I1551" s="6">
        <v>2003</v>
      </c>
      <c r="J1551" s="2" t="s">
        <v>22</v>
      </c>
      <c r="K1551" s="2" t="s">
        <v>23</v>
      </c>
      <c r="L1551" s="7">
        <f t="shared" si="72"/>
        <v>3570.29</v>
      </c>
      <c r="M1551" s="2" t="str">
        <f t="shared" si="73"/>
        <v>July</v>
      </c>
      <c r="N1551" s="6">
        <f t="shared" si="74"/>
        <v>2003</v>
      </c>
    </row>
    <row r="1552" spans="1:14">
      <c r="A1552" s="2" t="s">
        <v>25</v>
      </c>
      <c r="B1552" s="3">
        <v>10145</v>
      </c>
      <c r="C1552" s="3">
        <v>47</v>
      </c>
      <c r="D1552" s="13">
        <v>83.03</v>
      </c>
      <c r="E1552" s="5">
        <v>37858</v>
      </c>
      <c r="F1552" s="2" t="s">
        <v>13</v>
      </c>
      <c r="G1552" s="2" t="s">
        <v>14</v>
      </c>
      <c r="H1552" s="3">
        <v>3</v>
      </c>
      <c r="I1552" s="6">
        <v>2003</v>
      </c>
      <c r="J1552" s="2" t="s">
        <v>22</v>
      </c>
      <c r="K1552" s="2" t="s">
        <v>26</v>
      </c>
      <c r="L1552" s="7">
        <f t="shared" si="72"/>
        <v>3902.41</v>
      </c>
      <c r="M1552" s="2" t="str">
        <f t="shared" si="73"/>
        <v>August</v>
      </c>
      <c r="N1552" s="6">
        <f t="shared" si="74"/>
        <v>2003</v>
      </c>
    </row>
    <row r="1553" spans="1:14">
      <c r="A1553" s="2" t="s">
        <v>56</v>
      </c>
      <c r="B1553" s="3">
        <v>10158</v>
      </c>
      <c r="C1553" s="3">
        <v>22</v>
      </c>
      <c r="D1553" s="13">
        <v>67.03</v>
      </c>
      <c r="E1553" s="5">
        <v>37904</v>
      </c>
      <c r="F1553" s="2" t="s">
        <v>13</v>
      </c>
      <c r="G1553" s="2" t="s">
        <v>14</v>
      </c>
      <c r="H1553" s="3">
        <v>4</v>
      </c>
      <c r="I1553" s="6">
        <v>2003</v>
      </c>
      <c r="J1553" s="2" t="s">
        <v>15</v>
      </c>
      <c r="K1553" s="2" t="s">
        <v>57</v>
      </c>
      <c r="L1553" s="7">
        <f t="shared" si="72"/>
        <v>1474.66</v>
      </c>
      <c r="M1553" s="2" t="str">
        <f t="shared" si="73"/>
        <v>October</v>
      </c>
      <c r="N1553" s="6">
        <f t="shared" si="74"/>
        <v>2003</v>
      </c>
    </row>
    <row r="1554" spans="1:14">
      <c r="A1554" s="2" t="s">
        <v>31</v>
      </c>
      <c r="B1554" s="3">
        <v>10168</v>
      </c>
      <c r="C1554" s="3">
        <v>29</v>
      </c>
      <c r="D1554" s="13">
        <v>75.41</v>
      </c>
      <c r="E1554" s="5">
        <v>37922</v>
      </c>
      <c r="F1554" s="2" t="s">
        <v>13</v>
      </c>
      <c r="G1554" s="2" t="s">
        <v>14</v>
      </c>
      <c r="H1554" s="3">
        <v>4</v>
      </c>
      <c r="I1554" s="6">
        <v>2003</v>
      </c>
      <c r="J1554" s="2" t="s">
        <v>15</v>
      </c>
      <c r="K1554" s="2" t="s">
        <v>32</v>
      </c>
      <c r="L1554" s="7">
        <f t="shared" si="72"/>
        <v>2186.89</v>
      </c>
      <c r="M1554" s="2" t="str">
        <f t="shared" si="73"/>
        <v>October</v>
      </c>
      <c r="N1554" s="6">
        <f t="shared" si="74"/>
        <v>2003</v>
      </c>
    </row>
    <row r="1555" spans="1:14">
      <c r="A1555" s="2" t="s">
        <v>34</v>
      </c>
      <c r="B1555" s="3">
        <v>10180</v>
      </c>
      <c r="C1555" s="3">
        <v>28</v>
      </c>
      <c r="D1555" s="13">
        <v>68.55</v>
      </c>
      <c r="E1555" s="5">
        <v>37936</v>
      </c>
      <c r="F1555" s="2" t="s">
        <v>13</v>
      </c>
      <c r="G1555" s="2" t="s">
        <v>14</v>
      </c>
      <c r="H1555" s="3">
        <v>4</v>
      </c>
      <c r="I1555" s="6">
        <v>2003</v>
      </c>
      <c r="J1555" s="2" t="s">
        <v>15</v>
      </c>
      <c r="K1555" s="2" t="s">
        <v>35</v>
      </c>
      <c r="L1555" s="7">
        <f t="shared" si="72"/>
        <v>1919.4</v>
      </c>
      <c r="M1555" s="2" t="str">
        <f t="shared" si="73"/>
        <v>November</v>
      </c>
      <c r="N1555" s="6">
        <f t="shared" si="74"/>
        <v>2003</v>
      </c>
    </row>
    <row r="1556" spans="1:14">
      <c r="A1556" s="2" t="s">
        <v>36</v>
      </c>
      <c r="B1556" s="3">
        <v>10188</v>
      </c>
      <c r="C1556" s="3">
        <v>40</v>
      </c>
      <c r="D1556" s="13">
        <v>91.4</v>
      </c>
      <c r="E1556" s="5">
        <v>37943</v>
      </c>
      <c r="F1556" s="2" t="s">
        <v>13</v>
      </c>
      <c r="G1556" s="2" t="s">
        <v>14</v>
      </c>
      <c r="H1556" s="3">
        <v>4</v>
      </c>
      <c r="I1556" s="6">
        <v>2003</v>
      </c>
      <c r="J1556" s="2" t="s">
        <v>22</v>
      </c>
      <c r="K1556" s="2" t="s">
        <v>37</v>
      </c>
      <c r="L1556" s="7">
        <f t="shared" si="72"/>
        <v>3656</v>
      </c>
      <c r="M1556" s="2" t="str">
        <f t="shared" si="73"/>
        <v>November</v>
      </c>
      <c r="N1556" s="6">
        <f t="shared" si="74"/>
        <v>2003</v>
      </c>
    </row>
    <row r="1557" spans="1:14">
      <c r="A1557" s="2" t="s">
        <v>38</v>
      </c>
      <c r="B1557" s="3">
        <v>10201</v>
      </c>
      <c r="C1557" s="3">
        <v>25</v>
      </c>
      <c r="D1557" s="13">
        <v>73.88</v>
      </c>
      <c r="E1557" s="5">
        <v>37956</v>
      </c>
      <c r="F1557" s="2" t="s">
        <v>13</v>
      </c>
      <c r="G1557" s="2" t="s">
        <v>14</v>
      </c>
      <c r="H1557" s="3">
        <v>4</v>
      </c>
      <c r="I1557" s="6">
        <v>2003</v>
      </c>
      <c r="J1557" s="2" t="s">
        <v>15</v>
      </c>
      <c r="K1557" s="2" t="s">
        <v>39</v>
      </c>
      <c r="L1557" s="7">
        <f t="shared" si="72"/>
        <v>1847</v>
      </c>
      <c r="M1557" s="2" t="str">
        <f t="shared" si="73"/>
        <v>December</v>
      </c>
      <c r="N1557" s="6">
        <f t="shared" si="74"/>
        <v>2003</v>
      </c>
    </row>
    <row r="1558" spans="1:14">
      <c r="A1558" s="2" t="s">
        <v>114</v>
      </c>
      <c r="B1558" s="3">
        <v>10210</v>
      </c>
      <c r="C1558" s="3">
        <v>30</v>
      </c>
      <c r="D1558" s="13">
        <v>61.7</v>
      </c>
      <c r="E1558" s="5">
        <v>37998</v>
      </c>
      <c r="F1558" s="2" t="s">
        <v>13</v>
      </c>
      <c r="G1558" s="2" t="s">
        <v>14</v>
      </c>
      <c r="H1558" s="3">
        <v>1</v>
      </c>
      <c r="I1558" s="6">
        <v>2004</v>
      </c>
      <c r="J1558" s="2" t="s">
        <v>15</v>
      </c>
      <c r="K1558" s="2" t="s">
        <v>115</v>
      </c>
      <c r="L1558" s="7">
        <f t="shared" si="72"/>
        <v>1851</v>
      </c>
      <c r="M1558" s="2" t="str">
        <f t="shared" si="73"/>
        <v>January</v>
      </c>
      <c r="N1558" s="6">
        <f t="shared" si="74"/>
        <v>2004</v>
      </c>
    </row>
    <row r="1559" spans="1:14">
      <c r="A1559" s="2" t="s">
        <v>42</v>
      </c>
      <c r="B1559" s="3">
        <v>10223</v>
      </c>
      <c r="C1559" s="3">
        <v>38</v>
      </c>
      <c r="D1559" s="13">
        <v>69.31</v>
      </c>
      <c r="E1559" s="5">
        <v>38037</v>
      </c>
      <c r="F1559" s="2" t="s">
        <v>13</v>
      </c>
      <c r="G1559" s="2" t="s">
        <v>14</v>
      </c>
      <c r="H1559" s="3">
        <v>1</v>
      </c>
      <c r="I1559" s="6">
        <v>2004</v>
      </c>
      <c r="J1559" s="2" t="s">
        <v>15</v>
      </c>
      <c r="K1559" s="2" t="s">
        <v>43</v>
      </c>
      <c r="L1559" s="7">
        <f t="shared" si="72"/>
        <v>2633.78</v>
      </c>
      <c r="M1559" s="2" t="str">
        <f t="shared" si="73"/>
        <v>February</v>
      </c>
      <c r="N1559" s="6">
        <f t="shared" si="74"/>
        <v>2004</v>
      </c>
    </row>
    <row r="1560" spans="1:14">
      <c r="A1560" s="2" t="s">
        <v>116</v>
      </c>
      <c r="B1560" s="3">
        <v>10236</v>
      </c>
      <c r="C1560" s="3">
        <v>36</v>
      </c>
      <c r="D1560" s="13">
        <v>87.6</v>
      </c>
      <c r="E1560" s="5">
        <v>38080</v>
      </c>
      <c r="F1560" s="2" t="s">
        <v>13</v>
      </c>
      <c r="G1560" s="2" t="s">
        <v>14</v>
      </c>
      <c r="H1560" s="3">
        <v>2</v>
      </c>
      <c r="I1560" s="6">
        <v>2004</v>
      </c>
      <c r="J1560" s="2" t="s">
        <v>22</v>
      </c>
      <c r="K1560" s="2" t="s">
        <v>117</v>
      </c>
      <c r="L1560" s="7">
        <f t="shared" si="72"/>
        <v>3153.6</v>
      </c>
      <c r="M1560" s="2" t="str">
        <f t="shared" si="73"/>
        <v>April</v>
      </c>
      <c r="N1560" s="6">
        <f t="shared" si="74"/>
        <v>2004</v>
      </c>
    </row>
    <row r="1561" spans="1:14">
      <c r="A1561" s="2" t="s">
        <v>149</v>
      </c>
      <c r="B1561" s="3">
        <v>10250</v>
      </c>
      <c r="C1561" s="3">
        <v>32</v>
      </c>
      <c r="D1561" s="13">
        <v>87.6</v>
      </c>
      <c r="E1561" s="5">
        <v>38118</v>
      </c>
      <c r="F1561" s="2" t="s">
        <v>13</v>
      </c>
      <c r="G1561" s="2" t="s">
        <v>14</v>
      </c>
      <c r="H1561" s="3">
        <v>2</v>
      </c>
      <c r="I1561" s="6">
        <v>2004</v>
      </c>
      <c r="J1561" s="2" t="s">
        <v>15</v>
      </c>
      <c r="K1561" s="2" t="s">
        <v>150</v>
      </c>
      <c r="L1561" s="7">
        <f t="shared" si="72"/>
        <v>2803.2</v>
      </c>
      <c r="M1561" s="2" t="str">
        <f t="shared" si="73"/>
        <v>May</v>
      </c>
      <c r="N1561" s="6">
        <f t="shared" si="74"/>
        <v>2004</v>
      </c>
    </row>
    <row r="1562" spans="1:14">
      <c r="A1562" s="2" t="s">
        <v>48</v>
      </c>
      <c r="B1562" s="3">
        <v>10263</v>
      </c>
      <c r="C1562" s="3">
        <v>37</v>
      </c>
      <c r="D1562" s="13">
        <v>62.46</v>
      </c>
      <c r="E1562" s="5">
        <v>38166</v>
      </c>
      <c r="F1562" s="2" t="s">
        <v>13</v>
      </c>
      <c r="G1562" s="2" t="s">
        <v>14</v>
      </c>
      <c r="H1562" s="3">
        <v>2</v>
      </c>
      <c r="I1562" s="6">
        <v>2004</v>
      </c>
      <c r="J1562" s="2" t="s">
        <v>15</v>
      </c>
      <c r="K1562" s="2" t="s">
        <v>49</v>
      </c>
      <c r="L1562" s="7">
        <f t="shared" si="72"/>
        <v>2311.02</v>
      </c>
      <c r="M1562" s="2" t="str">
        <f t="shared" si="73"/>
        <v>June</v>
      </c>
      <c r="N1562" s="6">
        <f t="shared" si="74"/>
        <v>2004</v>
      </c>
    </row>
    <row r="1563" spans="1:14">
      <c r="A1563" s="2" t="s">
        <v>50</v>
      </c>
      <c r="B1563" s="3">
        <v>10275</v>
      </c>
      <c r="C1563" s="3">
        <v>30</v>
      </c>
      <c r="D1563" s="13">
        <v>79.98</v>
      </c>
      <c r="E1563" s="5">
        <v>38191</v>
      </c>
      <c r="F1563" s="2" t="s">
        <v>13</v>
      </c>
      <c r="G1563" s="2" t="s">
        <v>14</v>
      </c>
      <c r="H1563" s="3">
        <v>3</v>
      </c>
      <c r="I1563" s="6">
        <v>2004</v>
      </c>
      <c r="J1563" s="2" t="s">
        <v>15</v>
      </c>
      <c r="K1563" s="2" t="s">
        <v>51</v>
      </c>
      <c r="L1563" s="7">
        <f t="shared" si="72"/>
        <v>2399.4</v>
      </c>
      <c r="M1563" s="2" t="str">
        <f t="shared" si="73"/>
        <v>July</v>
      </c>
      <c r="N1563" s="6">
        <f t="shared" si="74"/>
        <v>2004</v>
      </c>
    </row>
    <row r="1564" spans="1:14">
      <c r="A1564" s="2" t="s">
        <v>52</v>
      </c>
      <c r="B1564" s="3">
        <v>10285</v>
      </c>
      <c r="C1564" s="3">
        <v>39</v>
      </c>
      <c r="D1564" s="13">
        <v>70.08</v>
      </c>
      <c r="E1564" s="5">
        <v>38226</v>
      </c>
      <c r="F1564" s="2" t="s">
        <v>13</v>
      </c>
      <c r="G1564" s="2" t="s">
        <v>14</v>
      </c>
      <c r="H1564" s="3">
        <v>3</v>
      </c>
      <c r="I1564" s="6">
        <v>2004</v>
      </c>
      <c r="J1564" s="2" t="s">
        <v>15</v>
      </c>
      <c r="K1564" s="2" t="s">
        <v>53</v>
      </c>
      <c r="L1564" s="7">
        <f t="shared" si="72"/>
        <v>2733.12</v>
      </c>
      <c r="M1564" s="2" t="str">
        <f t="shared" si="73"/>
        <v>August</v>
      </c>
      <c r="N1564" s="6">
        <f t="shared" si="74"/>
        <v>2004</v>
      </c>
    </row>
    <row r="1565" spans="1:14">
      <c r="A1565" s="2" t="s">
        <v>179</v>
      </c>
      <c r="B1565" s="3">
        <v>10297</v>
      </c>
      <c r="C1565" s="3">
        <v>32</v>
      </c>
      <c r="D1565" s="13">
        <v>65.51</v>
      </c>
      <c r="E1565" s="5">
        <v>38246</v>
      </c>
      <c r="F1565" s="2" t="s">
        <v>13</v>
      </c>
      <c r="G1565" s="2" t="s">
        <v>14</v>
      </c>
      <c r="H1565" s="3">
        <v>3</v>
      </c>
      <c r="I1565" s="6">
        <v>2004</v>
      </c>
      <c r="J1565" s="2" t="s">
        <v>15</v>
      </c>
      <c r="K1565" s="2" t="s">
        <v>180</v>
      </c>
      <c r="L1565" s="7">
        <f t="shared" si="72"/>
        <v>2096.32</v>
      </c>
      <c r="M1565" s="2" t="str">
        <f t="shared" si="73"/>
        <v>September</v>
      </c>
      <c r="N1565" s="6">
        <f t="shared" si="74"/>
        <v>2004</v>
      </c>
    </row>
    <row r="1566" spans="1:14">
      <c r="A1566" s="2" t="s">
        <v>120</v>
      </c>
      <c r="B1566" s="3">
        <v>10308</v>
      </c>
      <c r="C1566" s="3">
        <v>47</v>
      </c>
      <c r="D1566" s="13">
        <v>63.22</v>
      </c>
      <c r="E1566" s="5">
        <v>38275</v>
      </c>
      <c r="F1566" s="2" t="s">
        <v>13</v>
      </c>
      <c r="G1566" s="2" t="s">
        <v>14</v>
      </c>
      <c r="H1566" s="3">
        <v>4</v>
      </c>
      <c r="I1566" s="6">
        <v>2004</v>
      </c>
      <c r="J1566" s="2" t="s">
        <v>15</v>
      </c>
      <c r="K1566" s="2" t="s">
        <v>121</v>
      </c>
      <c r="L1566" s="7">
        <f t="shared" si="72"/>
        <v>2971.34</v>
      </c>
      <c r="M1566" s="2" t="str">
        <f t="shared" si="73"/>
        <v>October</v>
      </c>
      <c r="N1566" s="6">
        <f t="shared" si="74"/>
        <v>2004</v>
      </c>
    </row>
    <row r="1567" spans="1:14">
      <c r="A1567" s="2" t="s">
        <v>58</v>
      </c>
      <c r="B1567" s="3">
        <v>10318</v>
      </c>
      <c r="C1567" s="3">
        <v>26</v>
      </c>
      <c r="D1567" s="13">
        <v>86.83</v>
      </c>
      <c r="E1567" s="5">
        <v>38293</v>
      </c>
      <c r="F1567" s="2" t="s">
        <v>13</v>
      </c>
      <c r="G1567" s="2" t="s">
        <v>14</v>
      </c>
      <c r="H1567" s="3">
        <v>4</v>
      </c>
      <c r="I1567" s="6">
        <v>2004</v>
      </c>
      <c r="J1567" s="2" t="s">
        <v>15</v>
      </c>
      <c r="K1567" s="2" t="s">
        <v>59</v>
      </c>
      <c r="L1567" s="7">
        <f t="shared" si="72"/>
        <v>2257.58</v>
      </c>
      <c r="M1567" s="2" t="str">
        <f t="shared" si="73"/>
        <v>November</v>
      </c>
      <c r="N1567" s="6">
        <f t="shared" si="74"/>
        <v>2004</v>
      </c>
    </row>
    <row r="1568" spans="1:14">
      <c r="A1568" s="2" t="s">
        <v>12</v>
      </c>
      <c r="B1568" s="3">
        <v>10329</v>
      </c>
      <c r="C1568" s="3">
        <v>37</v>
      </c>
      <c r="D1568" s="13">
        <v>94.43</v>
      </c>
      <c r="E1568" s="5">
        <v>38306</v>
      </c>
      <c r="F1568" s="2" t="s">
        <v>13</v>
      </c>
      <c r="G1568" s="2" t="s">
        <v>14</v>
      </c>
      <c r="H1568" s="3">
        <v>4</v>
      </c>
      <c r="I1568" s="6">
        <v>2004</v>
      </c>
      <c r="J1568" s="2" t="s">
        <v>22</v>
      </c>
      <c r="K1568" s="2" t="s">
        <v>16</v>
      </c>
      <c r="L1568" s="7">
        <f t="shared" si="72"/>
        <v>3493.91</v>
      </c>
      <c r="M1568" s="2" t="str">
        <f t="shared" si="73"/>
        <v>November</v>
      </c>
      <c r="N1568" s="6">
        <f t="shared" si="74"/>
        <v>2004</v>
      </c>
    </row>
    <row r="1569" spans="1:14">
      <c r="A1569" s="2" t="s">
        <v>133</v>
      </c>
      <c r="B1569" s="3">
        <v>10340</v>
      </c>
      <c r="C1569" s="3">
        <v>55</v>
      </c>
      <c r="D1569" s="13">
        <v>79.98</v>
      </c>
      <c r="E1569" s="5">
        <v>38315</v>
      </c>
      <c r="F1569" s="2" t="s">
        <v>13</v>
      </c>
      <c r="G1569" s="2" t="s">
        <v>14</v>
      </c>
      <c r="H1569" s="3">
        <v>4</v>
      </c>
      <c r="I1569" s="6">
        <v>2004</v>
      </c>
      <c r="J1569" s="2" t="s">
        <v>22</v>
      </c>
      <c r="K1569" s="2" t="s">
        <v>134</v>
      </c>
      <c r="L1569" s="7">
        <f t="shared" si="72"/>
        <v>4398.9</v>
      </c>
      <c r="M1569" s="2" t="str">
        <f t="shared" si="73"/>
        <v>November</v>
      </c>
      <c r="N1569" s="6">
        <f t="shared" si="74"/>
        <v>2004</v>
      </c>
    </row>
    <row r="1570" spans="1:14">
      <c r="A1570" s="2" t="s">
        <v>175</v>
      </c>
      <c r="B1570" s="3">
        <v>10363</v>
      </c>
      <c r="C1570" s="3">
        <v>21</v>
      </c>
      <c r="D1570" s="13">
        <v>100</v>
      </c>
      <c r="E1570" s="5">
        <v>38358</v>
      </c>
      <c r="F1570" s="2" t="s">
        <v>13</v>
      </c>
      <c r="G1570" s="2" t="s">
        <v>14</v>
      </c>
      <c r="H1570" s="3">
        <v>1</v>
      </c>
      <c r="I1570" s="6">
        <v>2005</v>
      </c>
      <c r="J1570" s="2" t="s">
        <v>22</v>
      </c>
      <c r="K1570" s="2" t="s">
        <v>176</v>
      </c>
      <c r="L1570" s="7">
        <f t="shared" si="72"/>
        <v>2100</v>
      </c>
      <c r="M1570" s="2" t="str">
        <f t="shared" si="73"/>
        <v>January</v>
      </c>
      <c r="N1570" s="6">
        <f t="shared" si="74"/>
        <v>2005</v>
      </c>
    </row>
    <row r="1571" spans="1:14">
      <c r="A1571" s="2" t="s">
        <v>50</v>
      </c>
      <c r="B1571" s="3">
        <v>10375</v>
      </c>
      <c r="C1571" s="3">
        <v>23</v>
      </c>
      <c r="D1571" s="13">
        <v>100</v>
      </c>
      <c r="E1571" s="5">
        <v>38386</v>
      </c>
      <c r="F1571" s="2" t="s">
        <v>13</v>
      </c>
      <c r="G1571" s="2" t="s">
        <v>14</v>
      </c>
      <c r="H1571" s="3">
        <v>1</v>
      </c>
      <c r="I1571" s="6">
        <v>2005</v>
      </c>
      <c r="J1571" s="2" t="s">
        <v>15</v>
      </c>
      <c r="K1571" s="2" t="s">
        <v>51</v>
      </c>
      <c r="L1571" s="7">
        <f t="shared" si="72"/>
        <v>2300</v>
      </c>
      <c r="M1571" s="2" t="str">
        <f t="shared" si="73"/>
        <v>February</v>
      </c>
      <c r="N1571" s="6">
        <f t="shared" si="74"/>
        <v>2005</v>
      </c>
    </row>
    <row r="1572" spans="1:14">
      <c r="A1572" s="2" t="s">
        <v>99</v>
      </c>
      <c r="B1572" s="3">
        <v>10389</v>
      </c>
      <c r="C1572" s="3">
        <v>49</v>
      </c>
      <c r="D1572" s="13">
        <v>81.4</v>
      </c>
      <c r="E1572" s="5">
        <v>38414</v>
      </c>
      <c r="F1572" s="2" t="s">
        <v>13</v>
      </c>
      <c r="G1572" s="2" t="s">
        <v>14</v>
      </c>
      <c r="H1572" s="3">
        <v>1</v>
      </c>
      <c r="I1572" s="6">
        <v>2005</v>
      </c>
      <c r="J1572" s="2" t="s">
        <v>22</v>
      </c>
      <c r="K1572" s="2" t="s">
        <v>100</v>
      </c>
      <c r="L1572" s="7">
        <f t="shared" si="72"/>
        <v>3988.6</v>
      </c>
      <c r="M1572" s="2" t="str">
        <f t="shared" si="73"/>
        <v>March</v>
      </c>
      <c r="N1572" s="6">
        <f t="shared" si="74"/>
        <v>2005</v>
      </c>
    </row>
    <row r="1573" spans="1:14">
      <c r="A1573" s="2" t="s">
        <v>40</v>
      </c>
      <c r="B1573" s="3">
        <v>10402</v>
      </c>
      <c r="C1573" s="3">
        <v>59</v>
      </c>
      <c r="D1573" s="13">
        <v>87.6</v>
      </c>
      <c r="E1573" s="5">
        <v>38449</v>
      </c>
      <c r="F1573" s="2" t="s">
        <v>13</v>
      </c>
      <c r="G1573" s="2" t="s">
        <v>14</v>
      </c>
      <c r="H1573" s="3">
        <v>2</v>
      </c>
      <c r="I1573" s="6">
        <v>2005</v>
      </c>
      <c r="J1573" s="2" t="s">
        <v>22</v>
      </c>
      <c r="K1573" s="2" t="s">
        <v>41</v>
      </c>
      <c r="L1573" s="7">
        <f t="shared" si="72"/>
        <v>5168.4</v>
      </c>
      <c r="M1573" s="2" t="str">
        <f t="shared" si="73"/>
        <v>April</v>
      </c>
      <c r="N1573" s="6">
        <f t="shared" si="74"/>
        <v>2005</v>
      </c>
    </row>
    <row r="1574" spans="1:14">
      <c r="A1574" s="2" t="s">
        <v>169</v>
      </c>
      <c r="B1574" s="3">
        <v>10416</v>
      </c>
      <c r="C1574" s="3">
        <v>32</v>
      </c>
      <c r="D1574" s="13">
        <v>87.6</v>
      </c>
      <c r="E1574" s="5">
        <v>38482</v>
      </c>
      <c r="F1574" s="2" t="s">
        <v>13</v>
      </c>
      <c r="G1574" s="2" t="s">
        <v>14</v>
      </c>
      <c r="H1574" s="3">
        <v>2</v>
      </c>
      <c r="I1574" s="6">
        <v>2005</v>
      </c>
      <c r="J1574" s="2" t="s">
        <v>15</v>
      </c>
      <c r="K1574" s="2" t="s">
        <v>170</v>
      </c>
      <c r="L1574" s="7">
        <f t="shared" si="72"/>
        <v>2803.2</v>
      </c>
      <c r="M1574" s="2" t="str">
        <f t="shared" si="73"/>
        <v>May</v>
      </c>
      <c r="N1574" s="6">
        <f t="shared" si="74"/>
        <v>2005</v>
      </c>
    </row>
    <row r="1575" spans="1:14">
      <c r="A1575" s="2" t="s">
        <v>122</v>
      </c>
      <c r="B1575" s="3">
        <v>10105</v>
      </c>
      <c r="C1575" s="3">
        <v>43</v>
      </c>
      <c r="D1575" s="13">
        <v>100</v>
      </c>
      <c r="E1575" s="5">
        <v>37663</v>
      </c>
      <c r="F1575" s="2" t="s">
        <v>13</v>
      </c>
      <c r="G1575" s="2" t="s">
        <v>214</v>
      </c>
      <c r="H1575" s="3">
        <v>1</v>
      </c>
      <c r="I1575" s="6">
        <v>2003</v>
      </c>
      <c r="J1575" s="2" t="s">
        <v>22</v>
      </c>
      <c r="K1575" s="2" t="s">
        <v>123</v>
      </c>
      <c r="L1575" s="7">
        <f t="shared" si="72"/>
        <v>4300</v>
      </c>
      <c r="M1575" s="2" t="str">
        <f t="shared" si="73"/>
        <v>February</v>
      </c>
      <c r="N1575" s="6">
        <f t="shared" si="74"/>
        <v>2003</v>
      </c>
    </row>
    <row r="1576" spans="1:14">
      <c r="A1576" s="2" t="s">
        <v>77</v>
      </c>
      <c r="B1576" s="3">
        <v>10117</v>
      </c>
      <c r="C1576" s="3">
        <v>41</v>
      </c>
      <c r="D1576" s="13">
        <v>100</v>
      </c>
      <c r="E1576" s="5">
        <v>37727</v>
      </c>
      <c r="F1576" s="2" t="s">
        <v>13</v>
      </c>
      <c r="G1576" s="2" t="s">
        <v>214</v>
      </c>
      <c r="H1576" s="3">
        <v>2</v>
      </c>
      <c r="I1576" s="6">
        <v>2003</v>
      </c>
      <c r="J1576" s="2" t="s">
        <v>22</v>
      </c>
      <c r="K1576" s="2" t="s">
        <v>78</v>
      </c>
      <c r="L1576" s="7">
        <f t="shared" si="72"/>
        <v>4100</v>
      </c>
      <c r="M1576" s="2" t="str">
        <f t="shared" si="73"/>
        <v>April</v>
      </c>
      <c r="N1576" s="6">
        <f t="shared" si="74"/>
        <v>2003</v>
      </c>
    </row>
    <row r="1577" spans="1:14">
      <c r="A1577" s="2" t="s">
        <v>124</v>
      </c>
      <c r="B1577" s="3">
        <v>10129</v>
      </c>
      <c r="C1577" s="3">
        <v>45</v>
      </c>
      <c r="D1577" s="13">
        <v>100</v>
      </c>
      <c r="E1577" s="5">
        <v>37784</v>
      </c>
      <c r="F1577" s="2" t="s">
        <v>13</v>
      </c>
      <c r="G1577" s="2" t="s">
        <v>214</v>
      </c>
      <c r="H1577" s="3">
        <v>2</v>
      </c>
      <c r="I1577" s="6">
        <v>2003</v>
      </c>
      <c r="J1577" s="2" t="s">
        <v>22</v>
      </c>
      <c r="K1577" s="2" t="s">
        <v>125</v>
      </c>
      <c r="L1577" s="7">
        <f t="shared" si="72"/>
        <v>4500</v>
      </c>
      <c r="M1577" s="2" t="str">
        <f t="shared" si="73"/>
        <v>June</v>
      </c>
      <c r="N1577" s="6">
        <f t="shared" si="74"/>
        <v>2003</v>
      </c>
    </row>
    <row r="1578" spans="1:14">
      <c r="A1578" s="2" t="s">
        <v>103</v>
      </c>
      <c r="B1578" s="3">
        <v>10142</v>
      </c>
      <c r="C1578" s="3">
        <v>33</v>
      </c>
      <c r="D1578" s="13">
        <v>100</v>
      </c>
      <c r="E1578" s="5">
        <v>37841</v>
      </c>
      <c r="F1578" s="2" t="s">
        <v>13</v>
      </c>
      <c r="G1578" s="2" t="s">
        <v>214</v>
      </c>
      <c r="H1578" s="3">
        <v>3</v>
      </c>
      <c r="I1578" s="6">
        <v>2003</v>
      </c>
      <c r="J1578" s="2" t="s">
        <v>22</v>
      </c>
      <c r="K1578" s="2" t="s">
        <v>104</v>
      </c>
      <c r="L1578" s="7">
        <f t="shared" si="72"/>
        <v>3300</v>
      </c>
      <c r="M1578" s="2" t="str">
        <f t="shared" si="73"/>
        <v>August</v>
      </c>
      <c r="N1578" s="6">
        <f t="shared" si="74"/>
        <v>2003</v>
      </c>
    </row>
    <row r="1579" spans="1:14">
      <c r="A1579" s="2" t="s">
        <v>69</v>
      </c>
      <c r="B1579" s="3">
        <v>10153</v>
      </c>
      <c r="C1579" s="3">
        <v>40</v>
      </c>
      <c r="D1579" s="13">
        <v>100</v>
      </c>
      <c r="E1579" s="5">
        <v>37892</v>
      </c>
      <c r="F1579" s="2" t="s">
        <v>13</v>
      </c>
      <c r="G1579" s="2" t="s">
        <v>214</v>
      </c>
      <c r="H1579" s="3">
        <v>3</v>
      </c>
      <c r="I1579" s="6">
        <v>2003</v>
      </c>
      <c r="J1579" s="2" t="s">
        <v>22</v>
      </c>
      <c r="K1579" s="2" t="s">
        <v>71</v>
      </c>
      <c r="L1579" s="7">
        <f t="shared" si="72"/>
        <v>4000</v>
      </c>
      <c r="M1579" s="2" t="str">
        <f t="shared" si="73"/>
        <v>September</v>
      </c>
      <c r="N1579" s="6">
        <f t="shared" si="74"/>
        <v>2003</v>
      </c>
    </row>
    <row r="1580" spans="1:14">
      <c r="A1580" s="2" t="s">
        <v>99</v>
      </c>
      <c r="B1580" s="3">
        <v>10167</v>
      </c>
      <c r="C1580" s="3">
        <v>33</v>
      </c>
      <c r="D1580" s="13">
        <v>100</v>
      </c>
      <c r="E1580" s="5">
        <v>37917</v>
      </c>
      <c r="F1580" s="2" t="s">
        <v>128</v>
      </c>
      <c r="G1580" s="2" t="s">
        <v>214</v>
      </c>
      <c r="H1580" s="3">
        <v>4</v>
      </c>
      <c r="I1580" s="6">
        <v>2003</v>
      </c>
      <c r="J1580" s="2" t="s">
        <v>22</v>
      </c>
      <c r="K1580" s="2" t="s">
        <v>100</v>
      </c>
      <c r="L1580" s="7">
        <f t="shared" si="72"/>
        <v>3300</v>
      </c>
      <c r="M1580" s="2" t="str">
        <f t="shared" si="73"/>
        <v>October</v>
      </c>
      <c r="N1580" s="6">
        <f t="shared" si="74"/>
        <v>2003</v>
      </c>
    </row>
    <row r="1581" spans="1:14">
      <c r="A1581" s="2" t="s">
        <v>181</v>
      </c>
      <c r="B1581" s="3">
        <v>10177</v>
      </c>
      <c r="C1581" s="3">
        <v>50</v>
      </c>
      <c r="D1581" s="13">
        <v>100</v>
      </c>
      <c r="E1581" s="5">
        <v>37932</v>
      </c>
      <c r="F1581" s="2" t="s">
        <v>13</v>
      </c>
      <c r="G1581" s="2" t="s">
        <v>214</v>
      </c>
      <c r="H1581" s="3">
        <v>4</v>
      </c>
      <c r="I1581" s="6">
        <v>2003</v>
      </c>
      <c r="J1581" s="2" t="s">
        <v>22</v>
      </c>
      <c r="K1581" s="2" t="s">
        <v>182</v>
      </c>
      <c r="L1581" s="7">
        <f t="shared" si="72"/>
        <v>5000</v>
      </c>
      <c r="M1581" s="2" t="str">
        <f t="shared" si="73"/>
        <v>November</v>
      </c>
      <c r="N1581" s="6">
        <f t="shared" si="74"/>
        <v>2003</v>
      </c>
    </row>
    <row r="1582" spans="1:14">
      <c r="A1582" s="2" t="s">
        <v>126</v>
      </c>
      <c r="B1582" s="3">
        <v>10185</v>
      </c>
      <c r="C1582" s="3">
        <v>30</v>
      </c>
      <c r="D1582" s="13">
        <v>100</v>
      </c>
      <c r="E1582" s="5">
        <v>37939</v>
      </c>
      <c r="F1582" s="2" t="s">
        <v>13</v>
      </c>
      <c r="G1582" s="2" t="s">
        <v>214</v>
      </c>
      <c r="H1582" s="3">
        <v>4</v>
      </c>
      <c r="I1582" s="6">
        <v>2003</v>
      </c>
      <c r="J1582" s="2" t="s">
        <v>22</v>
      </c>
      <c r="K1582" s="2" t="s">
        <v>127</v>
      </c>
      <c r="L1582" s="7">
        <f t="shared" si="72"/>
        <v>3000</v>
      </c>
      <c r="M1582" s="2" t="str">
        <f t="shared" si="73"/>
        <v>November</v>
      </c>
      <c r="N1582" s="6">
        <f t="shared" si="74"/>
        <v>2003</v>
      </c>
    </row>
    <row r="1583" spans="1:14">
      <c r="A1583" s="2" t="s">
        <v>133</v>
      </c>
      <c r="B1583" s="3">
        <v>10197</v>
      </c>
      <c r="C1583" s="3">
        <v>41</v>
      </c>
      <c r="D1583" s="13">
        <v>100</v>
      </c>
      <c r="E1583" s="5">
        <v>37951</v>
      </c>
      <c r="F1583" s="2" t="s">
        <v>13</v>
      </c>
      <c r="G1583" s="2" t="s">
        <v>214</v>
      </c>
      <c r="H1583" s="3">
        <v>4</v>
      </c>
      <c r="I1583" s="6">
        <v>2003</v>
      </c>
      <c r="J1583" s="2" t="s">
        <v>22</v>
      </c>
      <c r="K1583" s="2" t="s">
        <v>134</v>
      </c>
      <c r="L1583" s="7">
        <f t="shared" si="72"/>
        <v>4100</v>
      </c>
      <c r="M1583" s="2" t="str">
        <f t="shared" si="73"/>
        <v>November</v>
      </c>
      <c r="N1583" s="6">
        <f t="shared" si="74"/>
        <v>2003</v>
      </c>
    </row>
    <row r="1584" spans="1:14">
      <c r="A1584" s="2" t="s">
        <v>85</v>
      </c>
      <c r="B1584" s="3">
        <v>10208</v>
      </c>
      <c r="C1584" s="3">
        <v>35</v>
      </c>
      <c r="D1584" s="13">
        <v>100</v>
      </c>
      <c r="E1584" s="5">
        <v>37988</v>
      </c>
      <c r="F1584" s="2" t="s">
        <v>13</v>
      </c>
      <c r="G1584" s="2" t="s">
        <v>214</v>
      </c>
      <c r="H1584" s="3">
        <v>1</v>
      </c>
      <c r="I1584" s="6">
        <v>2004</v>
      </c>
      <c r="J1584" s="2" t="s">
        <v>22</v>
      </c>
      <c r="K1584" s="2" t="s">
        <v>86</v>
      </c>
      <c r="L1584" s="7">
        <f t="shared" si="72"/>
        <v>3500</v>
      </c>
      <c r="M1584" s="2" t="str">
        <f t="shared" si="73"/>
        <v>January</v>
      </c>
      <c r="N1584" s="6">
        <f t="shared" si="74"/>
        <v>2004</v>
      </c>
    </row>
    <row r="1585" spans="1:14">
      <c r="A1585" s="2" t="s">
        <v>139</v>
      </c>
      <c r="B1585" s="3">
        <v>10221</v>
      </c>
      <c r="C1585" s="3">
        <v>49</v>
      </c>
      <c r="D1585" s="13">
        <v>100</v>
      </c>
      <c r="E1585" s="5">
        <v>38035</v>
      </c>
      <c r="F1585" s="2" t="s">
        <v>13</v>
      </c>
      <c r="G1585" s="2" t="s">
        <v>214</v>
      </c>
      <c r="H1585" s="3">
        <v>1</v>
      </c>
      <c r="I1585" s="6">
        <v>2004</v>
      </c>
      <c r="J1585" s="2" t="s">
        <v>22</v>
      </c>
      <c r="K1585" s="2" t="s">
        <v>140</v>
      </c>
      <c r="L1585" s="7">
        <f t="shared" si="72"/>
        <v>4900</v>
      </c>
      <c r="M1585" s="2" t="str">
        <f t="shared" si="73"/>
        <v>February</v>
      </c>
      <c r="N1585" s="6">
        <f t="shared" si="74"/>
        <v>2004</v>
      </c>
    </row>
    <row r="1586" spans="1:14">
      <c r="A1586" s="2" t="s">
        <v>145</v>
      </c>
      <c r="B1586" s="3">
        <v>10232</v>
      </c>
      <c r="C1586" s="3">
        <v>46</v>
      </c>
      <c r="D1586" s="13">
        <v>100</v>
      </c>
      <c r="E1586" s="5">
        <v>38066</v>
      </c>
      <c r="F1586" s="2" t="s">
        <v>13</v>
      </c>
      <c r="G1586" s="2" t="s">
        <v>214</v>
      </c>
      <c r="H1586" s="3">
        <v>1</v>
      </c>
      <c r="I1586" s="6">
        <v>2004</v>
      </c>
      <c r="J1586" s="2" t="s">
        <v>22</v>
      </c>
      <c r="K1586" s="2" t="s">
        <v>146</v>
      </c>
      <c r="L1586" s="7">
        <f t="shared" si="72"/>
        <v>4600</v>
      </c>
      <c r="M1586" s="2" t="str">
        <f t="shared" si="73"/>
        <v>March</v>
      </c>
      <c r="N1586" s="6">
        <f t="shared" si="74"/>
        <v>2004</v>
      </c>
    </row>
    <row r="1587" spans="1:14">
      <c r="A1587" s="2" t="s">
        <v>12</v>
      </c>
      <c r="B1587" s="3">
        <v>10248</v>
      </c>
      <c r="C1587" s="3">
        <v>48</v>
      </c>
      <c r="D1587" s="13">
        <v>100</v>
      </c>
      <c r="E1587" s="5">
        <v>38114</v>
      </c>
      <c r="F1587" s="2" t="s">
        <v>128</v>
      </c>
      <c r="G1587" s="2" t="s">
        <v>214</v>
      </c>
      <c r="H1587" s="3">
        <v>2</v>
      </c>
      <c r="I1587" s="6">
        <v>2004</v>
      </c>
      <c r="J1587" s="2" t="s">
        <v>22</v>
      </c>
      <c r="K1587" s="2" t="s">
        <v>16</v>
      </c>
      <c r="L1587" s="7">
        <f t="shared" si="72"/>
        <v>4800</v>
      </c>
      <c r="M1587" s="2" t="str">
        <f t="shared" si="73"/>
        <v>May</v>
      </c>
      <c r="N1587" s="6">
        <f t="shared" si="74"/>
        <v>2004</v>
      </c>
    </row>
    <row r="1588" spans="1:14">
      <c r="A1588" s="2" t="s">
        <v>111</v>
      </c>
      <c r="B1588" s="3">
        <v>10261</v>
      </c>
      <c r="C1588" s="3">
        <v>36</v>
      </c>
      <c r="D1588" s="13">
        <v>100</v>
      </c>
      <c r="E1588" s="5">
        <v>38155</v>
      </c>
      <c r="F1588" s="2" t="s">
        <v>13</v>
      </c>
      <c r="G1588" s="2" t="s">
        <v>214</v>
      </c>
      <c r="H1588" s="3">
        <v>2</v>
      </c>
      <c r="I1588" s="6">
        <v>2004</v>
      </c>
      <c r="J1588" s="2" t="s">
        <v>22</v>
      </c>
      <c r="K1588" s="2" t="s">
        <v>112</v>
      </c>
      <c r="L1588" s="7">
        <f t="shared" si="72"/>
        <v>3600</v>
      </c>
      <c r="M1588" s="2" t="str">
        <f t="shared" si="73"/>
        <v>June</v>
      </c>
      <c r="N1588" s="6">
        <f t="shared" si="74"/>
        <v>2004</v>
      </c>
    </row>
    <row r="1589" spans="1:14">
      <c r="A1589" s="2" t="s">
        <v>139</v>
      </c>
      <c r="B1589" s="3">
        <v>10273</v>
      </c>
      <c r="C1589" s="3">
        <v>22</v>
      </c>
      <c r="D1589" s="13">
        <v>100</v>
      </c>
      <c r="E1589" s="5">
        <v>38189</v>
      </c>
      <c r="F1589" s="2" t="s">
        <v>13</v>
      </c>
      <c r="G1589" s="2" t="s">
        <v>214</v>
      </c>
      <c r="H1589" s="3">
        <v>3</v>
      </c>
      <c r="I1589" s="6">
        <v>2004</v>
      </c>
      <c r="J1589" s="2" t="s">
        <v>15</v>
      </c>
      <c r="K1589" s="2" t="s">
        <v>140</v>
      </c>
      <c r="L1589" s="7">
        <f t="shared" si="72"/>
        <v>2200</v>
      </c>
      <c r="M1589" s="2" t="str">
        <f t="shared" si="73"/>
        <v>July</v>
      </c>
      <c r="N1589" s="6">
        <f t="shared" si="74"/>
        <v>2004</v>
      </c>
    </row>
    <row r="1590" spans="1:14">
      <c r="A1590" s="2" t="s">
        <v>141</v>
      </c>
      <c r="B1590" s="3">
        <v>10283</v>
      </c>
      <c r="C1590" s="3">
        <v>42</v>
      </c>
      <c r="D1590" s="13">
        <v>100</v>
      </c>
      <c r="E1590" s="5">
        <v>38219</v>
      </c>
      <c r="F1590" s="2" t="s">
        <v>13</v>
      </c>
      <c r="G1590" s="2" t="s">
        <v>214</v>
      </c>
      <c r="H1590" s="3">
        <v>3</v>
      </c>
      <c r="I1590" s="6">
        <v>2004</v>
      </c>
      <c r="J1590" s="2" t="s">
        <v>22</v>
      </c>
      <c r="K1590" s="2" t="s">
        <v>142</v>
      </c>
      <c r="L1590" s="7">
        <f t="shared" si="72"/>
        <v>4200</v>
      </c>
      <c r="M1590" s="2" t="str">
        <f t="shared" si="73"/>
        <v>August</v>
      </c>
      <c r="N1590" s="6">
        <f t="shared" si="74"/>
        <v>2004</v>
      </c>
    </row>
    <row r="1591" spans="1:14">
      <c r="A1591" s="2" t="s">
        <v>97</v>
      </c>
      <c r="B1591" s="3">
        <v>10293</v>
      </c>
      <c r="C1591" s="3">
        <v>21</v>
      </c>
      <c r="D1591" s="13">
        <v>100</v>
      </c>
      <c r="E1591" s="5">
        <v>38239</v>
      </c>
      <c r="F1591" s="2" t="s">
        <v>13</v>
      </c>
      <c r="G1591" s="2" t="s">
        <v>214</v>
      </c>
      <c r="H1591" s="3">
        <v>3</v>
      </c>
      <c r="I1591" s="6">
        <v>2004</v>
      </c>
      <c r="J1591" s="2" t="s">
        <v>15</v>
      </c>
      <c r="K1591" s="2" t="s">
        <v>98</v>
      </c>
      <c r="L1591" s="7">
        <f t="shared" si="72"/>
        <v>2100</v>
      </c>
      <c r="M1591" s="2" t="str">
        <f t="shared" si="73"/>
        <v>September</v>
      </c>
      <c r="N1591" s="6">
        <f t="shared" si="74"/>
        <v>2004</v>
      </c>
    </row>
    <row r="1592" spans="1:14">
      <c r="A1592" s="2" t="s">
        <v>183</v>
      </c>
      <c r="B1592" s="3">
        <v>10306</v>
      </c>
      <c r="C1592" s="3">
        <v>29</v>
      </c>
      <c r="D1592" s="13">
        <v>100</v>
      </c>
      <c r="E1592" s="5">
        <v>38274</v>
      </c>
      <c r="F1592" s="2" t="s">
        <v>13</v>
      </c>
      <c r="G1592" s="2" t="s">
        <v>214</v>
      </c>
      <c r="H1592" s="3">
        <v>4</v>
      </c>
      <c r="I1592" s="6">
        <v>2004</v>
      </c>
      <c r="J1592" s="2" t="s">
        <v>22</v>
      </c>
      <c r="K1592" s="2" t="s">
        <v>184</v>
      </c>
      <c r="L1592" s="7">
        <f t="shared" si="72"/>
        <v>2900</v>
      </c>
      <c r="M1592" s="2" t="str">
        <f t="shared" si="73"/>
        <v>October</v>
      </c>
      <c r="N1592" s="6">
        <f t="shared" si="74"/>
        <v>2004</v>
      </c>
    </row>
    <row r="1593" spans="1:14">
      <c r="A1593" s="2" t="s">
        <v>50</v>
      </c>
      <c r="B1593" s="3">
        <v>10315</v>
      </c>
      <c r="C1593" s="3">
        <v>35</v>
      </c>
      <c r="D1593" s="13">
        <v>100</v>
      </c>
      <c r="E1593" s="5">
        <v>38289</v>
      </c>
      <c r="F1593" s="2" t="s">
        <v>13</v>
      </c>
      <c r="G1593" s="2" t="s">
        <v>214</v>
      </c>
      <c r="H1593" s="3">
        <v>4</v>
      </c>
      <c r="I1593" s="6">
        <v>2004</v>
      </c>
      <c r="J1593" s="2" t="s">
        <v>22</v>
      </c>
      <c r="K1593" s="2" t="s">
        <v>51</v>
      </c>
      <c r="L1593" s="7">
        <f t="shared" si="72"/>
        <v>3500</v>
      </c>
      <c r="M1593" s="2" t="str">
        <f t="shared" si="73"/>
        <v>October</v>
      </c>
      <c r="N1593" s="6">
        <f t="shared" si="74"/>
        <v>2004</v>
      </c>
    </row>
    <row r="1594" spans="1:14">
      <c r="A1594" s="2" t="s">
        <v>73</v>
      </c>
      <c r="B1594" s="3">
        <v>10326</v>
      </c>
      <c r="C1594" s="3">
        <v>41</v>
      </c>
      <c r="D1594" s="13">
        <v>100</v>
      </c>
      <c r="E1594" s="5">
        <v>38300</v>
      </c>
      <c r="F1594" s="2" t="s">
        <v>13</v>
      </c>
      <c r="G1594" s="2" t="s">
        <v>214</v>
      </c>
      <c r="H1594" s="3">
        <v>4</v>
      </c>
      <c r="I1594" s="6">
        <v>2004</v>
      </c>
      <c r="J1594" s="2" t="s">
        <v>22</v>
      </c>
      <c r="K1594" s="2" t="s">
        <v>74</v>
      </c>
      <c r="L1594" s="7">
        <f t="shared" si="72"/>
        <v>4100</v>
      </c>
      <c r="M1594" s="2" t="str">
        <f t="shared" si="73"/>
        <v>November</v>
      </c>
      <c r="N1594" s="6">
        <f t="shared" si="74"/>
        <v>2004</v>
      </c>
    </row>
    <row r="1595" spans="1:14">
      <c r="A1595" s="2" t="s">
        <v>79</v>
      </c>
      <c r="B1595" s="3">
        <v>10337</v>
      </c>
      <c r="C1595" s="3">
        <v>29</v>
      </c>
      <c r="D1595" s="13">
        <v>71.97</v>
      </c>
      <c r="E1595" s="5">
        <v>38312</v>
      </c>
      <c r="F1595" s="2" t="s">
        <v>13</v>
      </c>
      <c r="G1595" s="2" t="s">
        <v>214</v>
      </c>
      <c r="H1595" s="3">
        <v>4</v>
      </c>
      <c r="I1595" s="6">
        <v>2004</v>
      </c>
      <c r="J1595" s="2" t="s">
        <v>15</v>
      </c>
      <c r="K1595" s="2" t="s">
        <v>80</v>
      </c>
      <c r="L1595" s="7">
        <f t="shared" si="72"/>
        <v>2087.13</v>
      </c>
      <c r="M1595" s="2" t="str">
        <f t="shared" si="73"/>
        <v>November</v>
      </c>
      <c r="N1595" s="6">
        <f t="shared" si="74"/>
        <v>2004</v>
      </c>
    </row>
    <row r="1596" spans="1:14">
      <c r="A1596" s="2" t="s">
        <v>69</v>
      </c>
      <c r="B1596" s="3">
        <v>10350</v>
      </c>
      <c r="C1596" s="3">
        <v>34</v>
      </c>
      <c r="D1596" s="13">
        <v>50.33</v>
      </c>
      <c r="E1596" s="5">
        <v>38323</v>
      </c>
      <c r="F1596" s="2" t="s">
        <v>13</v>
      </c>
      <c r="G1596" s="2" t="s">
        <v>214</v>
      </c>
      <c r="H1596" s="3">
        <v>4</v>
      </c>
      <c r="I1596" s="6">
        <v>2004</v>
      </c>
      <c r="J1596" s="2" t="s">
        <v>15</v>
      </c>
      <c r="K1596" s="2" t="s">
        <v>71</v>
      </c>
      <c r="L1596" s="7">
        <f t="shared" si="72"/>
        <v>1711.22</v>
      </c>
      <c r="M1596" s="2" t="str">
        <f t="shared" si="73"/>
        <v>December</v>
      </c>
      <c r="N1596" s="6">
        <f t="shared" si="74"/>
        <v>2004</v>
      </c>
    </row>
    <row r="1597" spans="1:14">
      <c r="A1597" s="2" t="s">
        <v>95</v>
      </c>
      <c r="B1597" s="3">
        <v>10372</v>
      </c>
      <c r="C1597" s="3">
        <v>37</v>
      </c>
      <c r="D1597" s="13">
        <v>100</v>
      </c>
      <c r="E1597" s="5">
        <v>38378</v>
      </c>
      <c r="F1597" s="2" t="s">
        <v>13</v>
      </c>
      <c r="G1597" s="2" t="s">
        <v>214</v>
      </c>
      <c r="H1597" s="3">
        <v>1</v>
      </c>
      <c r="I1597" s="6">
        <v>2005</v>
      </c>
      <c r="J1597" s="2" t="s">
        <v>22</v>
      </c>
      <c r="K1597" s="2" t="s">
        <v>96</v>
      </c>
      <c r="L1597" s="7">
        <f t="shared" si="72"/>
        <v>3700</v>
      </c>
      <c r="M1597" s="2" t="str">
        <f t="shared" si="73"/>
        <v>January</v>
      </c>
      <c r="N1597" s="6">
        <f t="shared" si="74"/>
        <v>2005</v>
      </c>
    </row>
    <row r="1598" spans="1:14">
      <c r="A1598" s="2" t="s">
        <v>28</v>
      </c>
      <c r="B1598" s="3">
        <v>10384</v>
      </c>
      <c r="C1598" s="3">
        <v>28</v>
      </c>
      <c r="D1598" s="13">
        <v>80.54</v>
      </c>
      <c r="E1598" s="5">
        <v>38406</v>
      </c>
      <c r="F1598" s="2" t="s">
        <v>13</v>
      </c>
      <c r="G1598" s="2" t="s">
        <v>214</v>
      </c>
      <c r="H1598" s="3">
        <v>1</v>
      </c>
      <c r="I1598" s="6">
        <v>2005</v>
      </c>
      <c r="J1598" s="2" t="s">
        <v>15</v>
      </c>
      <c r="K1598" s="2" t="s">
        <v>29</v>
      </c>
      <c r="L1598" s="7">
        <f t="shared" si="72"/>
        <v>2255.12</v>
      </c>
      <c r="M1598" s="2" t="str">
        <f t="shared" si="73"/>
        <v>February</v>
      </c>
      <c r="N1598" s="6">
        <f t="shared" si="74"/>
        <v>2005</v>
      </c>
    </row>
    <row r="1599" spans="1:14">
      <c r="A1599" s="2" t="s">
        <v>103</v>
      </c>
      <c r="B1599" s="3">
        <v>10396</v>
      </c>
      <c r="C1599" s="3">
        <v>49</v>
      </c>
      <c r="D1599" s="13">
        <v>100</v>
      </c>
      <c r="E1599" s="5">
        <v>38434</v>
      </c>
      <c r="F1599" s="2" t="s">
        <v>13</v>
      </c>
      <c r="G1599" s="2" t="s">
        <v>214</v>
      </c>
      <c r="H1599" s="3">
        <v>1</v>
      </c>
      <c r="I1599" s="6">
        <v>2005</v>
      </c>
      <c r="J1599" s="2" t="s">
        <v>22</v>
      </c>
      <c r="K1599" s="2" t="s">
        <v>104</v>
      </c>
      <c r="L1599" s="7">
        <f t="shared" si="72"/>
        <v>4900</v>
      </c>
      <c r="M1599" s="2" t="str">
        <f t="shared" si="73"/>
        <v>March</v>
      </c>
      <c r="N1599" s="6">
        <f t="shared" si="74"/>
        <v>2005</v>
      </c>
    </row>
    <row r="1600" spans="1:14">
      <c r="A1600" s="2" t="s">
        <v>143</v>
      </c>
      <c r="B1600" s="3">
        <v>10414</v>
      </c>
      <c r="C1600" s="3">
        <v>23</v>
      </c>
      <c r="D1600" s="13">
        <v>100</v>
      </c>
      <c r="E1600" s="5">
        <v>38478</v>
      </c>
      <c r="F1600" s="2" t="s">
        <v>151</v>
      </c>
      <c r="G1600" s="2" t="s">
        <v>214</v>
      </c>
      <c r="H1600" s="3">
        <v>2</v>
      </c>
      <c r="I1600" s="6">
        <v>2005</v>
      </c>
      <c r="J1600" s="2" t="s">
        <v>22</v>
      </c>
      <c r="K1600" s="2" t="s">
        <v>144</v>
      </c>
      <c r="L1600" s="7">
        <f t="shared" si="72"/>
        <v>2300</v>
      </c>
      <c r="M1600" s="2" t="str">
        <f t="shared" si="73"/>
        <v>May</v>
      </c>
      <c r="N1600" s="6">
        <f t="shared" si="74"/>
        <v>2005</v>
      </c>
    </row>
    <row r="1601" spans="1:14">
      <c r="A1601" s="2" t="s">
        <v>173</v>
      </c>
      <c r="B1601" s="3">
        <v>10101</v>
      </c>
      <c r="C1601" s="3">
        <v>46</v>
      </c>
      <c r="D1601" s="13">
        <v>53.76</v>
      </c>
      <c r="E1601" s="5">
        <v>37630</v>
      </c>
      <c r="F1601" s="2" t="s">
        <v>13</v>
      </c>
      <c r="G1601" s="2" t="s">
        <v>202</v>
      </c>
      <c r="H1601" s="3">
        <v>1</v>
      </c>
      <c r="I1601" s="6">
        <v>2003</v>
      </c>
      <c r="J1601" s="2" t="s">
        <v>15</v>
      </c>
      <c r="K1601" s="2" t="s">
        <v>174</v>
      </c>
      <c r="L1601" s="7">
        <f t="shared" si="72"/>
        <v>2472.96</v>
      </c>
      <c r="M1601" s="2" t="str">
        <f t="shared" si="73"/>
        <v>January</v>
      </c>
      <c r="N1601" s="6">
        <f t="shared" si="74"/>
        <v>2003</v>
      </c>
    </row>
    <row r="1602" spans="1:14">
      <c r="A1602" s="2" t="s">
        <v>183</v>
      </c>
      <c r="B1602" s="3">
        <v>10110</v>
      </c>
      <c r="C1602" s="3">
        <v>39</v>
      </c>
      <c r="D1602" s="13">
        <v>44.35</v>
      </c>
      <c r="E1602" s="5">
        <v>37698</v>
      </c>
      <c r="F1602" s="2" t="s">
        <v>13</v>
      </c>
      <c r="G1602" s="2" t="s">
        <v>202</v>
      </c>
      <c r="H1602" s="3">
        <v>1</v>
      </c>
      <c r="I1602" s="6">
        <v>2003</v>
      </c>
      <c r="J1602" s="2" t="s">
        <v>15</v>
      </c>
      <c r="K1602" s="2" t="s">
        <v>184</v>
      </c>
      <c r="L1602" s="7">
        <f t="shared" ref="L1602:L1665" si="75">PRODUCT(C1602,D1602)</f>
        <v>1729.65</v>
      </c>
      <c r="M1602" s="2" t="str">
        <f t="shared" ref="M1602:M1665" si="76">TEXT(E1602,"MMMM")</f>
        <v>March</v>
      </c>
      <c r="N1602" s="6">
        <f t="shared" ref="N1602:N1665" si="77">YEAR(E1602)</f>
        <v>2003</v>
      </c>
    </row>
    <row r="1603" spans="1:14">
      <c r="A1603" s="2" t="s">
        <v>198</v>
      </c>
      <c r="B1603" s="3">
        <v>10124</v>
      </c>
      <c r="C1603" s="3">
        <v>22</v>
      </c>
      <c r="D1603" s="13">
        <v>45.25</v>
      </c>
      <c r="E1603" s="5">
        <v>37762</v>
      </c>
      <c r="F1603" s="2" t="s">
        <v>13</v>
      </c>
      <c r="G1603" s="2" t="s">
        <v>202</v>
      </c>
      <c r="H1603" s="3">
        <v>2</v>
      </c>
      <c r="I1603" s="6">
        <v>2003</v>
      </c>
      <c r="J1603" s="2" t="s">
        <v>15</v>
      </c>
      <c r="K1603" s="2" t="s">
        <v>199</v>
      </c>
      <c r="L1603" s="7">
        <f t="shared" si="75"/>
        <v>995.5</v>
      </c>
      <c r="M1603" s="2" t="str">
        <f t="shared" si="76"/>
        <v>May</v>
      </c>
      <c r="N1603" s="6">
        <f t="shared" si="77"/>
        <v>2003</v>
      </c>
    </row>
    <row r="1604" spans="1:14">
      <c r="A1604" s="2" t="s">
        <v>194</v>
      </c>
      <c r="B1604" s="3">
        <v>10149</v>
      </c>
      <c r="C1604" s="3">
        <v>49</v>
      </c>
      <c r="D1604" s="13">
        <v>49.28</v>
      </c>
      <c r="E1604" s="5">
        <v>37876</v>
      </c>
      <c r="F1604" s="2" t="s">
        <v>13</v>
      </c>
      <c r="G1604" s="2" t="s">
        <v>202</v>
      </c>
      <c r="H1604" s="3">
        <v>3</v>
      </c>
      <c r="I1604" s="6">
        <v>2003</v>
      </c>
      <c r="J1604" s="2" t="s">
        <v>15</v>
      </c>
      <c r="K1604" s="2" t="s">
        <v>195</v>
      </c>
      <c r="L1604" s="7">
        <f t="shared" si="75"/>
        <v>2414.72</v>
      </c>
      <c r="M1604" s="2" t="str">
        <f t="shared" si="76"/>
        <v>September</v>
      </c>
      <c r="N1604" s="6">
        <f t="shared" si="77"/>
        <v>2003</v>
      </c>
    </row>
    <row r="1605" spans="1:14">
      <c r="A1605" s="2" t="s">
        <v>28</v>
      </c>
      <c r="B1605" s="3">
        <v>10162</v>
      </c>
      <c r="C1605" s="3">
        <v>43</v>
      </c>
      <c r="D1605" s="13">
        <v>36.29</v>
      </c>
      <c r="E1605" s="5">
        <v>37912</v>
      </c>
      <c r="F1605" s="2" t="s">
        <v>13</v>
      </c>
      <c r="G1605" s="2" t="s">
        <v>202</v>
      </c>
      <c r="H1605" s="3">
        <v>4</v>
      </c>
      <c r="I1605" s="6">
        <v>2003</v>
      </c>
      <c r="J1605" s="2" t="s">
        <v>15</v>
      </c>
      <c r="K1605" s="2" t="s">
        <v>29</v>
      </c>
      <c r="L1605" s="7">
        <f t="shared" si="75"/>
        <v>1560.47</v>
      </c>
      <c r="M1605" s="2" t="str">
        <f t="shared" si="76"/>
        <v>October</v>
      </c>
      <c r="N1605" s="6">
        <f t="shared" si="77"/>
        <v>2003</v>
      </c>
    </row>
    <row r="1606" spans="1:14">
      <c r="A1606" s="2" t="s">
        <v>203</v>
      </c>
      <c r="B1606" s="3">
        <v>10173</v>
      </c>
      <c r="C1606" s="3">
        <v>27</v>
      </c>
      <c r="D1606" s="13">
        <v>41.22</v>
      </c>
      <c r="E1606" s="5">
        <v>37930</v>
      </c>
      <c r="F1606" s="2" t="s">
        <v>13</v>
      </c>
      <c r="G1606" s="2" t="s">
        <v>202</v>
      </c>
      <c r="H1606" s="3">
        <v>4</v>
      </c>
      <c r="I1606" s="6">
        <v>2003</v>
      </c>
      <c r="J1606" s="2" t="s">
        <v>15</v>
      </c>
      <c r="K1606" s="2" t="s">
        <v>204</v>
      </c>
      <c r="L1606" s="7">
        <f t="shared" si="75"/>
        <v>1112.94</v>
      </c>
      <c r="M1606" s="2" t="str">
        <f t="shared" si="76"/>
        <v>November</v>
      </c>
      <c r="N1606" s="6">
        <f t="shared" si="77"/>
        <v>2003</v>
      </c>
    </row>
    <row r="1607" spans="1:14">
      <c r="A1607" s="2" t="s">
        <v>103</v>
      </c>
      <c r="B1607" s="3">
        <v>10182</v>
      </c>
      <c r="C1607" s="3">
        <v>31</v>
      </c>
      <c r="D1607" s="13">
        <v>36.74</v>
      </c>
      <c r="E1607" s="5">
        <v>37937</v>
      </c>
      <c r="F1607" s="2" t="s">
        <v>13</v>
      </c>
      <c r="G1607" s="2" t="s">
        <v>202</v>
      </c>
      <c r="H1607" s="3">
        <v>4</v>
      </c>
      <c r="I1607" s="6">
        <v>2003</v>
      </c>
      <c r="J1607" s="2" t="s">
        <v>15</v>
      </c>
      <c r="K1607" s="2" t="s">
        <v>104</v>
      </c>
      <c r="L1607" s="7">
        <f t="shared" si="75"/>
        <v>1138.94</v>
      </c>
      <c r="M1607" s="2" t="str">
        <f t="shared" si="76"/>
        <v>November</v>
      </c>
      <c r="N1607" s="6">
        <f t="shared" si="77"/>
        <v>2003</v>
      </c>
    </row>
    <row r="1608" spans="1:14">
      <c r="A1608" s="2" t="s">
        <v>205</v>
      </c>
      <c r="B1608" s="3">
        <v>10193</v>
      </c>
      <c r="C1608" s="3">
        <v>20</v>
      </c>
      <c r="D1608" s="13">
        <v>50.62</v>
      </c>
      <c r="E1608" s="5">
        <v>37946</v>
      </c>
      <c r="F1608" s="2" t="s">
        <v>13</v>
      </c>
      <c r="G1608" s="2" t="s">
        <v>202</v>
      </c>
      <c r="H1608" s="3">
        <v>4</v>
      </c>
      <c r="I1608" s="6">
        <v>2003</v>
      </c>
      <c r="J1608" s="2" t="s">
        <v>15</v>
      </c>
      <c r="K1608" s="2" t="s">
        <v>206</v>
      </c>
      <c r="L1608" s="7">
        <f t="shared" si="75"/>
        <v>1012.4</v>
      </c>
      <c r="M1608" s="2" t="str">
        <f t="shared" si="76"/>
        <v>November</v>
      </c>
      <c r="N1608" s="6">
        <f t="shared" si="77"/>
        <v>2003</v>
      </c>
    </row>
    <row r="1609" spans="1:14">
      <c r="A1609" s="2" t="s">
        <v>69</v>
      </c>
      <c r="B1609" s="3">
        <v>10205</v>
      </c>
      <c r="C1609" s="3">
        <v>24</v>
      </c>
      <c r="D1609" s="13">
        <v>38.08</v>
      </c>
      <c r="E1609" s="5">
        <v>37958</v>
      </c>
      <c r="F1609" s="2" t="s">
        <v>13</v>
      </c>
      <c r="G1609" s="2" t="s">
        <v>202</v>
      </c>
      <c r="H1609" s="3">
        <v>4</v>
      </c>
      <c r="I1609" s="6">
        <v>2003</v>
      </c>
      <c r="J1609" s="2" t="s">
        <v>15</v>
      </c>
      <c r="K1609" s="2" t="s">
        <v>71</v>
      </c>
      <c r="L1609" s="7">
        <f t="shared" si="75"/>
        <v>913.92</v>
      </c>
      <c r="M1609" s="2" t="str">
        <f t="shared" si="76"/>
        <v>December</v>
      </c>
      <c r="N1609" s="6">
        <f t="shared" si="77"/>
        <v>2003</v>
      </c>
    </row>
    <row r="1610" spans="1:14">
      <c r="A1610" s="2" t="s">
        <v>75</v>
      </c>
      <c r="B1610" s="3">
        <v>10214</v>
      </c>
      <c r="C1610" s="3">
        <v>49</v>
      </c>
      <c r="D1610" s="13">
        <v>47.94</v>
      </c>
      <c r="E1610" s="5">
        <v>38012</v>
      </c>
      <c r="F1610" s="2" t="s">
        <v>13</v>
      </c>
      <c r="G1610" s="2" t="s">
        <v>202</v>
      </c>
      <c r="H1610" s="3">
        <v>1</v>
      </c>
      <c r="I1610" s="6">
        <v>2004</v>
      </c>
      <c r="J1610" s="2" t="s">
        <v>15</v>
      </c>
      <c r="K1610" s="2" t="s">
        <v>76</v>
      </c>
      <c r="L1610" s="7">
        <f t="shared" si="75"/>
        <v>2349.06</v>
      </c>
      <c r="M1610" s="2" t="str">
        <f t="shared" si="76"/>
        <v>January</v>
      </c>
      <c r="N1610" s="6">
        <f t="shared" si="77"/>
        <v>2004</v>
      </c>
    </row>
    <row r="1611" spans="1:14">
      <c r="A1611" s="2" t="s">
        <v>85</v>
      </c>
      <c r="B1611" s="3">
        <v>10227</v>
      </c>
      <c r="C1611" s="3">
        <v>24</v>
      </c>
      <c r="D1611" s="13">
        <v>48.38</v>
      </c>
      <c r="E1611" s="5">
        <v>38048</v>
      </c>
      <c r="F1611" s="2" t="s">
        <v>13</v>
      </c>
      <c r="G1611" s="2" t="s">
        <v>202</v>
      </c>
      <c r="H1611" s="3">
        <v>1</v>
      </c>
      <c r="I1611" s="6">
        <v>2004</v>
      </c>
      <c r="J1611" s="2" t="s">
        <v>15</v>
      </c>
      <c r="K1611" s="2" t="s">
        <v>86</v>
      </c>
      <c r="L1611" s="7">
        <f t="shared" si="75"/>
        <v>1161.12</v>
      </c>
      <c r="M1611" s="2" t="str">
        <f t="shared" si="76"/>
        <v>March</v>
      </c>
      <c r="N1611" s="6">
        <f t="shared" si="77"/>
        <v>2004</v>
      </c>
    </row>
    <row r="1612" spans="1:14">
      <c r="A1612" s="2" t="s">
        <v>69</v>
      </c>
      <c r="B1612" s="3">
        <v>10244</v>
      </c>
      <c r="C1612" s="3">
        <v>39</v>
      </c>
      <c r="D1612" s="13">
        <v>45.25</v>
      </c>
      <c r="E1612" s="5">
        <v>38106</v>
      </c>
      <c r="F1612" s="2" t="s">
        <v>13</v>
      </c>
      <c r="G1612" s="2" t="s">
        <v>202</v>
      </c>
      <c r="H1612" s="3">
        <v>2</v>
      </c>
      <c r="I1612" s="6">
        <v>2004</v>
      </c>
      <c r="J1612" s="2" t="s">
        <v>15</v>
      </c>
      <c r="K1612" s="2" t="s">
        <v>71</v>
      </c>
      <c r="L1612" s="7">
        <f t="shared" si="75"/>
        <v>1764.75</v>
      </c>
      <c r="M1612" s="2" t="str">
        <f t="shared" si="76"/>
        <v>April</v>
      </c>
      <c r="N1612" s="6">
        <f t="shared" si="77"/>
        <v>2004</v>
      </c>
    </row>
    <row r="1613" spans="1:14">
      <c r="A1613" s="2" t="s">
        <v>196</v>
      </c>
      <c r="B1613" s="3">
        <v>10255</v>
      </c>
      <c r="C1613" s="3">
        <v>37</v>
      </c>
      <c r="D1613" s="13">
        <v>45.7</v>
      </c>
      <c r="E1613" s="5">
        <v>38142</v>
      </c>
      <c r="F1613" s="2" t="s">
        <v>13</v>
      </c>
      <c r="G1613" s="2" t="s">
        <v>202</v>
      </c>
      <c r="H1613" s="3">
        <v>2</v>
      </c>
      <c r="I1613" s="6">
        <v>2004</v>
      </c>
      <c r="J1613" s="2" t="s">
        <v>15</v>
      </c>
      <c r="K1613" s="2" t="s">
        <v>197</v>
      </c>
      <c r="L1613" s="7">
        <f t="shared" si="75"/>
        <v>1690.9</v>
      </c>
      <c r="M1613" s="2" t="str">
        <f t="shared" si="76"/>
        <v>June</v>
      </c>
      <c r="N1613" s="6">
        <f t="shared" si="77"/>
        <v>2004</v>
      </c>
    </row>
    <row r="1614" spans="1:14">
      <c r="A1614" s="2" t="s">
        <v>97</v>
      </c>
      <c r="B1614" s="3">
        <v>10280</v>
      </c>
      <c r="C1614" s="3">
        <v>45</v>
      </c>
      <c r="D1614" s="13">
        <v>47.49</v>
      </c>
      <c r="E1614" s="5">
        <v>38216</v>
      </c>
      <c r="F1614" s="2" t="s">
        <v>13</v>
      </c>
      <c r="G1614" s="2" t="s">
        <v>202</v>
      </c>
      <c r="H1614" s="3">
        <v>3</v>
      </c>
      <c r="I1614" s="6">
        <v>2004</v>
      </c>
      <c r="J1614" s="2" t="s">
        <v>15</v>
      </c>
      <c r="K1614" s="2" t="s">
        <v>98</v>
      </c>
      <c r="L1614" s="7">
        <f t="shared" si="75"/>
        <v>2137.05</v>
      </c>
      <c r="M1614" s="2" t="str">
        <f t="shared" si="76"/>
        <v>August</v>
      </c>
      <c r="N1614" s="6">
        <f t="shared" si="77"/>
        <v>2004</v>
      </c>
    </row>
    <row r="1615" spans="1:14">
      <c r="A1615" s="2" t="s">
        <v>36</v>
      </c>
      <c r="B1615" s="3">
        <v>10289</v>
      </c>
      <c r="C1615" s="3">
        <v>45</v>
      </c>
      <c r="D1615" s="13">
        <v>48.38</v>
      </c>
      <c r="E1615" s="5">
        <v>38233</v>
      </c>
      <c r="F1615" s="2" t="s">
        <v>13</v>
      </c>
      <c r="G1615" s="2" t="s">
        <v>202</v>
      </c>
      <c r="H1615" s="3">
        <v>3</v>
      </c>
      <c r="I1615" s="6">
        <v>2004</v>
      </c>
      <c r="J1615" s="2" t="s">
        <v>15</v>
      </c>
      <c r="K1615" s="2" t="s">
        <v>37</v>
      </c>
      <c r="L1615" s="7">
        <f t="shared" si="75"/>
        <v>2177.1</v>
      </c>
      <c r="M1615" s="2" t="str">
        <f t="shared" si="76"/>
        <v>September</v>
      </c>
      <c r="N1615" s="6">
        <f t="shared" si="77"/>
        <v>2004</v>
      </c>
    </row>
    <row r="1616" spans="1:14">
      <c r="A1616" s="2" t="s">
        <v>101</v>
      </c>
      <c r="B1616" s="3">
        <v>10304</v>
      </c>
      <c r="C1616" s="3">
        <v>44</v>
      </c>
      <c r="D1616" s="13">
        <v>39.42</v>
      </c>
      <c r="E1616" s="5">
        <v>38271</v>
      </c>
      <c r="F1616" s="2" t="s">
        <v>13</v>
      </c>
      <c r="G1616" s="2" t="s">
        <v>202</v>
      </c>
      <c r="H1616" s="3">
        <v>4</v>
      </c>
      <c r="I1616" s="6">
        <v>2004</v>
      </c>
      <c r="J1616" s="2" t="s">
        <v>15</v>
      </c>
      <c r="K1616" s="2" t="s">
        <v>102</v>
      </c>
      <c r="L1616" s="7">
        <f t="shared" si="75"/>
        <v>1734.48</v>
      </c>
      <c r="M1616" s="2" t="str">
        <f t="shared" si="76"/>
        <v>October</v>
      </c>
      <c r="N1616" s="6">
        <f t="shared" si="77"/>
        <v>2004</v>
      </c>
    </row>
    <row r="1617" spans="1:14">
      <c r="A1617" s="2" t="s">
        <v>103</v>
      </c>
      <c r="B1617" s="3">
        <v>10312</v>
      </c>
      <c r="C1617" s="3">
        <v>23</v>
      </c>
      <c r="D1617" s="13">
        <v>37.63</v>
      </c>
      <c r="E1617" s="5">
        <v>38281</v>
      </c>
      <c r="F1617" s="2" t="s">
        <v>13</v>
      </c>
      <c r="G1617" s="2" t="s">
        <v>202</v>
      </c>
      <c r="H1617" s="3">
        <v>4</v>
      </c>
      <c r="I1617" s="6">
        <v>2004</v>
      </c>
      <c r="J1617" s="2" t="s">
        <v>15</v>
      </c>
      <c r="K1617" s="2" t="s">
        <v>104</v>
      </c>
      <c r="L1617" s="7">
        <f t="shared" si="75"/>
        <v>865.49</v>
      </c>
      <c r="M1617" s="2" t="str">
        <f t="shared" si="76"/>
        <v>October</v>
      </c>
      <c r="N1617" s="6">
        <f t="shared" si="77"/>
        <v>2004</v>
      </c>
    </row>
    <row r="1618" spans="1:14">
      <c r="A1618" s="2" t="s">
        <v>105</v>
      </c>
      <c r="B1618" s="3">
        <v>10322</v>
      </c>
      <c r="C1618" s="3">
        <v>30</v>
      </c>
      <c r="D1618" s="13">
        <v>100</v>
      </c>
      <c r="E1618" s="5">
        <v>38295</v>
      </c>
      <c r="F1618" s="2" t="s">
        <v>13</v>
      </c>
      <c r="G1618" s="2" t="s">
        <v>202</v>
      </c>
      <c r="H1618" s="3">
        <v>4</v>
      </c>
      <c r="I1618" s="6">
        <v>2004</v>
      </c>
      <c r="J1618" s="2" t="s">
        <v>22</v>
      </c>
      <c r="K1618" s="2" t="s">
        <v>106</v>
      </c>
      <c r="L1618" s="7">
        <f t="shared" si="75"/>
        <v>3000</v>
      </c>
      <c r="M1618" s="2" t="str">
        <f t="shared" si="76"/>
        <v>November</v>
      </c>
      <c r="N1618" s="6">
        <f t="shared" si="77"/>
        <v>2004</v>
      </c>
    </row>
    <row r="1619" spans="1:14">
      <c r="A1619" s="2" t="s">
        <v>183</v>
      </c>
      <c r="B1619" s="3">
        <v>10332</v>
      </c>
      <c r="C1619" s="3">
        <v>26</v>
      </c>
      <c r="D1619" s="13">
        <v>85.52</v>
      </c>
      <c r="E1619" s="5">
        <v>38308</v>
      </c>
      <c r="F1619" s="2" t="s">
        <v>13</v>
      </c>
      <c r="G1619" s="2" t="s">
        <v>202</v>
      </c>
      <c r="H1619" s="3">
        <v>4</v>
      </c>
      <c r="I1619" s="6">
        <v>2004</v>
      </c>
      <c r="J1619" s="2" t="s">
        <v>15</v>
      </c>
      <c r="K1619" s="2" t="s">
        <v>184</v>
      </c>
      <c r="L1619" s="7">
        <f t="shared" si="75"/>
        <v>2223.52</v>
      </c>
      <c r="M1619" s="2" t="str">
        <f t="shared" si="76"/>
        <v>November</v>
      </c>
      <c r="N1619" s="6">
        <f t="shared" si="77"/>
        <v>2004</v>
      </c>
    </row>
    <row r="1620" spans="1:14">
      <c r="A1620" s="2" t="s">
        <v>118</v>
      </c>
      <c r="B1620" s="3">
        <v>10345</v>
      </c>
      <c r="C1620" s="3">
        <v>43</v>
      </c>
      <c r="D1620" s="13">
        <v>53.76</v>
      </c>
      <c r="E1620" s="5">
        <v>38316</v>
      </c>
      <c r="F1620" s="2" t="s">
        <v>13</v>
      </c>
      <c r="G1620" s="2" t="s">
        <v>202</v>
      </c>
      <c r="H1620" s="3">
        <v>4</v>
      </c>
      <c r="I1620" s="6">
        <v>2004</v>
      </c>
      <c r="J1620" s="2" t="s">
        <v>15</v>
      </c>
      <c r="K1620" s="2" t="s">
        <v>119</v>
      </c>
      <c r="L1620" s="7">
        <f t="shared" si="75"/>
        <v>2311.68</v>
      </c>
      <c r="M1620" s="2" t="str">
        <f t="shared" si="76"/>
        <v>November</v>
      </c>
      <c r="N1620" s="6">
        <f t="shared" si="77"/>
        <v>2004</v>
      </c>
    </row>
    <row r="1621" spans="1:14">
      <c r="A1621" s="2" t="s">
        <v>21</v>
      </c>
      <c r="B1621" s="3">
        <v>10356</v>
      </c>
      <c r="C1621" s="3">
        <v>26</v>
      </c>
      <c r="D1621" s="13">
        <v>31.86</v>
      </c>
      <c r="E1621" s="5">
        <v>38330</v>
      </c>
      <c r="F1621" s="2" t="s">
        <v>13</v>
      </c>
      <c r="G1621" s="2" t="s">
        <v>202</v>
      </c>
      <c r="H1621" s="3">
        <v>4</v>
      </c>
      <c r="I1621" s="6">
        <v>2004</v>
      </c>
      <c r="J1621" s="2" t="s">
        <v>15</v>
      </c>
      <c r="K1621" s="2" t="s">
        <v>23</v>
      </c>
      <c r="L1621" s="7">
        <f t="shared" si="75"/>
        <v>828.36</v>
      </c>
      <c r="M1621" s="2" t="str">
        <f t="shared" si="76"/>
        <v>December</v>
      </c>
      <c r="N1621" s="6">
        <f t="shared" si="77"/>
        <v>2004</v>
      </c>
    </row>
    <row r="1622" spans="1:14">
      <c r="A1622" s="2" t="s">
        <v>25</v>
      </c>
      <c r="B1622" s="3">
        <v>10367</v>
      </c>
      <c r="C1622" s="3">
        <v>28</v>
      </c>
      <c r="D1622" s="13">
        <v>30.59</v>
      </c>
      <c r="E1622" s="5">
        <v>38364</v>
      </c>
      <c r="F1622" s="2" t="s">
        <v>155</v>
      </c>
      <c r="G1622" s="2" t="s">
        <v>202</v>
      </c>
      <c r="H1622" s="3">
        <v>1</v>
      </c>
      <c r="I1622" s="6">
        <v>2005</v>
      </c>
      <c r="J1622" s="2" t="s">
        <v>15</v>
      </c>
      <c r="K1622" s="2" t="s">
        <v>26</v>
      </c>
      <c r="L1622" s="7">
        <f t="shared" si="75"/>
        <v>856.52</v>
      </c>
      <c r="M1622" s="2" t="str">
        <f t="shared" si="76"/>
        <v>January</v>
      </c>
      <c r="N1622" s="6">
        <f t="shared" si="77"/>
        <v>2005</v>
      </c>
    </row>
    <row r="1623" spans="1:14">
      <c r="A1623" s="2" t="s">
        <v>69</v>
      </c>
      <c r="B1623" s="3">
        <v>10380</v>
      </c>
      <c r="C1623" s="3">
        <v>27</v>
      </c>
      <c r="D1623" s="13">
        <v>68.35</v>
      </c>
      <c r="E1623" s="5">
        <v>38399</v>
      </c>
      <c r="F1623" s="2" t="s">
        <v>13</v>
      </c>
      <c r="G1623" s="2" t="s">
        <v>202</v>
      </c>
      <c r="H1623" s="3">
        <v>1</v>
      </c>
      <c r="I1623" s="6">
        <v>2005</v>
      </c>
      <c r="J1623" s="2" t="s">
        <v>15</v>
      </c>
      <c r="K1623" s="2" t="s">
        <v>71</v>
      </c>
      <c r="L1623" s="7">
        <f t="shared" si="75"/>
        <v>1845.45</v>
      </c>
      <c r="M1623" s="2" t="str">
        <f t="shared" si="76"/>
        <v>February</v>
      </c>
      <c r="N1623" s="6">
        <f t="shared" si="77"/>
        <v>2005</v>
      </c>
    </row>
    <row r="1624" spans="1:14">
      <c r="A1624" s="2" t="s">
        <v>109</v>
      </c>
      <c r="B1624" s="3">
        <v>10391</v>
      </c>
      <c r="C1624" s="3">
        <v>24</v>
      </c>
      <c r="D1624" s="13">
        <v>100</v>
      </c>
      <c r="E1624" s="5">
        <v>38420</v>
      </c>
      <c r="F1624" s="2" t="s">
        <v>13</v>
      </c>
      <c r="G1624" s="2" t="s">
        <v>202</v>
      </c>
      <c r="H1624" s="3">
        <v>1</v>
      </c>
      <c r="I1624" s="6">
        <v>2005</v>
      </c>
      <c r="J1624" s="2" t="s">
        <v>22</v>
      </c>
      <c r="K1624" s="2" t="s">
        <v>110</v>
      </c>
      <c r="L1624" s="7">
        <f t="shared" si="75"/>
        <v>2400</v>
      </c>
      <c r="M1624" s="2" t="str">
        <f t="shared" si="76"/>
        <v>March</v>
      </c>
      <c r="N1624" s="6">
        <f t="shared" si="77"/>
        <v>2005</v>
      </c>
    </row>
    <row r="1625" spans="1:14">
      <c r="A1625" s="2" t="s">
        <v>103</v>
      </c>
      <c r="B1625" s="3">
        <v>10421</v>
      </c>
      <c r="C1625" s="3">
        <v>40</v>
      </c>
      <c r="D1625" s="13">
        <v>45.7</v>
      </c>
      <c r="E1625" s="5">
        <v>38501</v>
      </c>
      <c r="F1625" s="2" t="s">
        <v>113</v>
      </c>
      <c r="G1625" s="2" t="s">
        <v>202</v>
      </c>
      <c r="H1625" s="3">
        <v>2</v>
      </c>
      <c r="I1625" s="6">
        <v>2005</v>
      </c>
      <c r="J1625" s="2" t="s">
        <v>15</v>
      </c>
      <c r="K1625" s="2" t="s">
        <v>104</v>
      </c>
      <c r="L1625" s="7">
        <f t="shared" si="75"/>
        <v>1828</v>
      </c>
      <c r="M1625" s="2" t="str">
        <f t="shared" si="76"/>
        <v>May</v>
      </c>
      <c r="N1625" s="6">
        <f t="shared" si="77"/>
        <v>2005</v>
      </c>
    </row>
    <row r="1626" spans="1:14">
      <c r="A1626" s="2" t="s">
        <v>152</v>
      </c>
      <c r="B1626" s="3">
        <v>10114</v>
      </c>
      <c r="C1626" s="3">
        <v>21</v>
      </c>
      <c r="D1626" s="13">
        <v>100</v>
      </c>
      <c r="E1626" s="5">
        <v>37712</v>
      </c>
      <c r="F1626" s="2" t="s">
        <v>13</v>
      </c>
      <c r="G1626" s="2" t="s">
        <v>187</v>
      </c>
      <c r="H1626" s="3">
        <v>2</v>
      </c>
      <c r="I1626" s="6">
        <v>2003</v>
      </c>
      <c r="J1626" s="2" t="s">
        <v>15</v>
      </c>
      <c r="K1626" s="2" t="s">
        <v>153</v>
      </c>
      <c r="L1626" s="7">
        <f t="shared" si="75"/>
        <v>2100</v>
      </c>
      <c r="M1626" s="2" t="str">
        <f t="shared" si="76"/>
        <v>April</v>
      </c>
      <c r="N1626" s="6">
        <f t="shared" si="77"/>
        <v>2003</v>
      </c>
    </row>
    <row r="1627" spans="1:14">
      <c r="A1627" s="2" t="s">
        <v>75</v>
      </c>
      <c r="B1627" s="3">
        <v>10126</v>
      </c>
      <c r="C1627" s="3">
        <v>27</v>
      </c>
      <c r="D1627" s="13">
        <v>100</v>
      </c>
      <c r="E1627" s="5">
        <v>37769</v>
      </c>
      <c r="F1627" s="2" t="s">
        <v>13</v>
      </c>
      <c r="G1627" s="2" t="s">
        <v>187</v>
      </c>
      <c r="H1627" s="3">
        <v>2</v>
      </c>
      <c r="I1627" s="6">
        <v>2003</v>
      </c>
      <c r="J1627" s="2" t="s">
        <v>22</v>
      </c>
      <c r="K1627" s="2" t="s">
        <v>76</v>
      </c>
      <c r="L1627" s="7">
        <f t="shared" si="75"/>
        <v>2700</v>
      </c>
      <c r="M1627" s="2" t="str">
        <f t="shared" si="76"/>
        <v>May</v>
      </c>
      <c r="N1627" s="6">
        <f t="shared" si="77"/>
        <v>2003</v>
      </c>
    </row>
    <row r="1628" spans="1:14">
      <c r="A1628" s="2" t="s">
        <v>31</v>
      </c>
      <c r="B1628" s="3">
        <v>10140</v>
      </c>
      <c r="C1628" s="3">
        <v>47</v>
      </c>
      <c r="D1628" s="13">
        <v>100</v>
      </c>
      <c r="E1628" s="5">
        <v>37826</v>
      </c>
      <c r="F1628" s="2" t="s">
        <v>13</v>
      </c>
      <c r="G1628" s="2" t="s">
        <v>187</v>
      </c>
      <c r="H1628" s="3">
        <v>3</v>
      </c>
      <c r="I1628" s="6">
        <v>2003</v>
      </c>
      <c r="J1628" s="2" t="s">
        <v>22</v>
      </c>
      <c r="K1628" s="2" t="s">
        <v>32</v>
      </c>
      <c r="L1628" s="7">
        <f t="shared" si="75"/>
        <v>4700</v>
      </c>
      <c r="M1628" s="2" t="str">
        <f t="shared" si="76"/>
        <v>July</v>
      </c>
      <c r="N1628" s="6">
        <f t="shared" si="77"/>
        <v>2003</v>
      </c>
    </row>
    <row r="1629" spans="1:14">
      <c r="A1629" s="2" t="s">
        <v>147</v>
      </c>
      <c r="B1629" s="3">
        <v>10151</v>
      </c>
      <c r="C1629" s="3">
        <v>42</v>
      </c>
      <c r="D1629" s="13">
        <v>100</v>
      </c>
      <c r="E1629" s="5">
        <v>37885</v>
      </c>
      <c r="F1629" s="2" t="s">
        <v>13</v>
      </c>
      <c r="G1629" s="2" t="s">
        <v>187</v>
      </c>
      <c r="H1629" s="3">
        <v>3</v>
      </c>
      <c r="I1629" s="6">
        <v>2003</v>
      </c>
      <c r="J1629" s="2" t="s">
        <v>22</v>
      </c>
      <c r="K1629" s="2" t="s">
        <v>148</v>
      </c>
      <c r="L1629" s="7">
        <f t="shared" si="75"/>
        <v>4200</v>
      </c>
      <c r="M1629" s="2" t="str">
        <f t="shared" si="76"/>
        <v>September</v>
      </c>
      <c r="N1629" s="6">
        <f t="shared" si="77"/>
        <v>2003</v>
      </c>
    </row>
    <row r="1630" spans="1:14">
      <c r="A1630" s="2" t="s">
        <v>77</v>
      </c>
      <c r="B1630" s="3">
        <v>10165</v>
      </c>
      <c r="C1630" s="3">
        <v>32</v>
      </c>
      <c r="D1630" s="13">
        <v>100</v>
      </c>
      <c r="E1630" s="5">
        <v>37916</v>
      </c>
      <c r="F1630" s="2" t="s">
        <v>13</v>
      </c>
      <c r="G1630" s="2" t="s">
        <v>187</v>
      </c>
      <c r="H1630" s="3">
        <v>4</v>
      </c>
      <c r="I1630" s="6">
        <v>2003</v>
      </c>
      <c r="J1630" s="2" t="s">
        <v>22</v>
      </c>
      <c r="K1630" s="2" t="s">
        <v>78</v>
      </c>
      <c r="L1630" s="7">
        <f t="shared" si="75"/>
        <v>3200</v>
      </c>
      <c r="M1630" s="2" t="str">
        <f t="shared" si="76"/>
        <v>October</v>
      </c>
      <c r="N1630" s="6">
        <f t="shared" si="77"/>
        <v>2003</v>
      </c>
    </row>
    <row r="1631" spans="1:14">
      <c r="A1631" s="2" t="s">
        <v>124</v>
      </c>
      <c r="B1631" s="3">
        <v>10175</v>
      </c>
      <c r="C1631" s="3">
        <v>28</v>
      </c>
      <c r="D1631" s="13">
        <v>100</v>
      </c>
      <c r="E1631" s="5">
        <v>37931</v>
      </c>
      <c r="F1631" s="2" t="s">
        <v>13</v>
      </c>
      <c r="G1631" s="2" t="s">
        <v>187</v>
      </c>
      <c r="H1631" s="3">
        <v>4</v>
      </c>
      <c r="I1631" s="6">
        <v>2003</v>
      </c>
      <c r="J1631" s="2" t="s">
        <v>15</v>
      </c>
      <c r="K1631" s="2" t="s">
        <v>125</v>
      </c>
      <c r="L1631" s="7">
        <f t="shared" si="75"/>
        <v>2800</v>
      </c>
      <c r="M1631" s="2" t="str">
        <f t="shared" si="76"/>
        <v>November</v>
      </c>
      <c r="N1631" s="6">
        <f t="shared" si="77"/>
        <v>2003</v>
      </c>
    </row>
    <row r="1632" spans="1:14">
      <c r="A1632" s="2" t="s">
        <v>192</v>
      </c>
      <c r="B1632" s="3">
        <v>10184</v>
      </c>
      <c r="C1632" s="3">
        <v>24</v>
      </c>
      <c r="D1632" s="13">
        <v>100</v>
      </c>
      <c r="E1632" s="5">
        <v>37939</v>
      </c>
      <c r="F1632" s="2" t="s">
        <v>13</v>
      </c>
      <c r="G1632" s="2" t="s">
        <v>187</v>
      </c>
      <c r="H1632" s="3">
        <v>4</v>
      </c>
      <c r="I1632" s="6">
        <v>2003</v>
      </c>
      <c r="J1632" s="2" t="s">
        <v>22</v>
      </c>
      <c r="K1632" s="2" t="s">
        <v>193</v>
      </c>
      <c r="L1632" s="7">
        <f t="shared" si="75"/>
        <v>2400</v>
      </c>
      <c r="M1632" s="2" t="str">
        <f t="shared" si="76"/>
        <v>November</v>
      </c>
      <c r="N1632" s="6">
        <f t="shared" si="77"/>
        <v>2003</v>
      </c>
    </row>
    <row r="1633" spans="1:14">
      <c r="A1633" s="2" t="s">
        <v>85</v>
      </c>
      <c r="B1633" s="3">
        <v>10194</v>
      </c>
      <c r="C1633" s="3">
        <v>49</v>
      </c>
      <c r="D1633" s="13">
        <v>100</v>
      </c>
      <c r="E1633" s="5">
        <v>37950</v>
      </c>
      <c r="F1633" s="2" t="s">
        <v>13</v>
      </c>
      <c r="G1633" s="2" t="s">
        <v>187</v>
      </c>
      <c r="H1633" s="3">
        <v>4</v>
      </c>
      <c r="I1633" s="6">
        <v>2003</v>
      </c>
      <c r="J1633" s="2" t="s">
        <v>22</v>
      </c>
      <c r="K1633" s="2" t="s">
        <v>86</v>
      </c>
      <c r="L1633" s="7">
        <f t="shared" si="75"/>
        <v>4900</v>
      </c>
      <c r="M1633" s="2" t="str">
        <f t="shared" si="76"/>
        <v>November</v>
      </c>
      <c r="N1633" s="6">
        <f t="shared" si="77"/>
        <v>2003</v>
      </c>
    </row>
    <row r="1634" spans="1:14">
      <c r="A1634" s="2" t="s">
        <v>157</v>
      </c>
      <c r="B1634" s="3">
        <v>10207</v>
      </c>
      <c r="C1634" s="3">
        <v>46</v>
      </c>
      <c r="D1634" s="13">
        <v>100</v>
      </c>
      <c r="E1634" s="5">
        <v>37964</v>
      </c>
      <c r="F1634" s="2" t="s">
        <v>13</v>
      </c>
      <c r="G1634" s="2" t="s">
        <v>187</v>
      </c>
      <c r="H1634" s="3">
        <v>4</v>
      </c>
      <c r="I1634" s="6">
        <v>2003</v>
      </c>
      <c r="J1634" s="2" t="s">
        <v>22</v>
      </c>
      <c r="K1634" s="2" t="s">
        <v>158</v>
      </c>
      <c r="L1634" s="7">
        <f t="shared" si="75"/>
        <v>4600</v>
      </c>
      <c r="M1634" s="2" t="str">
        <f t="shared" si="76"/>
        <v>December</v>
      </c>
      <c r="N1634" s="6">
        <f t="shared" si="77"/>
        <v>2003</v>
      </c>
    </row>
    <row r="1635" spans="1:14">
      <c r="A1635" s="2" t="s">
        <v>159</v>
      </c>
      <c r="B1635" s="3">
        <v>10217</v>
      </c>
      <c r="C1635" s="3">
        <v>28</v>
      </c>
      <c r="D1635" s="13">
        <v>100</v>
      </c>
      <c r="E1635" s="5">
        <v>38021</v>
      </c>
      <c r="F1635" s="2" t="s">
        <v>13</v>
      </c>
      <c r="G1635" s="2" t="s">
        <v>187</v>
      </c>
      <c r="H1635" s="3">
        <v>1</v>
      </c>
      <c r="I1635" s="6">
        <v>2004</v>
      </c>
      <c r="J1635" s="2" t="s">
        <v>22</v>
      </c>
      <c r="K1635" s="2" t="s">
        <v>160</v>
      </c>
      <c r="L1635" s="7">
        <f t="shared" si="75"/>
        <v>2800</v>
      </c>
      <c r="M1635" s="2" t="str">
        <f t="shared" si="76"/>
        <v>February</v>
      </c>
      <c r="N1635" s="6">
        <f t="shared" si="77"/>
        <v>2004</v>
      </c>
    </row>
    <row r="1636" spans="1:14">
      <c r="A1636" s="2" t="s">
        <v>103</v>
      </c>
      <c r="B1636" s="3">
        <v>10229</v>
      </c>
      <c r="C1636" s="3">
        <v>48</v>
      </c>
      <c r="D1636" s="13">
        <v>100</v>
      </c>
      <c r="E1636" s="5">
        <v>38057</v>
      </c>
      <c r="F1636" s="2" t="s">
        <v>13</v>
      </c>
      <c r="G1636" s="2" t="s">
        <v>187</v>
      </c>
      <c r="H1636" s="3">
        <v>1</v>
      </c>
      <c r="I1636" s="6">
        <v>2004</v>
      </c>
      <c r="J1636" s="2" t="s">
        <v>22</v>
      </c>
      <c r="K1636" s="2" t="s">
        <v>104</v>
      </c>
      <c r="L1636" s="7">
        <f t="shared" si="75"/>
        <v>4800</v>
      </c>
      <c r="M1636" s="2" t="str">
        <f t="shared" si="76"/>
        <v>March</v>
      </c>
      <c r="N1636" s="6">
        <f t="shared" si="77"/>
        <v>2004</v>
      </c>
    </row>
    <row r="1637" spans="1:14">
      <c r="A1637" s="2" t="s">
        <v>69</v>
      </c>
      <c r="B1637" s="3">
        <v>10246</v>
      </c>
      <c r="C1637" s="3">
        <v>29</v>
      </c>
      <c r="D1637" s="13">
        <v>100</v>
      </c>
      <c r="E1637" s="5">
        <v>38112</v>
      </c>
      <c r="F1637" s="2" t="s">
        <v>13</v>
      </c>
      <c r="G1637" s="2" t="s">
        <v>187</v>
      </c>
      <c r="H1637" s="3">
        <v>2</v>
      </c>
      <c r="I1637" s="6">
        <v>2004</v>
      </c>
      <c r="J1637" s="2" t="s">
        <v>22</v>
      </c>
      <c r="K1637" s="2" t="s">
        <v>71</v>
      </c>
      <c r="L1637" s="7">
        <f t="shared" si="75"/>
        <v>2900</v>
      </c>
      <c r="M1637" s="2" t="str">
        <f t="shared" si="76"/>
        <v>May</v>
      </c>
      <c r="N1637" s="6">
        <f t="shared" si="77"/>
        <v>2004</v>
      </c>
    </row>
    <row r="1638" spans="1:14">
      <c r="A1638" s="2" t="s">
        <v>159</v>
      </c>
      <c r="B1638" s="3">
        <v>10259</v>
      </c>
      <c r="C1638" s="3">
        <v>47</v>
      </c>
      <c r="D1638" s="13">
        <v>100</v>
      </c>
      <c r="E1638" s="5">
        <v>38153</v>
      </c>
      <c r="F1638" s="2" t="s">
        <v>13</v>
      </c>
      <c r="G1638" s="2" t="s">
        <v>187</v>
      </c>
      <c r="H1638" s="3">
        <v>2</v>
      </c>
      <c r="I1638" s="6">
        <v>2004</v>
      </c>
      <c r="J1638" s="2" t="s">
        <v>22</v>
      </c>
      <c r="K1638" s="2" t="s">
        <v>160</v>
      </c>
      <c r="L1638" s="7">
        <f t="shared" si="75"/>
        <v>4700</v>
      </c>
      <c r="M1638" s="2" t="str">
        <f t="shared" si="76"/>
        <v>June</v>
      </c>
      <c r="N1638" s="6">
        <f t="shared" si="77"/>
        <v>2004</v>
      </c>
    </row>
    <row r="1639" spans="1:14">
      <c r="A1639" s="2" t="s">
        <v>103</v>
      </c>
      <c r="B1639" s="3">
        <v>10271</v>
      </c>
      <c r="C1639" s="3">
        <v>43</v>
      </c>
      <c r="D1639" s="13">
        <v>100</v>
      </c>
      <c r="E1639" s="5">
        <v>38188</v>
      </c>
      <c r="F1639" s="2" t="s">
        <v>13</v>
      </c>
      <c r="G1639" s="2" t="s">
        <v>187</v>
      </c>
      <c r="H1639" s="3">
        <v>3</v>
      </c>
      <c r="I1639" s="6">
        <v>2004</v>
      </c>
      <c r="J1639" s="2" t="s">
        <v>22</v>
      </c>
      <c r="K1639" s="2" t="s">
        <v>104</v>
      </c>
      <c r="L1639" s="7">
        <f t="shared" si="75"/>
        <v>4300</v>
      </c>
      <c r="M1639" s="2" t="str">
        <f t="shared" si="76"/>
        <v>July</v>
      </c>
      <c r="N1639" s="6">
        <f t="shared" si="77"/>
        <v>2004</v>
      </c>
    </row>
    <row r="1640" spans="1:14">
      <c r="A1640" s="2" t="s">
        <v>52</v>
      </c>
      <c r="B1640" s="3">
        <v>10305</v>
      </c>
      <c r="C1640" s="3">
        <v>24</v>
      </c>
      <c r="D1640" s="13">
        <v>100</v>
      </c>
      <c r="E1640" s="5">
        <v>38273</v>
      </c>
      <c r="F1640" s="2" t="s">
        <v>13</v>
      </c>
      <c r="G1640" s="2" t="s">
        <v>187</v>
      </c>
      <c r="H1640" s="3">
        <v>4</v>
      </c>
      <c r="I1640" s="6">
        <v>2004</v>
      </c>
      <c r="J1640" s="2" t="s">
        <v>22</v>
      </c>
      <c r="K1640" s="2" t="s">
        <v>53</v>
      </c>
      <c r="L1640" s="7">
        <f t="shared" si="75"/>
        <v>2400</v>
      </c>
      <c r="M1640" s="2" t="str">
        <f t="shared" si="76"/>
        <v>October</v>
      </c>
      <c r="N1640" s="6">
        <f t="shared" si="77"/>
        <v>2004</v>
      </c>
    </row>
    <row r="1641" spans="1:14">
      <c r="A1641" s="2" t="s">
        <v>87</v>
      </c>
      <c r="B1641" s="3">
        <v>10313</v>
      </c>
      <c r="C1641" s="3">
        <v>42</v>
      </c>
      <c r="D1641" s="13">
        <v>100</v>
      </c>
      <c r="E1641" s="5">
        <v>38282</v>
      </c>
      <c r="F1641" s="2" t="s">
        <v>13</v>
      </c>
      <c r="G1641" s="2" t="s">
        <v>187</v>
      </c>
      <c r="H1641" s="3">
        <v>4</v>
      </c>
      <c r="I1641" s="6">
        <v>2004</v>
      </c>
      <c r="J1641" s="2" t="s">
        <v>22</v>
      </c>
      <c r="K1641" s="2" t="s">
        <v>88</v>
      </c>
      <c r="L1641" s="7">
        <f t="shared" si="75"/>
        <v>4200</v>
      </c>
      <c r="M1641" s="2" t="str">
        <f t="shared" si="76"/>
        <v>October</v>
      </c>
      <c r="N1641" s="6">
        <f t="shared" si="77"/>
        <v>2004</v>
      </c>
    </row>
    <row r="1642" spans="1:14">
      <c r="A1642" s="2" t="s">
        <v>44</v>
      </c>
      <c r="B1642" s="3">
        <v>10324</v>
      </c>
      <c r="C1642" s="3">
        <v>31</v>
      </c>
      <c r="D1642" s="13">
        <v>100</v>
      </c>
      <c r="E1642" s="5">
        <v>38296</v>
      </c>
      <c r="F1642" s="2" t="s">
        <v>13</v>
      </c>
      <c r="G1642" s="2" t="s">
        <v>187</v>
      </c>
      <c r="H1642" s="3">
        <v>4</v>
      </c>
      <c r="I1642" s="6">
        <v>2004</v>
      </c>
      <c r="J1642" s="2" t="s">
        <v>22</v>
      </c>
      <c r="K1642" s="2" t="s">
        <v>45</v>
      </c>
      <c r="L1642" s="7">
        <f t="shared" si="75"/>
        <v>3100</v>
      </c>
      <c r="M1642" s="2" t="str">
        <f t="shared" si="76"/>
        <v>November</v>
      </c>
      <c r="N1642" s="6">
        <f t="shared" si="77"/>
        <v>2004</v>
      </c>
    </row>
    <row r="1643" spans="1:14">
      <c r="A1643" s="2" t="s">
        <v>73</v>
      </c>
      <c r="B1643" s="3">
        <v>10334</v>
      </c>
      <c r="C1643" s="3">
        <v>42</v>
      </c>
      <c r="D1643" s="13">
        <v>100</v>
      </c>
      <c r="E1643" s="5">
        <v>38310</v>
      </c>
      <c r="F1643" s="2" t="s">
        <v>151</v>
      </c>
      <c r="G1643" s="2" t="s">
        <v>187</v>
      </c>
      <c r="H1643" s="3">
        <v>4</v>
      </c>
      <c r="I1643" s="6">
        <v>2004</v>
      </c>
      <c r="J1643" s="2" t="s">
        <v>22</v>
      </c>
      <c r="K1643" s="2" t="s">
        <v>74</v>
      </c>
      <c r="L1643" s="7">
        <f t="shared" si="75"/>
        <v>4200</v>
      </c>
      <c r="M1643" s="2" t="str">
        <f t="shared" si="76"/>
        <v>November</v>
      </c>
      <c r="N1643" s="6">
        <f t="shared" si="77"/>
        <v>2004</v>
      </c>
    </row>
    <row r="1644" spans="1:14">
      <c r="A1644" s="2" t="s">
        <v>75</v>
      </c>
      <c r="B1644" s="3">
        <v>10348</v>
      </c>
      <c r="C1644" s="3">
        <v>37</v>
      </c>
      <c r="D1644" s="13">
        <v>100</v>
      </c>
      <c r="E1644" s="5">
        <v>38292</v>
      </c>
      <c r="F1644" s="2" t="s">
        <v>13</v>
      </c>
      <c r="G1644" s="2" t="s">
        <v>187</v>
      </c>
      <c r="H1644" s="3">
        <v>4</v>
      </c>
      <c r="I1644" s="6">
        <v>2004</v>
      </c>
      <c r="J1644" s="2" t="s">
        <v>22</v>
      </c>
      <c r="K1644" s="2" t="s">
        <v>76</v>
      </c>
      <c r="L1644" s="7">
        <f t="shared" si="75"/>
        <v>3700</v>
      </c>
      <c r="M1644" s="2" t="str">
        <f t="shared" si="76"/>
        <v>November</v>
      </c>
      <c r="N1644" s="6">
        <f t="shared" si="77"/>
        <v>2004</v>
      </c>
    </row>
    <row r="1645" spans="1:14">
      <c r="A1645" s="2" t="s">
        <v>69</v>
      </c>
      <c r="B1645" s="3">
        <v>10358</v>
      </c>
      <c r="C1645" s="3">
        <v>41</v>
      </c>
      <c r="D1645" s="13">
        <v>100</v>
      </c>
      <c r="E1645" s="5">
        <v>38331</v>
      </c>
      <c r="F1645" s="2" t="s">
        <v>13</v>
      </c>
      <c r="G1645" s="2" t="s">
        <v>187</v>
      </c>
      <c r="H1645" s="3">
        <v>4</v>
      </c>
      <c r="I1645" s="6">
        <v>2004</v>
      </c>
      <c r="J1645" s="2" t="s">
        <v>22</v>
      </c>
      <c r="K1645" s="2" t="s">
        <v>71</v>
      </c>
      <c r="L1645" s="7">
        <f t="shared" si="75"/>
        <v>4100</v>
      </c>
      <c r="M1645" s="2" t="str">
        <f t="shared" si="76"/>
        <v>December</v>
      </c>
      <c r="N1645" s="6">
        <f t="shared" si="77"/>
        <v>2004</v>
      </c>
    </row>
    <row r="1646" spans="1:14">
      <c r="A1646" s="2" t="s">
        <v>103</v>
      </c>
      <c r="B1646" s="3">
        <v>10371</v>
      </c>
      <c r="C1646" s="3">
        <v>20</v>
      </c>
      <c r="D1646" s="13">
        <v>100</v>
      </c>
      <c r="E1646" s="5">
        <v>38375</v>
      </c>
      <c r="F1646" s="2" t="s">
        <v>13</v>
      </c>
      <c r="G1646" s="2" t="s">
        <v>187</v>
      </c>
      <c r="H1646" s="3">
        <v>1</v>
      </c>
      <c r="I1646" s="6">
        <v>2005</v>
      </c>
      <c r="J1646" s="2" t="s">
        <v>22</v>
      </c>
      <c r="K1646" s="2" t="s">
        <v>104</v>
      </c>
      <c r="L1646" s="7">
        <f t="shared" si="75"/>
        <v>2000</v>
      </c>
      <c r="M1646" s="2" t="str">
        <f t="shared" si="76"/>
        <v>January</v>
      </c>
      <c r="N1646" s="6">
        <f t="shared" si="77"/>
        <v>2005</v>
      </c>
    </row>
    <row r="1647" spans="1:14">
      <c r="A1647" s="2" t="s">
        <v>103</v>
      </c>
      <c r="B1647" s="3">
        <v>10382</v>
      </c>
      <c r="C1647" s="3">
        <v>20</v>
      </c>
      <c r="D1647" s="13">
        <v>100</v>
      </c>
      <c r="E1647" s="5">
        <v>38400</v>
      </c>
      <c r="F1647" s="2" t="s">
        <v>13</v>
      </c>
      <c r="G1647" s="2" t="s">
        <v>187</v>
      </c>
      <c r="H1647" s="3">
        <v>1</v>
      </c>
      <c r="I1647" s="6">
        <v>2005</v>
      </c>
      <c r="J1647" s="2" t="s">
        <v>15</v>
      </c>
      <c r="K1647" s="2" t="s">
        <v>104</v>
      </c>
      <c r="L1647" s="7">
        <f t="shared" si="75"/>
        <v>2000</v>
      </c>
      <c r="M1647" s="2" t="str">
        <f t="shared" si="76"/>
        <v>February</v>
      </c>
      <c r="N1647" s="6">
        <f t="shared" si="77"/>
        <v>2005</v>
      </c>
    </row>
    <row r="1648" spans="1:14">
      <c r="A1648" s="2" t="s">
        <v>69</v>
      </c>
      <c r="B1648" s="3">
        <v>10412</v>
      </c>
      <c r="C1648" s="3">
        <v>70</v>
      </c>
      <c r="D1648" s="13">
        <v>100</v>
      </c>
      <c r="E1648" s="5">
        <v>38475</v>
      </c>
      <c r="F1648" s="2" t="s">
        <v>13</v>
      </c>
      <c r="G1648" s="2" t="s">
        <v>187</v>
      </c>
      <c r="H1648" s="3">
        <v>2</v>
      </c>
      <c r="I1648" s="6">
        <v>2005</v>
      </c>
      <c r="J1648" s="2" t="s">
        <v>61</v>
      </c>
      <c r="K1648" s="2" t="s">
        <v>71</v>
      </c>
      <c r="L1648" s="7">
        <f t="shared" si="75"/>
        <v>7000</v>
      </c>
      <c r="M1648" s="2" t="str">
        <f t="shared" si="76"/>
        <v>May</v>
      </c>
      <c r="N1648" s="6">
        <f t="shared" si="77"/>
        <v>2005</v>
      </c>
    </row>
    <row r="1649" spans="1:14">
      <c r="A1649" s="2" t="s">
        <v>50</v>
      </c>
      <c r="B1649" s="3">
        <v>10425</v>
      </c>
      <c r="C1649" s="3">
        <v>49</v>
      </c>
      <c r="D1649" s="13">
        <v>100</v>
      </c>
      <c r="E1649" s="5">
        <v>38503</v>
      </c>
      <c r="F1649" s="2" t="s">
        <v>113</v>
      </c>
      <c r="G1649" s="2" t="s">
        <v>187</v>
      </c>
      <c r="H1649" s="3">
        <v>2</v>
      </c>
      <c r="I1649" s="6">
        <v>2005</v>
      </c>
      <c r="J1649" s="2" t="s">
        <v>22</v>
      </c>
      <c r="K1649" s="2" t="s">
        <v>51</v>
      </c>
      <c r="L1649" s="7">
        <f t="shared" si="75"/>
        <v>4900</v>
      </c>
      <c r="M1649" s="2" t="str">
        <f t="shared" si="76"/>
        <v>May</v>
      </c>
      <c r="N1649" s="6">
        <f t="shared" si="77"/>
        <v>2005</v>
      </c>
    </row>
    <row r="1650" spans="1:14">
      <c r="A1650" s="2" t="s">
        <v>161</v>
      </c>
      <c r="B1650" s="3">
        <v>10108</v>
      </c>
      <c r="C1650" s="3">
        <v>35</v>
      </c>
      <c r="D1650" s="13">
        <v>58.87</v>
      </c>
      <c r="E1650" s="5">
        <v>37683</v>
      </c>
      <c r="F1650" s="2" t="s">
        <v>13</v>
      </c>
      <c r="G1650" s="2" t="s">
        <v>14</v>
      </c>
      <c r="H1650" s="3">
        <v>1</v>
      </c>
      <c r="I1650" s="6">
        <v>2003</v>
      </c>
      <c r="J1650" s="2" t="s">
        <v>15</v>
      </c>
      <c r="K1650" s="2" t="s">
        <v>162</v>
      </c>
      <c r="L1650" s="7">
        <f t="shared" si="75"/>
        <v>2060.45</v>
      </c>
      <c r="M1650" s="2" t="str">
        <f t="shared" si="76"/>
        <v>March</v>
      </c>
      <c r="N1650" s="6">
        <f t="shared" si="77"/>
        <v>2003</v>
      </c>
    </row>
    <row r="1651" spans="1:14">
      <c r="A1651" s="2" t="s">
        <v>18</v>
      </c>
      <c r="B1651" s="3">
        <v>10121</v>
      </c>
      <c r="C1651" s="3">
        <v>32</v>
      </c>
      <c r="D1651" s="13">
        <v>76.88</v>
      </c>
      <c r="E1651" s="5">
        <v>37748</v>
      </c>
      <c r="F1651" s="2" t="s">
        <v>13</v>
      </c>
      <c r="G1651" s="2" t="s">
        <v>14</v>
      </c>
      <c r="H1651" s="3">
        <v>2</v>
      </c>
      <c r="I1651" s="6">
        <v>2003</v>
      </c>
      <c r="J1651" s="2" t="s">
        <v>15</v>
      </c>
      <c r="K1651" s="2" t="s">
        <v>19</v>
      </c>
      <c r="L1651" s="7">
        <f t="shared" si="75"/>
        <v>2460.16</v>
      </c>
      <c r="M1651" s="2" t="str">
        <f t="shared" si="76"/>
        <v>May</v>
      </c>
      <c r="N1651" s="6">
        <f t="shared" si="77"/>
        <v>2003</v>
      </c>
    </row>
    <row r="1652" spans="1:14">
      <c r="A1652" s="2" t="s">
        <v>103</v>
      </c>
      <c r="B1652" s="3">
        <v>10135</v>
      </c>
      <c r="C1652" s="3">
        <v>29</v>
      </c>
      <c r="D1652" s="13">
        <v>61.64</v>
      </c>
      <c r="E1652" s="5">
        <v>37804</v>
      </c>
      <c r="F1652" s="2" t="s">
        <v>13</v>
      </c>
      <c r="G1652" s="2" t="s">
        <v>14</v>
      </c>
      <c r="H1652" s="3">
        <v>3</v>
      </c>
      <c r="I1652" s="6">
        <v>2003</v>
      </c>
      <c r="J1652" s="2" t="s">
        <v>15</v>
      </c>
      <c r="K1652" s="2" t="s">
        <v>104</v>
      </c>
      <c r="L1652" s="7">
        <f t="shared" si="75"/>
        <v>1787.56</v>
      </c>
      <c r="M1652" s="2" t="str">
        <f t="shared" si="76"/>
        <v>July</v>
      </c>
      <c r="N1652" s="6">
        <f t="shared" si="77"/>
        <v>2003</v>
      </c>
    </row>
    <row r="1653" spans="1:14">
      <c r="A1653" s="2" t="s">
        <v>25</v>
      </c>
      <c r="B1653" s="3">
        <v>10145</v>
      </c>
      <c r="C1653" s="3">
        <v>27</v>
      </c>
      <c r="D1653" s="13">
        <v>60.95</v>
      </c>
      <c r="E1653" s="5">
        <v>37858</v>
      </c>
      <c r="F1653" s="2" t="s">
        <v>13</v>
      </c>
      <c r="G1653" s="2" t="s">
        <v>14</v>
      </c>
      <c r="H1653" s="3">
        <v>3</v>
      </c>
      <c r="I1653" s="6">
        <v>2003</v>
      </c>
      <c r="J1653" s="2" t="s">
        <v>15</v>
      </c>
      <c r="K1653" s="2" t="s">
        <v>26</v>
      </c>
      <c r="L1653" s="7">
        <f t="shared" si="75"/>
        <v>1645.65</v>
      </c>
      <c r="M1653" s="2" t="str">
        <f t="shared" si="76"/>
        <v>August</v>
      </c>
      <c r="N1653" s="6">
        <f t="shared" si="77"/>
        <v>2003</v>
      </c>
    </row>
    <row r="1654" spans="1:14">
      <c r="A1654" s="2" t="s">
        <v>28</v>
      </c>
      <c r="B1654" s="3">
        <v>10159</v>
      </c>
      <c r="C1654" s="3">
        <v>27</v>
      </c>
      <c r="D1654" s="13">
        <v>80.34</v>
      </c>
      <c r="E1654" s="5">
        <v>37904</v>
      </c>
      <c r="F1654" s="2" t="s">
        <v>13</v>
      </c>
      <c r="G1654" s="2" t="s">
        <v>14</v>
      </c>
      <c r="H1654" s="3">
        <v>4</v>
      </c>
      <c r="I1654" s="6">
        <v>2003</v>
      </c>
      <c r="J1654" s="2" t="s">
        <v>15</v>
      </c>
      <c r="K1654" s="2" t="s">
        <v>29</v>
      </c>
      <c r="L1654" s="7">
        <f t="shared" si="75"/>
        <v>2169.18</v>
      </c>
      <c r="M1654" s="2" t="str">
        <f t="shared" si="76"/>
        <v>October</v>
      </c>
      <c r="N1654" s="6">
        <f t="shared" si="77"/>
        <v>2003</v>
      </c>
    </row>
    <row r="1655" spans="1:14">
      <c r="A1655" s="2" t="s">
        <v>109</v>
      </c>
      <c r="B1655" s="3">
        <v>10169</v>
      </c>
      <c r="C1655" s="3">
        <v>38</v>
      </c>
      <c r="D1655" s="13">
        <v>74.11</v>
      </c>
      <c r="E1655" s="5">
        <v>37929</v>
      </c>
      <c r="F1655" s="2" t="s">
        <v>13</v>
      </c>
      <c r="G1655" s="2" t="s">
        <v>14</v>
      </c>
      <c r="H1655" s="3">
        <v>4</v>
      </c>
      <c r="I1655" s="6">
        <v>2003</v>
      </c>
      <c r="J1655" s="2" t="s">
        <v>15</v>
      </c>
      <c r="K1655" s="2" t="s">
        <v>110</v>
      </c>
      <c r="L1655" s="7">
        <f t="shared" si="75"/>
        <v>2816.18</v>
      </c>
      <c r="M1655" s="2" t="str">
        <f t="shared" si="76"/>
        <v>November</v>
      </c>
      <c r="N1655" s="6">
        <f t="shared" si="77"/>
        <v>2003</v>
      </c>
    </row>
    <row r="1656" spans="1:14">
      <c r="A1656" s="2" t="s">
        <v>34</v>
      </c>
      <c r="B1656" s="3">
        <v>10180</v>
      </c>
      <c r="C1656" s="3">
        <v>35</v>
      </c>
      <c r="D1656" s="13">
        <v>72.03</v>
      </c>
      <c r="E1656" s="5">
        <v>37936</v>
      </c>
      <c r="F1656" s="2" t="s">
        <v>13</v>
      </c>
      <c r="G1656" s="2" t="s">
        <v>14</v>
      </c>
      <c r="H1656" s="3">
        <v>4</v>
      </c>
      <c r="I1656" s="6">
        <v>2003</v>
      </c>
      <c r="J1656" s="2" t="s">
        <v>15</v>
      </c>
      <c r="K1656" s="2" t="s">
        <v>35</v>
      </c>
      <c r="L1656" s="7">
        <f t="shared" si="75"/>
        <v>2521.05</v>
      </c>
      <c r="M1656" s="2" t="str">
        <f t="shared" si="76"/>
        <v>November</v>
      </c>
      <c r="N1656" s="6">
        <f t="shared" si="77"/>
        <v>2003</v>
      </c>
    </row>
    <row r="1657" spans="1:14">
      <c r="A1657" s="2" t="s">
        <v>69</v>
      </c>
      <c r="B1657" s="3">
        <v>10190</v>
      </c>
      <c r="C1657" s="3">
        <v>42</v>
      </c>
      <c r="D1657" s="13">
        <v>76.19</v>
      </c>
      <c r="E1657" s="5">
        <v>37944</v>
      </c>
      <c r="F1657" s="2" t="s">
        <v>13</v>
      </c>
      <c r="G1657" s="2" t="s">
        <v>14</v>
      </c>
      <c r="H1657" s="3">
        <v>4</v>
      </c>
      <c r="I1657" s="6">
        <v>2003</v>
      </c>
      <c r="J1657" s="2" t="s">
        <v>22</v>
      </c>
      <c r="K1657" s="2" t="s">
        <v>71</v>
      </c>
      <c r="L1657" s="7">
        <f t="shared" si="75"/>
        <v>3199.98</v>
      </c>
      <c r="M1657" s="2" t="str">
        <f t="shared" si="76"/>
        <v>November</v>
      </c>
      <c r="N1657" s="6">
        <f t="shared" si="77"/>
        <v>2003</v>
      </c>
    </row>
    <row r="1658" spans="1:14">
      <c r="A1658" s="2" t="s">
        <v>40</v>
      </c>
      <c r="B1658" s="3">
        <v>10211</v>
      </c>
      <c r="C1658" s="3">
        <v>21</v>
      </c>
      <c r="D1658" s="13">
        <v>63.72</v>
      </c>
      <c r="E1658" s="5">
        <v>38001</v>
      </c>
      <c r="F1658" s="2" t="s">
        <v>13</v>
      </c>
      <c r="G1658" s="2" t="s">
        <v>14</v>
      </c>
      <c r="H1658" s="3">
        <v>1</v>
      </c>
      <c r="I1658" s="6">
        <v>2004</v>
      </c>
      <c r="J1658" s="2" t="s">
        <v>15</v>
      </c>
      <c r="K1658" s="2" t="s">
        <v>41</v>
      </c>
      <c r="L1658" s="7">
        <f t="shared" si="75"/>
        <v>1338.12</v>
      </c>
      <c r="M1658" s="2" t="str">
        <f t="shared" si="76"/>
        <v>January</v>
      </c>
      <c r="N1658" s="6">
        <f t="shared" si="77"/>
        <v>2004</v>
      </c>
    </row>
    <row r="1659" spans="1:14">
      <c r="A1659" s="2" t="s">
        <v>34</v>
      </c>
      <c r="B1659" s="3">
        <v>10224</v>
      </c>
      <c r="C1659" s="3">
        <v>37</v>
      </c>
      <c r="D1659" s="13">
        <v>80.34</v>
      </c>
      <c r="E1659" s="5">
        <v>38038</v>
      </c>
      <c r="F1659" s="2" t="s">
        <v>13</v>
      </c>
      <c r="G1659" s="2" t="s">
        <v>14</v>
      </c>
      <c r="H1659" s="3">
        <v>1</v>
      </c>
      <c r="I1659" s="6">
        <v>2004</v>
      </c>
      <c r="J1659" s="2" t="s">
        <v>15</v>
      </c>
      <c r="K1659" s="2" t="s">
        <v>35</v>
      </c>
      <c r="L1659" s="7">
        <f t="shared" si="75"/>
        <v>2972.58</v>
      </c>
      <c r="M1659" s="2" t="str">
        <f t="shared" si="76"/>
        <v>February</v>
      </c>
      <c r="N1659" s="6">
        <f t="shared" si="77"/>
        <v>2004</v>
      </c>
    </row>
    <row r="1660" spans="1:14">
      <c r="A1660" s="2" t="s">
        <v>44</v>
      </c>
      <c r="B1660" s="3">
        <v>10237</v>
      </c>
      <c r="C1660" s="3">
        <v>26</v>
      </c>
      <c r="D1660" s="13">
        <v>79.65</v>
      </c>
      <c r="E1660" s="5">
        <v>38082</v>
      </c>
      <c r="F1660" s="2" t="s">
        <v>13</v>
      </c>
      <c r="G1660" s="2" t="s">
        <v>14</v>
      </c>
      <c r="H1660" s="3">
        <v>2</v>
      </c>
      <c r="I1660" s="6">
        <v>2004</v>
      </c>
      <c r="J1660" s="2" t="s">
        <v>15</v>
      </c>
      <c r="K1660" s="2" t="s">
        <v>45</v>
      </c>
      <c r="L1660" s="7">
        <f t="shared" si="75"/>
        <v>2070.9</v>
      </c>
      <c r="M1660" s="2" t="str">
        <f t="shared" si="76"/>
        <v>April</v>
      </c>
      <c r="N1660" s="6">
        <f t="shared" si="77"/>
        <v>2004</v>
      </c>
    </row>
    <row r="1661" spans="1:14">
      <c r="A1661" s="2" t="s">
        <v>40</v>
      </c>
      <c r="B1661" s="3">
        <v>10252</v>
      </c>
      <c r="C1661" s="3">
        <v>47</v>
      </c>
      <c r="D1661" s="13">
        <v>65.8</v>
      </c>
      <c r="E1661" s="5">
        <v>38133</v>
      </c>
      <c r="F1661" s="2" t="s">
        <v>13</v>
      </c>
      <c r="G1661" s="2" t="s">
        <v>14</v>
      </c>
      <c r="H1661" s="3">
        <v>2</v>
      </c>
      <c r="I1661" s="6">
        <v>2004</v>
      </c>
      <c r="J1661" s="2" t="s">
        <v>22</v>
      </c>
      <c r="K1661" s="2" t="s">
        <v>41</v>
      </c>
      <c r="L1661" s="7">
        <f t="shared" si="75"/>
        <v>3092.6</v>
      </c>
      <c r="M1661" s="2" t="str">
        <f t="shared" si="76"/>
        <v>May</v>
      </c>
      <c r="N1661" s="6">
        <f t="shared" si="77"/>
        <v>2004</v>
      </c>
    </row>
    <row r="1662" spans="1:14">
      <c r="A1662" s="2" t="s">
        <v>143</v>
      </c>
      <c r="B1662" s="3">
        <v>10264</v>
      </c>
      <c r="C1662" s="3">
        <v>37</v>
      </c>
      <c r="D1662" s="13">
        <v>65.1</v>
      </c>
      <c r="E1662" s="5">
        <v>38168</v>
      </c>
      <c r="F1662" s="2" t="s">
        <v>13</v>
      </c>
      <c r="G1662" s="2" t="s">
        <v>14</v>
      </c>
      <c r="H1662" s="3">
        <v>2</v>
      </c>
      <c r="I1662" s="6">
        <v>2004</v>
      </c>
      <c r="J1662" s="2" t="s">
        <v>15</v>
      </c>
      <c r="K1662" s="2" t="s">
        <v>144</v>
      </c>
      <c r="L1662" s="7">
        <f t="shared" si="75"/>
        <v>2408.7</v>
      </c>
      <c r="M1662" s="2" t="str">
        <f t="shared" si="76"/>
        <v>June</v>
      </c>
      <c r="N1662" s="6">
        <f t="shared" si="77"/>
        <v>2004</v>
      </c>
    </row>
    <row r="1663" spans="1:14">
      <c r="A1663" s="2" t="s">
        <v>171</v>
      </c>
      <c r="B1663" s="3">
        <v>10276</v>
      </c>
      <c r="C1663" s="3">
        <v>46</v>
      </c>
      <c r="D1663" s="13">
        <v>75.49</v>
      </c>
      <c r="E1663" s="5">
        <v>38201</v>
      </c>
      <c r="F1663" s="2" t="s">
        <v>13</v>
      </c>
      <c r="G1663" s="2" t="s">
        <v>14</v>
      </c>
      <c r="H1663" s="3">
        <v>3</v>
      </c>
      <c r="I1663" s="6">
        <v>2004</v>
      </c>
      <c r="J1663" s="2" t="s">
        <v>22</v>
      </c>
      <c r="K1663" s="2" t="s">
        <v>172</v>
      </c>
      <c r="L1663" s="7">
        <f t="shared" si="75"/>
        <v>3472.54</v>
      </c>
      <c r="M1663" s="2" t="str">
        <f t="shared" si="76"/>
        <v>August</v>
      </c>
      <c r="N1663" s="6">
        <f t="shared" si="77"/>
        <v>2004</v>
      </c>
    </row>
    <row r="1664" spans="1:14">
      <c r="A1664" s="2" t="s">
        <v>52</v>
      </c>
      <c r="B1664" s="3">
        <v>10285</v>
      </c>
      <c r="C1664" s="3">
        <v>38</v>
      </c>
      <c r="D1664" s="13">
        <v>59.56</v>
      </c>
      <c r="E1664" s="5">
        <v>38226</v>
      </c>
      <c r="F1664" s="2" t="s">
        <v>13</v>
      </c>
      <c r="G1664" s="2" t="s">
        <v>14</v>
      </c>
      <c r="H1664" s="3">
        <v>3</v>
      </c>
      <c r="I1664" s="6">
        <v>2004</v>
      </c>
      <c r="J1664" s="2" t="s">
        <v>15</v>
      </c>
      <c r="K1664" s="2" t="s">
        <v>53</v>
      </c>
      <c r="L1664" s="7">
        <f t="shared" si="75"/>
        <v>2263.28</v>
      </c>
      <c r="M1664" s="2" t="str">
        <f t="shared" si="76"/>
        <v>August</v>
      </c>
      <c r="N1664" s="6">
        <f t="shared" si="77"/>
        <v>2004</v>
      </c>
    </row>
    <row r="1665" spans="1:14">
      <c r="A1665" s="2" t="s">
        <v>54</v>
      </c>
      <c r="B1665" s="3">
        <v>10299</v>
      </c>
      <c r="C1665" s="3">
        <v>33</v>
      </c>
      <c r="D1665" s="13">
        <v>66.49</v>
      </c>
      <c r="E1665" s="5">
        <v>38260</v>
      </c>
      <c r="F1665" s="2" t="s">
        <v>13</v>
      </c>
      <c r="G1665" s="2" t="s">
        <v>14</v>
      </c>
      <c r="H1665" s="3">
        <v>3</v>
      </c>
      <c r="I1665" s="6">
        <v>2004</v>
      </c>
      <c r="J1665" s="2" t="s">
        <v>15</v>
      </c>
      <c r="K1665" s="2" t="s">
        <v>55</v>
      </c>
      <c r="L1665" s="7">
        <f t="shared" si="75"/>
        <v>2194.17</v>
      </c>
      <c r="M1665" s="2" t="str">
        <f t="shared" si="76"/>
        <v>September</v>
      </c>
      <c r="N1665" s="6">
        <f t="shared" si="77"/>
        <v>2004</v>
      </c>
    </row>
    <row r="1666" spans="1:14">
      <c r="A1666" s="2" t="s">
        <v>56</v>
      </c>
      <c r="B1666" s="3">
        <v>10309</v>
      </c>
      <c r="C1666" s="3">
        <v>24</v>
      </c>
      <c r="D1666" s="13">
        <v>56.1</v>
      </c>
      <c r="E1666" s="5">
        <v>38275</v>
      </c>
      <c r="F1666" s="2" t="s">
        <v>13</v>
      </c>
      <c r="G1666" s="2" t="s">
        <v>14</v>
      </c>
      <c r="H1666" s="3">
        <v>4</v>
      </c>
      <c r="I1666" s="6">
        <v>2004</v>
      </c>
      <c r="J1666" s="2" t="s">
        <v>15</v>
      </c>
      <c r="K1666" s="2" t="s">
        <v>57</v>
      </c>
      <c r="L1666" s="7">
        <f t="shared" ref="L1666:L1729" si="78">PRODUCT(C1666,D1666)</f>
        <v>1346.4</v>
      </c>
      <c r="M1666" s="2" t="str">
        <f t="shared" ref="M1666:M1729" si="79">TEXT(E1666,"MMMM")</f>
        <v>October</v>
      </c>
      <c r="N1666" s="6">
        <f t="shared" ref="N1666:N1729" si="80">YEAR(E1666)</f>
        <v>2004</v>
      </c>
    </row>
    <row r="1667" spans="1:14">
      <c r="A1667" s="2" t="s">
        <v>188</v>
      </c>
      <c r="B1667" s="3">
        <v>10319</v>
      </c>
      <c r="C1667" s="3">
        <v>31</v>
      </c>
      <c r="D1667" s="13">
        <v>81.73</v>
      </c>
      <c r="E1667" s="5">
        <v>38294</v>
      </c>
      <c r="F1667" s="2" t="s">
        <v>13</v>
      </c>
      <c r="G1667" s="2" t="s">
        <v>14</v>
      </c>
      <c r="H1667" s="3">
        <v>4</v>
      </c>
      <c r="I1667" s="6">
        <v>2004</v>
      </c>
      <c r="J1667" s="2" t="s">
        <v>15</v>
      </c>
      <c r="K1667" s="2" t="s">
        <v>189</v>
      </c>
      <c r="L1667" s="7">
        <f t="shared" si="78"/>
        <v>2533.63</v>
      </c>
      <c r="M1667" s="2" t="str">
        <f t="shared" si="79"/>
        <v>November</v>
      </c>
      <c r="N1667" s="6">
        <f t="shared" si="80"/>
        <v>2004</v>
      </c>
    </row>
    <row r="1668" spans="1:14">
      <c r="A1668" s="2" t="s">
        <v>161</v>
      </c>
      <c r="B1668" s="3">
        <v>10330</v>
      </c>
      <c r="C1668" s="3">
        <v>42</v>
      </c>
      <c r="D1668" s="13">
        <v>81.03</v>
      </c>
      <c r="E1668" s="5">
        <v>38307</v>
      </c>
      <c r="F1668" s="2" t="s">
        <v>13</v>
      </c>
      <c r="G1668" s="2" t="s">
        <v>14</v>
      </c>
      <c r="H1668" s="3">
        <v>4</v>
      </c>
      <c r="I1668" s="6">
        <v>2004</v>
      </c>
      <c r="J1668" s="2" t="s">
        <v>22</v>
      </c>
      <c r="K1668" s="2" t="s">
        <v>162</v>
      </c>
      <c r="L1668" s="7">
        <f t="shared" si="78"/>
        <v>3403.26</v>
      </c>
      <c r="M1668" s="2" t="str">
        <f t="shared" si="79"/>
        <v>November</v>
      </c>
      <c r="N1668" s="6">
        <f t="shared" si="80"/>
        <v>2004</v>
      </c>
    </row>
    <row r="1669" spans="1:14">
      <c r="A1669" s="2" t="s">
        <v>60</v>
      </c>
      <c r="B1669" s="3">
        <v>10341</v>
      </c>
      <c r="C1669" s="3">
        <v>32</v>
      </c>
      <c r="D1669" s="13">
        <v>100</v>
      </c>
      <c r="E1669" s="5">
        <v>38315</v>
      </c>
      <c r="F1669" s="2" t="s">
        <v>13</v>
      </c>
      <c r="G1669" s="2" t="s">
        <v>14</v>
      </c>
      <c r="H1669" s="3">
        <v>4</v>
      </c>
      <c r="I1669" s="6">
        <v>2004</v>
      </c>
      <c r="J1669" s="2" t="s">
        <v>22</v>
      </c>
      <c r="K1669" s="2" t="s">
        <v>62</v>
      </c>
      <c r="L1669" s="7">
        <f t="shared" si="78"/>
        <v>3200</v>
      </c>
      <c r="M1669" s="2" t="str">
        <f t="shared" si="79"/>
        <v>November</v>
      </c>
      <c r="N1669" s="6">
        <f t="shared" si="80"/>
        <v>2004</v>
      </c>
    </row>
    <row r="1670" spans="1:14">
      <c r="A1670" s="2" t="s">
        <v>69</v>
      </c>
      <c r="B1670" s="3">
        <v>10355</v>
      </c>
      <c r="C1670" s="3">
        <v>41</v>
      </c>
      <c r="D1670" s="13">
        <v>70.65</v>
      </c>
      <c r="E1670" s="5">
        <v>38328</v>
      </c>
      <c r="F1670" s="2" t="s">
        <v>13</v>
      </c>
      <c r="G1670" s="2" t="s">
        <v>14</v>
      </c>
      <c r="H1670" s="3">
        <v>4</v>
      </c>
      <c r="I1670" s="6">
        <v>2004</v>
      </c>
      <c r="J1670" s="2" t="s">
        <v>15</v>
      </c>
      <c r="K1670" s="2" t="s">
        <v>71</v>
      </c>
      <c r="L1670" s="7">
        <f t="shared" si="78"/>
        <v>2896.65</v>
      </c>
      <c r="M1670" s="2" t="str">
        <f t="shared" si="79"/>
        <v>December</v>
      </c>
      <c r="N1670" s="6">
        <f t="shared" si="80"/>
        <v>2004</v>
      </c>
    </row>
    <row r="1671" spans="1:14">
      <c r="A1671" s="2" t="s">
        <v>175</v>
      </c>
      <c r="B1671" s="3">
        <v>10363</v>
      </c>
      <c r="C1671" s="3">
        <v>43</v>
      </c>
      <c r="D1671" s="13">
        <v>61.23</v>
      </c>
      <c r="E1671" s="5">
        <v>38358</v>
      </c>
      <c r="F1671" s="2" t="s">
        <v>13</v>
      </c>
      <c r="G1671" s="2" t="s">
        <v>14</v>
      </c>
      <c r="H1671" s="3">
        <v>1</v>
      </c>
      <c r="I1671" s="6">
        <v>2005</v>
      </c>
      <c r="J1671" s="2" t="s">
        <v>15</v>
      </c>
      <c r="K1671" s="2" t="s">
        <v>176</v>
      </c>
      <c r="L1671" s="7">
        <f t="shared" si="78"/>
        <v>2632.89</v>
      </c>
      <c r="M1671" s="2" t="str">
        <f t="shared" si="79"/>
        <v>January</v>
      </c>
      <c r="N1671" s="6">
        <f t="shared" si="80"/>
        <v>2005</v>
      </c>
    </row>
    <row r="1672" spans="1:14">
      <c r="A1672" s="2" t="s">
        <v>50</v>
      </c>
      <c r="B1672" s="3">
        <v>10375</v>
      </c>
      <c r="C1672" s="3">
        <v>20</v>
      </c>
      <c r="D1672" s="13">
        <v>100</v>
      </c>
      <c r="E1672" s="5">
        <v>38386</v>
      </c>
      <c r="F1672" s="2" t="s">
        <v>13</v>
      </c>
      <c r="G1672" s="2" t="s">
        <v>14</v>
      </c>
      <c r="H1672" s="3">
        <v>1</v>
      </c>
      <c r="I1672" s="6">
        <v>2005</v>
      </c>
      <c r="J1672" s="2" t="s">
        <v>15</v>
      </c>
      <c r="K1672" s="2" t="s">
        <v>51</v>
      </c>
      <c r="L1672" s="7">
        <f t="shared" si="78"/>
        <v>2000</v>
      </c>
      <c r="M1672" s="2" t="str">
        <f t="shared" si="79"/>
        <v>February</v>
      </c>
      <c r="N1672" s="6">
        <f t="shared" si="80"/>
        <v>2005</v>
      </c>
    </row>
    <row r="1673" spans="1:14">
      <c r="A1673" s="2" t="s">
        <v>103</v>
      </c>
      <c r="B1673" s="3">
        <v>10390</v>
      </c>
      <c r="C1673" s="3">
        <v>35</v>
      </c>
      <c r="D1673" s="13">
        <v>65.13</v>
      </c>
      <c r="E1673" s="5">
        <v>38415</v>
      </c>
      <c r="F1673" s="2" t="s">
        <v>13</v>
      </c>
      <c r="G1673" s="2" t="s">
        <v>14</v>
      </c>
      <c r="H1673" s="3">
        <v>1</v>
      </c>
      <c r="I1673" s="6">
        <v>2005</v>
      </c>
      <c r="J1673" s="2" t="s">
        <v>15</v>
      </c>
      <c r="K1673" s="2" t="s">
        <v>104</v>
      </c>
      <c r="L1673" s="7">
        <f t="shared" si="78"/>
        <v>2279.55</v>
      </c>
      <c r="M1673" s="2" t="str">
        <f t="shared" si="79"/>
        <v>March</v>
      </c>
      <c r="N1673" s="6">
        <f t="shared" si="80"/>
        <v>2005</v>
      </c>
    </row>
    <row r="1674" spans="1:14">
      <c r="A1674" s="2" t="s">
        <v>67</v>
      </c>
      <c r="B1674" s="3">
        <v>10403</v>
      </c>
      <c r="C1674" s="3">
        <v>27</v>
      </c>
      <c r="D1674" s="13">
        <v>79.65</v>
      </c>
      <c r="E1674" s="5">
        <v>38450</v>
      </c>
      <c r="F1674" s="2" t="s">
        <v>13</v>
      </c>
      <c r="G1674" s="2" t="s">
        <v>14</v>
      </c>
      <c r="H1674" s="3">
        <v>2</v>
      </c>
      <c r="I1674" s="6">
        <v>2005</v>
      </c>
      <c r="J1674" s="2" t="s">
        <v>15</v>
      </c>
      <c r="K1674" s="2" t="s">
        <v>68</v>
      </c>
      <c r="L1674" s="7">
        <f t="shared" si="78"/>
        <v>2150.55</v>
      </c>
      <c r="M1674" s="2" t="str">
        <f t="shared" si="79"/>
        <v>April</v>
      </c>
      <c r="N1674" s="6">
        <f t="shared" si="80"/>
        <v>2005</v>
      </c>
    </row>
    <row r="1675" spans="1:14">
      <c r="A1675" s="2" t="s">
        <v>183</v>
      </c>
      <c r="B1675" s="3">
        <v>10110</v>
      </c>
      <c r="C1675" s="3">
        <v>43</v>
      </c>
      <c r="D1675" s="13">
        <v>78.15</v>
      </c>
      <c r="E1675" s="5">
        <v>37698</v>
      </c>
      <c r="F1675" s="2" t="s">
        <v>13</v>
      </c>
      <c r="G1675" s="2" t="s">
        <v>72</v>
      </c>
      <c r="H1675" s="3">
        <v>1</v>
      </c>
      <c r="I1675" s="6">
        <v>2003</v>
      </c>
      <c r="J1675" s="2" t="s">
        <v>22</v>
      </c>
      <c r="K1675" s="2" t="s">
        <v>184</v>
      </c>
      <c r="L1675" s="7">
        <f t="shared" si="78"/>
        <v>3360.45</v>
      </c>
      <c r="M1675" s="2" t="str">
        <f t="shared" si="79"/>
        <v>March</v>
      </c>
      <c r="N1675" s="6">
        <f t="shared" si="80"/>
        <v>2003</v>
      </c>
    </row>
    <row r="1676" spans="1:14">
      <c r="A1676" s="2" t="s">
        <v>198</v>
      </c>
      <c r="B1676" s="3">
        <v>10124</v>
      </c>
      <c r="C1676" s="3">
        <v>32</v>
      </c>
      <c r="D1676" s="13">
        <v>72.7</v>
      </c>
      <c r="E1676" s="5">
        <v>37762</v>
      </c>
      <c r="F1676" s="2" t="s">
        <v>13</v>
      </c>
      <c r="G1676" s="2" t="s">
        <v>72</v>
      </c>
      <c r="H1676" s="3">
        <v>2</v>
      </c>
      <c r="I1676" s="6">
        <v>2003</v>
      </c>
      <c r="J1676" s="2" t="s">
        <v>15</v>
      </c>
      <c r="K1676" s="2" t="s">
        <v>199</v>
      </c>
      <c r="L1676" s="7">
        <f t="shared" si="78"/>
        <v>2326.4</v>
      </c>
      <c r="M1676" s="2" t="str">
        <f t="shared" si="79"/>
        <v>May</v>
      </c>
      <c r="N1676" s="6">
        <f t="shared" si="80"/>
        <v>2003</v>
      </c>
    </row>
    <row r="1677" spans="1:14">
      <c r="A1677" s="2" t="s">
        <v>109</v>
      </c>
      <c r="B1677" s="3">
        <v>10148</v>
      </c>
      <c r="C1677" s="3">
        <v>21</v>
      </c>
      <c r="D1677" s="13">
        <v>73.6</v>
      </c>
      <c r="E1677" s="5">
        <v>37875</v>
      </c>
      <c r="F1677" s="2" t="s">
        <v>13</v>
      </c>
      <c r="G1677" s="2" t="s">
        <v>72</v>
      </c>
      <c r="H1677" s="3">
        <v>3</v>
      </c>
      <c r="I1677" s="6">
        <v>2003</v>
      </c>
      <c r="J1677" s="2" t="s">
        <v>15</v>
      </c>
      <c r="K1677" s="2" t="s">
        <v>110</v>
      </c>
      <c r="L1677" s="7">
        <f t="shared" si="78"/>
        <v>1545.6</v>
      </c>
      <c r="M1677" s="2" t="str">
        <f t="shared" si="79"/>
        <v>September</v>
      </c>
      <c r="N1677" s="6">
        <f t="shared" si="80"/>
        <v>2003</v>
      </c>
    </row>
    <row r="1678" spans="1:14">
      <c r="A1678" s="2" t="s">
        <v>185</v>
      </c>
      <c r="B1678" s="3">
        <v>10161</v>
      </c>
      <c r="C1678" s="3">
        <v>20</v>
      </c>
      <c r="D1678" s="13">
        <v>100</v>
      </c>
      <c r="E1678" s="5">
        <v>37911</v>
      </c>
      <c r="F1678" s="2" t="s">
        <v>13</v>
      </c>
      <c r="G1678" s="2" t="s">
        <v>72</v>
      </c>
      <c r="H1678" s="3">
        <v>4</v>
      </c>
      <c r="I1678" s="6">
        <v>2003</v>
      </c>
      <c r="J1678" s="2" t="s">
        <v>15</v>
      </c>
      <c r="K1678" s="2" t="s">
        <v>186</v>
      </c>
      <c r="L1678" s="7">
        <f t="shared" si="78"/>
        <v>2000</v>
      </c>
      <c r="M1678" s="2" t="str">
        <f t="shared" si="79"/>
        <v>October</v>
      </c>
      <c r="N1678" s="6">
        <f t="shared" si="80"/>
        <v>2003</v>
      </c>
    </row>
    <row r="1679" spans="1:14">
      <c r="A1679" s="2" t="s">
        <v>48</v>
      </c>
      <c r="B1679" s="3">
        <v>10172</v>
      </c>
      <c r="C1679" s="3">
        <v>22</v>
      </c>
      <c r="D1679" s="13">
        <v>74.51</v>
      </c>
      <c r="E1679" s="5">
        <v>37930</v>
      </c>
      <c r="F1679" s="2" t="s">
        <v>13</v>
      </c>
      <c r="G1679" s="2" t="s">
        <v>72</v>
      </c>
      <c r="H1679" s="3">
        <v>4</v>
      </c>
      <c r="I1679" s="6">
        <v>2003</v>
      </c>
      <c r="J1679" s="2" t="s">
        <v>15</v>
      </c>
      <c r="K1679" s="2" t="s">
        <v>49</v>
      </c>
      <c r="L1679" s="7">
        <f t="shared" si="78"/>
        <v>1639.22</v>
      </c>
      <c r="M1679" s="2" t="str">
        <f t="shared" si="79"/>
        <v>November</v>
      </c>
      <c r="N1679" s="6">
        <f t="shared" si="80"/>
        <v>2003</v>
      </c>
    </row>
    <row r="1680" spans="1:14">
      <c r="A1680" s="2" t="s">
        <v>103</v>
      </c>
      <c r="B1680" s="3">
        <v>10182</v>
      </c>
      <c r="C1680" s="3">
        <v>36</v>
      </c>
      <c r="D1680" s="13">
        <v>73.6</v>
      </c>
      <c r="E1680" s="5">
        <v>37937</v>
      </c>
      <c r="F1680" s="2" t="s">
        <v>13</v>
      </c>
      <c r="G1680" s="2" t="s">
        <v>72</v>
      </c>
      <c r="H1680" s="3">
        <v>4</v>
      </c>
      <c r="I1680" s="6">
        <v>2003</v>
      </c>
      <c r="J1680" s="2" t="s">
        <v>15</v>
      </c>
      <c r="K1680" s="2" t="s">
        <v>104</v>
      </c>
      <c r="L1680" s="7">
        <f t="shared" si="78"/>
        <v>2649.6</v>
      </c>
      <c r="M1680" s="2" t="str">
        <f t="shared" si="79"/>
        <v>November</v>
      </c>
      <c r="N1680" s="6">
        <f t="shared" si="80"/>
        <v>2003</v>
      </c>
    </row>
    <row r="1681" spans="1:14">
      <c r="A1681" s="2" t="s">
        <v>105</v>
      </c>
      <c r="B1681" s="3">
        <v>10192</v>
      </c>
      <c r="C1681" s="3">
        <v>46</v>
      </c>
      <c r="D1681" s="13">
        <v>83.6</v>
      </c>
      <c r="E1681" s="5">
        <v>37945</v>
      </c>
      <c r="F1681" s="2" t="s">
        <v>13</v>
      </c>
      <c r="G1681" s="2" t="s">
        <v>72</v>
      </c>
      <c r="H1681" s="3">
        <v>4</v>
      </c>
      <c r="I1681" s="6">
        <v>2003</v>
      </c>
      <c r="J1681" s="2" t="s">
        <v>22</v>
      </c>
      <c r="K1681" s="2" t="s">
        <v>106</v>
      </c>
      <c r="L1681" s="7">
        <f t="shared" si="78"/>
        <v>3845.6</v>
      </c>
      <c r="M1681" s="2" t="str">
        <f t="shared" si="79"/>
        <v>November</v>
      </c>
      <c r="N1681" s="6">
        <f t="shared" si="80"/>
        <v>2003</v>
      </c>
    </row>
    <row r="1682" spans="1:14">
      <c r="A1682" s="2" t="s">
        <v>177</v>
      </c>
      <c r="B1682" s="3">
        <v>10204</v>
      </c>
      <c r="C1682" s="3">
        <v>47</v>
      </c>
      <c r="D1682" s="13">
        <v>96.32</v>
      </c>
      <c r="E1682" s="5">
        <v>37957</v>
      </c>
      <c r="F1682" s="2" t="s">
        <v>13</v>
      </c>
      <c r="G1682" s="2" t="s">
        <v>72</v>
      </c>
      <c r="H1682" s="3">
        <v>4</v>
      </c>
      <c r="I1682" s="6">
        <v>2003</v>
      </c>
      <c r="J1682" s="2" t="s">
        <v>22</v>
      </c>
      <c r="K1682" s="2" t="s">
        <v>178</v>
      </c>
      <c r="L1682" s="7">
        <f t="shared" si="78"/>
        <v>4527.04</v>
      </c>
      <c r="M1682" s="2" t="str">
        <f t="shared" si="79"/>
        <v>December</v>
      </c>
      <c r="N1682" s="6">
        <f t="shared" si="80"/>
        <v>2003</v>
      </c>
    </row>
    <row r="1683" spans="1:14">
      <c r="A1683" s="2" t="s">
        <v>69</v>
      </c>
      <c r="B1683" s="3">
        <v>10212</v>
      </c>
      <c r="C1683" s="3">
        <v>45</v>
      </c>
      <c r="D1683" s="13">
        <v>88.14</v>
      </c>
      <c r="E1683" s="5">
        <v>38002</v>
      </c>
      <c r="F1683" s="2" t="s">
        <v>13</v>
      </c>
      <c r="G1683" s="2" t="s">
        <v>72</v>
      </c>
      <c r="H1683" s="3">
        <v>1</v>
      </c>
      <c r="I1683" s="6">
        <v>2004</v>
      </c>
      <c r="J1683" s="2" t="s">
        <v>22</v>
      </c>
      <c r="K1683" s="2" t="s">
        <v>71</v>
      </c>
      <c r="L1683" s="7">
        <f t="shared" si="78"/>
        <v>3966.3</v>
      </c>
      <c r="M1683" s="2" t="str">
        <f t="shared" si="79"/>
        <v>January</v>
      </c>
      <c r="N1683" s="6">
        <f t="shared" si="80"/>
        <v>2004</v>
      </c>
    </row>
    <row r="1684" spans="1:14">
      <c r="A1684" s="2" t="s">
        <v>85</v>
      </c>
      <c r="B1684" s="3">
        <v>10227</v>
      </c>
      <c r="C1684" s="3">
        <v>47</v>
      </c>
      <c r="D1684" s="13">
        <v>88.14</v>
      </c>
      <c r="E1684" s="5">
        <v>38048</v>
      </c>
      <c r="F1684" s="2" t="s">
        <v>13</v>
      </c>
      <c r="G1684" s="2" t="s">
        <v>72</v>
      </c>
      <c r="H1684" s="3">
        <v>1</v>
      </c>
      <c r="I1684" s="6">
        <v>2004</v>
      </c>
      <c r="J1684" s="2" t="s">
        <v>22</v>
      </c>
      <c r="K1684" s="2" t="s">
        <v>86</v>
      </c>
      <c r="L1684" s="7">
        <f t="shared" si="78"/>
        <v>4142.58</v>
      </c>
      <c r="M1684" s="2" t="str">
        <f t="shared" si="79"/>
        <v>March</v>
      </c>
      <c r="N1684" s="6">
        <f t="shared" si="80"/>
        <v>2004</v>
      </c>
    </row>
    <row r="1685" spans="1:14">
      <c r="A1685" s="2" t="s">
        <v>196</v>
      </c>
      <c r="B1685" s="3">
        <v>10241</v>
      </c>
      <c r="C1685" s="3">
        <v>47</v>
      </c>
      <c r="D1685" s="13">
        <v>94.5</v>
      </c>
      <c r="E1685" s="5">
        <v>38090</v>
      </c>
      <c r="F1685" s="2" t="s">
        <v>13</v>
      </c>
      <c r="G1685" s="2" t="s">
        <v>72</v>
      </c>
      <c r="H1685" s="3">
        <v>2</v>
      </c>
      <c r="I1685" s="6">
        <v>2004</v>
      </c>
      <c r="J1685" s="2" t="s">
        <v>22</v>
      </c>
      <c r="K1685" s="2" t="s">
        <v>197</v>
      </c>
      <c r="L1685" s="7">
        <f t="shared" si="78"/>
        <v>4441.5</v>
      </c>
      <c r="M1685" s="2" t="str">
        <f t="shared" si="79"/>
        <v>April</v>
      </c>
      <c r="N1685" s="6">
        <f t="shared" si="80"/>
        <v>2004</v>
      </c>
    </row>
    <row r="1686" spans="1:14">
      <c r="A1686" s="2" t="s">
        <v>177</v>
      </c>
      <c r="B1686" s="3">
        <v>10267</v>
      </c>
      <c r="C1686" s="3">
        <v>38</v>
      </c>
      <c r="D1686" s="13">
        <v>87.24</v>
      </c>
      <c r="E1686" s="5">
        <v>38175</v>
      </c>
      <c r="F1686" s="2" t="s">
        <v>13</v>
      </c>
      <c r="G1686" s="2" t="s">
        <v>72</v>
      </c>
      <c r="H1686" s="3">
        <v>3</v>
      </c>
      <c r="I1686" s="6">
        <v>2004</v>
      </c>
      <c r="J1686" s="2" t="s">
        <v>22</v>
      </c>
      <c r="K1686" s="2" t="s">
        <v>178</v>
      </c>
      <c r="L1686" s="7">
        <f t="shared" si="78"/>
        <v>3315.12</v>
      </c>
      <c r="M1686" s="2" t="str">
        <f t="shared" si="79"/>
        <v>July</v>
      </c>
      <c r="N1686" s="6">
        <f t="shared" si="80"/>
        <v>2004</v>
      </c>
    </row>
    <row r="1687" spans="1:14">
      <c r="A1687" s="2" t="s">
        <v>69</v>
      </c>
      <c r="B1687" s="3">
        <v>10279</v>
      </c>
      <c r="C1687" s="3">
        <v>49</v>
      </c>
      <c r="D1687" s="13">
        <v>79.97</v>
      </c>
      <c r="E1687" s="5">
        <v>38208</v>
      </c>
      <c r="F1687" s="2" t="s">
        <v>13</v>
      </c>
      <c r="G1687" s="2" t="s">
        <v>72</v>
      </c>
      <c r="H1687" s="3">
        <v>3</v>
      </c>
      <c r="I1687" s="6">
        <v>2004</v>
      </c>
      <c r="J1687" s="2" t="s">
        <v>22</v>
      </c>
      <c r="K1687" s="2" t="s">
        <v>71</v>
      </c>
      <c r="L1687" s="7">
        <f t="shared" si="78"/>
        <v>3918.53</v>
      </c>
      <c r="M1687" s="2" t="str">
        <f t="shared" si="79"/>
        <v>August</v>
      </c>
      <c r="N1687" s="6">
        <f t="shared" si="80"/>
        <v>2004</v>
      </c>
    </row>
    <row r="1688" spans="1:14">
      <c r="A1688" s="2" t="s">
        <v>159</v>
      </c>
      <c r="B1688" s="3">
        <v>10288</v>
      </c>
      <c r="C1688" s="3">
        <v>35</v>
      </c>
      <c r="D1688" s="13">
        <v>80.87</v>
      </c>
      <c r="E1688" s="5">
        <v>38231</v>
      </c>
      <c r="F1688" s="2" t="s">
        <v>13</v>
      </c>
      <c r="G1688" s="2" t="s">
        <v>72</v>
      </c>
      <c r="H1688" s="3">
        <v>3</v>
      </c>
      <c r="I1688" s="6">
        <v>2004</v>
      </c>
      <c r="J1688" s="2" t="s">
        <v>15</v>
      </c>
      <c r="K1688" s="2" t="s">
        <v>160</v>
      </c>
      <c r="L1688" s="7">
        <f t="shared" si="78"/>
        <v>2830.45</v>
      </c>
      <c r="M1688" s="2" t="str">
        <f t="shared" si="79"/>
        <v>September</v>
      </c>
      <c r="N1688" s="6">
        <f t="shared" si="80"/>
        <v>2004</v>
      </c>
    </row>
    <row r="1689" spans="1:14">
      <c r="A1689" s="2" t="s">
        <v>67</v>
      </c>
      <c r="B1689" s="3">
        <v>10302</v>
      </c>
      <c r="C1689" s="3">
        <v>49</v>
      </c>
      <c r="D1689" s="13">
        <v>100</v>
      </c>
      <c r="E1689" s="5">
        <v>37900</v>
      </c>
      <c r="F1689" s="2" t="s">
        <v>13</v>
      </c>
      <c r="G1689" s="2" t="s">
        <v>72</v>
      </c>
      <c r="H1689" s="3">
        <v>4</v>
      </c>
      <c r="I1689" s="6">
        <v>2003</v>
      </c>
      <c r="J1689" s="2" t="s">
        <v>22</v>
      </c>
      <c r="K1689" s="2" t="s">
        <v>68</v>
      </c>
      <c r="L1689" s="7">
        <f t="shared" si="78"/>
        <v>4900</v>
      </c>
      <c r="M1689" s="2" t="str">
        <f t="shared" si="79"/>
        <v>October</v>
      </c>
      <c r="N1689" s="6">
        <f t="shared" si="80"/>
        <v>2003</v>
      </c>
    </row>
    <row r="1690" spans="1:14">
      <c r="A1690" s="2" t="s">
        <v>69</v>
      </c>
      <c r="B1690" s="3">
        <v>10311</v>
      </c>
      <c r="C1690" s="3">
        <v>28</v>
      </c>
      <c r="D1690" s="13">
        <v>93.6</v>
      </c>
      <c r="E1690" s="5">
        <v>38276</v>
      </c>
      <c r="F1690" s="2" t="s">
        <v>13</v>
      </c>
      <c r="G1690" s="2" t="s">
        <v>72</v>
      </c>
      <c r="H1690" s="3">
        <v>4</v>
      </c>
      <c r="I1690" s="6">
        <v>2004</v>
      </c>
      <c r="J1690" s="2" t="s">
        <v>15</v>
      </c>
      <c r="K1690" s="2" t="s">
        <v>71</v>
      </c>
      <c r="L1690" s="7">
        <f t="shared" si="78"/>
        <v>2620.8</v>
      </c>
      <c r="M1690" s="2" t="str">
        <f t="shared" si="79"/>
        <v>October</v>
      </c>
      <c r="N1690" s="6">
        <f t="shared" si="80"/>
        <v>2004</v>
      </c>
    </row>
    <row r="1691" spans="1:14">
      <c r="A1691" s="2" t="s">
        <v>65</v>
      </c>
      <c r="B1691" s="3">
        <v>10321</v>
      </c>
      <c r="C1691" s="3">
        <v>30</v>
      </c>
      <c r="D1691" s="13">
        <v>72.7</v>
      </c>
      <c r="E1691" s="5">
        <v>38295</v>
      </c>
      <c r="F1691" s="2" t="s">
        <v>13</v>
      </c>
      <c r="G1691" s="2" t="s">
        <v>72</v>
      </c>
      <c r="H1691" s="3">
        <v>4</v>
      </c>
      <c r="I1691" s="6">
        <v>2004</v>
      </c>
      <c r="J1691" s="2" t="s">
        <v>15</v>
      </c>
      <c r="K1691" s="2" t="s">
        <v>66</v>
      </c>
      <c r="L1691" s="7">
        <f t="shared" si="78"/>
        <v>2181</v>
      </c>
      <c r="M1691" s="2" t="str">
        <f t="shared" si="79"/>
        <v>November</v>
      </c>
      <c r="N1691" s="6">
        <f t="shared" si="80"/>
        <v>2004</v>
      </c>
    </row>
    <row r="1692" spans="1:14">
      <c r="A1692" s="2" t="s">
        <v>183</v>
      </c>
      <c r="B1692" s="3">
        <v>10332</v>
      </c>
      <c r="C1692" s="3">
        <v>39</v>
      </c>
      <c r="D1692" s="13">
        <v>86.72</v>
      </c>
      <c r="E1692" s="5">
        <v>38308</v>
      </c>
      <c r="F1692" s="2" t="s">
        <v>13</v>
      </c>
      <c r="G1692" s="2" t="s">
        <v>72</v>
      </c>
      <c r="H1692" s="3">
        <v>4</v>
      </c>
      <c r="I1692" s="6">
        <v>2004</v>
      </c>
      <c r="J1692" s="2" t="s">
        <v>22</v>
      </c>
      <c r="K1692" s="2" t="s">
        <v>184</v>
      </c>
      <c r="L1692" s="7">
        <f t="shared" si="78"/>
        <v>3382.08</v>
      </c>
      <c r="M1692" s="2" t="str">
        <f t="shared" si="79"/>
        <v>November</v>
      </c>
      <c r="N1692" s="6">
        <f t="shared" si="80"/>
        <v>2004</v>
      </c>
    </row>
    <row r="1693" spans="1:14">
      <c r="A1693" s="2" t="s">
        <v>198</v>
      </c>
      <c r="B1693" s="3">
        <v>10346</v>
      </c>
      <c r="C1693" s="3">
        <v>25</v>
      </c>
      <c r="D1693" s="13">
        <v>100</v>
      </c>
      <c r="E1693" s="5">
        <v>38320</v>
      </c>
      <c r="F1693" s="2" t="s">
        <v>13</v>
      </c>
      <c r="G1693" s="2" t="s">
        <v>72</v>
      </c>
      <c r="H1693" s="3">
        <v>4</v>
      </c>
      <c r="I1693" s="6">
        <v>2004</v>
      </c>
      <c r="J1693" s="2" t="s">
        <v>15</v>
      </c>
      <c r="K1693" s="2" t="s">
        <v>199</v>
      </c>
      <c r="L1693" s="7">
        <f t="shared" si="78"/>
        <v>2500</v>
      </c>
      <c r="M1693" s="2" t="str">
        <f t="shared" si="79"/>
        <v>November</v>
      </c>
      <c r="N1693" s="6">
        <f t="shared" si="80"/>
        <v>2004</v>
      </c>
    </row>
    <row r="1694" spans="1:14">
      <c r="A1694" s="2" t="s">
        <v>103</v>
      </c>
      <c r="B1694" s="3">
        <v>10368</v>
      </c>
      <c r="C1694" s="3">
        <v>40</v>
      </c>
      <c r="D1694" s="13">
        <v>100</v>
      </c>
      <c r="E1694" s="5">
        <v>38371</v>
      </c>
      <c r="F1694" s="2" t="s">
        <v>13</v>
      </c>
      <c r="G1694" s="2" t="s">
        <v>72</v>
      </c>
      <c r="H1694" s="3">
        <v>1</v>
      </c>
      <c r="I1694" s="6">
        <v>2005</v>
      </c>
      <c r="J1694" s="2" t="s">
        <v>22</v>
      </c>
      <c r="K1694" s="2" t="s">
        <v>104</v>
      </c>
      <c r="L1694" s="7">
        <f t="shared" si="78"/>
        <v>4000</v>
      </c>
      <c r="M1694" s="2" t="str">
        <f t="shared" si="79"/>
        <v>January</v>
      </c>
      <c r="N1694" s="6">
        <f t="shared" si="80"/>
        <v>2005</v>
      </c>
    </row>
    <row r="1695" spans="1:14">
      <c r="A1695" s="2" t="s">
        <v>69</v>
      </c>
      <c r="B1695" s="3">
        <v>10380</v>
      </c>
      <c r="C1695" s="3">
        <v>36</v>
      </c>
      <c r="D1695" s="13">
        <v>37.5</v>
      </c>
      <c r="E1695" s="5">
        <v>38399</v>
      </c>
      <c r="F1695" s="2" t="s">
        <v>13</v>
      </c>
      <c r="G1695" s="2" t="s">
        <v>72</v>
      </c>
      <c r="H1695" s="3">
        <v>1</v>
      </c>
      <c r="I1695" s="6">
        <v>2005</v>
      </c>
      <c r="J1695" s="2" t="s">
        <v>15</v>
      </c>
      <c r="K1695" s="2" t="s">
        <v>71</v>
      </c>
      <c r="L1695" s="7">
        <f t="shared" si="78"/>
        <v>1350</v>
      </c>
      <c r="M1695" s="2" t="str">
        <f t="shared" si="79"/>
        <v>February</v>
      </c>
      <c r="N1695" s="6">
        <f t="shared" si="80"/>
        <v>2005</v>
      </c>
    </row>
    <row r="1696" spans="1:14">
      <c r="A1696" s="2" t="s">
        <v>149</v>
      </c>
      <c r="B1696" s="3">
        <v>10407</v>
      </c>
      <c r="C1696" s="3">
        <v>76</v>
      </c>
      <c r="D1696" s="13">
        <v>94.5</v>
      </c>
      <c r="E1696" s="5">
        <v>38464</v>
      </c>
      <c r="F1696" s="2" t="s">
        <v>151</v>
      </c>
      <c r="G1696" s="2" t="s">
        <v>72</v>
      </c>
      <c r="H1696" s="3">
        <v>2</v>
      </c>
      <c r="I1696" s="6">
        <v>2005</v>
      </c>
      <c r="J1696" s="2" t="s">
        <v>61</v>
      </c>
      <c r="K1696" s="2" t="s">
        <v>150</v>
      </c>
      <c r="L1696" s="7">
        <f t="shared" si="78"/>
        <v>7182</v>
      </c>
      <c r="M1696" s="2" t="str">
        <f t="shared" si="79"/>
        <v>April</v>
      </c>
      <c r="N1696" s="6">
        <f t="shared" si="80"/>
        <v>2005</v>
      </c>
    </row>
    <row r="1697" spans="1:14">
      <c r="A1697" s="2" t="s">
        <v>63</v>
      </c>
      <c r="B1697" s="3">
        <v>10420</v>
      </c>
      <c r="C1697" s="3">
        <v>39</v>
      </c>
      <c r="D1697" s="13">
        <v>100</v>
      </c>
      <c r="E1697" s="5">
        <v>38501</v>
      </c>
      <c r="F1697" s="2" t="s">
        <v>113</v>
      </c>
      <c r="G1697" s="2" t="s">
        <v>72</v>
      </c>
      <c r="H1697" s="3">
        <v>2</v>
      </c>
      <c r="I1697" s="6">
        <v>2005</v>
      </c>
      <c r="J1697" s="2" t="s">
        <v>22</v>
      </c>
      <c r="K1697" s="2" t="s">
        <v>64</v>
      </c>
      <c r="L1697" s="7">
        <f t="shared" si="78"/>
        <v>3900</v>
      </c>
      <c r="M1697" s="2" t="str">
        <f t="shared" si="79"/>
        <v>May</v>
      </c>
      <c r="N1697" s="6">
        <f t="shared" si="80"/>
        <v>2005</v>
      </c>
    </row>
    <row r="1698" spans="1:14">
      <c r="A1698" s="2" t="s">
        <v>69</v>
      </c>
      <c r="B1698" s="3">
        <v>10104</v>
      </c>
      <c r="C1698" s="3">
        <v>44</v>
      </c>
      <c r="D1698" s="13">
        <v>39.6</v>
      </c>
      <c r="E1698" s="5">
        <v>37652</v>
      </c>
      <c r="F1698" s="2" t="s">
        <v>13</v>
      </c>
      <c r="G1698" s="2" t="s">
        <v>72</v>
      </c>
      <c r="H1698" s="3">
        <v>1</v>
      </c>
      <c r="I1698" s="6">
        <v>2003</v>
      </c>
      <c r="J1698" s="2" t="s">
        <v>15</v>
      </c>
      <c r="K1698" s="2" t="s">
        <v>71</v>
      </c>
      <c r="L1698" s="7">
        <f t="shared" si="78"/>
        <v>1742.4</v>
      </c>
      <c r="M1698" s="2" t="str">
        <f t="shared" si="79"/>
        <v>January</v>
      </c>
      <c r="N1698" s="6">
        <f t="shared" si="80"/>
        <v>2003</v>
      </c>
    </row>
    <row r="1699" spans="1:14">
      <c r="A1699" s="2" t="s">
        <v>152</v>
      </c>
      <c r="B1699" s="3">
        <v>10114</v>
      </c>
      <c r="C1699" s="3">
        <v>24</v>
      </c>
      <c r="D1699" s="13">
        <v>30.06</v>
      </c>
      <c r="E1699" s="5">
        <v>37712</v>
      </c>
      <c r="F1699" s="2" t="s">
        <v>13</v>
      </c>
      <c r="G1699" s="2" t="s">
        <v>72</v>
      </c>
      <c r="H1699" s="3">
        <v>2</v>
      </c>
      <c r="I1699" s="6">
        <v>2003</v>
      </c>
      <c r="J1699" s="2" t="s">
        <v>15</v>
      </c>
      <c r="K1699" s="2" t="s">
        <v>153</v>
      </c>
      <c r="L1699" s="7">
        <f t="shared" si="78"/>
        <v>721.44</v>
      </c>
      <c r="M1699" s="2" t="str">
        <f t="shared" si="79"/>
        <v>April</v>
      </c>
      <c r="N1699" s="6">
        <f t="shared" si="80"/>
        <v>2003</v>
      </c>
    </row>
    <row r="1700" spans="1:14">
      <c r="A1700" s="2" t="s">
        <v>177</v>
      </c>
      <c r="B1700" s="3">
        <v>10127</v>
      </c>
      <c r="C1700" s="3">
        <v>39</v>
      </c>
      <c r="D1700" s="13">
        <v>38.19</v>
      </c>
      <c r="E1700" s="5">
        <v>37775</v>
      </c>
      <c r="F1700" s="2" t="s">
        <v>13</v>
      </c>
      <c r="G1700" s="2" t="s">
        <v>72</v>
      </c>
      <c r="H1700" s="3">
        <v>2</v>
      </c>
      <c r="I1700" s="6">
        <v>2003</v>
      </c>
      <c r="J1700" s="2" t="s">
        <v>15</v>
      </c>
      <c r="K1700" s="2" t="s">
        <v>178</v>
      </c>
      <c r="L1700" s="7">
        <f t="shared" si="78"/>
        <v>1489.41</v>
      </c>
      <c r="M1700" s="2" t="str">
        <f t="shared" si="79"/>
        <v>June</v>
      </c>
      <c r="N1700" s="6">
        <f t="shared" si="80"/>
        <v>2003</v>
      </c>
    </row>
    <row r="1701" spans="1:14">
      <c r="A1701" s="2" t="s">
        <v>175</v>
      </c>
      <c r="B1701" s="3">
        <v>10141</v>
      </c>
      <c r="C1701" s="3">
        <v>21</v>
      </c>
      <c r="D1701" s="13">
        <v>42.43</v>
      </c>
      <c r="E1701" s="5">
        <v>37834</v>
      </c>
      <c r="F1701" s="2" t="s">
        <v>13</v>
      </c>
      <c r="G1701" s="2" t="s">
        <v>72</v>
      </c>
      <c r="H1701" s="3">
        <v>3</v>
      </c>
      <c r="I1701" s="6">
        <v>2003</v>
      </c>
      <c r="J1701" s="2" t="s">
        <v>15</v>
      </c>
      <c r="K1701" s="2" t="s">
        <v>176</v>
      </c>
      <c r="L1701" s="7">
        <f t="shared" si="78"/>
        <v>891.03</v>
      </c>
      <c r="M1701" s="2" t="str">
        <f t="shared" si="79"/>
        <v>August</v>
      </c>
      <c r="N1701" s="6">
        <f t="shared" si="80"/>
        <v>2003</v>
      </c>
    </row>
    <row r="1702" spans="1:14">
      <c r="A1702" s="2" t="s">
        <v>147</v>
      </c>
      <c r="B1702" s="3">
        <v>10151</v>
      </c>
      <c r="C1702" s="3">
        <v>30</v>
      </c>
      <c r="D1702" s="13">
        <v>40.31</v>
      </c>
      <c r="E1702" s="5">
        <v>37885</v>
      </c>
      <c r="F1702" s="2" t="s">
        <v>13</v>
      </c>
      <c r="G1702" s="2" t="s">
        <v>72</v>
      </c>
      <c r="H1702" s="3">
        <v>3</v>
      </c>
      <c r="I1702" s="6">
        <v>2003</v>
      </c>
      <c r="J1702" s="2" t="s">
        <v>15</v>
      </c>
      <c r="K1702" s="2" t="s">
        <v>148</v>
      </c>
      <c r="L1702" s="7">
        <f t="shared" si="78"/>
        <v>1209.3</v>
      </c>
      <c r="M1702" s="2" t="str">
        <f t="shared" si="79"/>
        <v>September</v>
      </c>
      <c r="N1702" s="6">
        <f t="shared" si="80"/>
        <v>2003</v>
      </c>
    </row>
    <row r="1703" spans="1:14">
      <c r="A1703" s="2" t="s">
        <v>77</v>
      </c>
      <c r="B1703" s="3">
        <v>10165</v>
      </c>
      <c r="C1703" s="3">
        <v>27</v>
      </c>
      <c r="D1703" s="13">
        <v>31.82</v>
      </c>
      <c r="E1703" s="5">
        <v>37916</v>
      </c>
      <c r="F1703" s="2" t="s">
        <v>13</v>
      </c>
      <c r="G1703" s="2" t="s">
        <v>72</v>
      </c>
      <c r="H1703" s="3">
        <v>4</v>
      </c>
      <c r="I1703" s="6">
        <v>2003</v>
      </c>
      <c r="J1703" s="2" t="s">
        <v>15</v>
      </c>
      <c r="K1703" s="2" t="s">
        <v>78</v>
      </c>
      <c r="L1703" s="7">
        <f t="shared" si="78"/>
        <v>859.14</v>
      </c>
      <c r="M1703" s="2" t="str">
        <f t="shared" si="79"/>
        <v>October</v>
      </c>
      <c r="N1703" s="6">
        <f t="shared" si="80"/>
        <v>2003</v>
      </c>
    </row>
    <row r="1704" spans="1:14">
      <c r="A1704" s="2" t="s">
        <v>124</v>
      </c>
      <c r="B1704" s="3">
        <v>10175</v>
      </c>
      <c r="C1704" s="3">
        <v>37</v>
      </c>
      <c r="D1704" s="13">
        <v>31.12</v>
      </c>
      <c r="E1704" s="5">
        <v>37931</v>
      </c>
      <c r="F1704" s="2" t="s">
        <v>13</v>
      </c>
      <c r="G1704" s="2" t="s">
        <v>72</v>
      </c>
      <c r="H1704" s="3">
        <v>4</v>
      </c>
      <c r="I1704" s="6">
        <v>2003</v>
      </c>
      <c r="J1704" s="2" t="s">
        <v>15</v>
      </c>
      <c r="K1704" s="2" t="s">
        <v>125</v>
      </c>
      <c r="L1704" s="7">
        <f t="shared" si="78"/>
        <v>1151.44</v>
      </c>
      <c r="M1704" s="2" t="str">
        <f t="shared" si="79"/>
        <v>November</v>
      </c>
      <c r="N1704" s="6">
        <f t="shared" si="80"/>
        <v>2003</v>
      </c>
    </row>
    <row r="1705" spans="1:14">
      <c r="A1705" s="2" t="s">
        <v>192</v>
      </c>
      <c r="B1705" s="3">
        <v>10184</v>
      </c>
      <c r="C1705" s="3">
        <v>42</v>
      </c>
      <c r="D1705" s="13">
        <v>31.82</v>
      </c>
      <c r="E1705" s="5">
        <v>37939</v>
      </c>
      <c r="F1705" s="2" t="s">
        <v>13</v>
      </c>
      <c r="G1705" s="2" t="s">
        <v>72</v>
      </c>
      <c r="H1705" s="3">
        <v>4</v>
      </c>
      <c r="I1705" s="6">
        <v>2003</v>
      </c>
      <c r="J1705" s="2" t="s">
        <v>15</v>
      </c>
      <c r="K1705" s="2" t="s">
        <v>193</v>
      </c>
      <c r="L1705" s="7">
        <f t="shared" si="78"/>
        <v>1336.44</v>
      </c>
      <c r="M1705" s="2" t="str">
        <f t="shared" si="79"/>
        <v>November</v>
      </c>
      <c r="N1705" s="6">
        <f t="shared" si="80"/>
        <v>2003</v>
      </c>
    </row>
    <row r="1706" spans="1:14">
      <c r="A1706" s="2" t="s">
        <v>120</v>
      </c>
      <c r="B1706" s="3">
        <v>10195</v>
      </c>
      <c r="C1706" s="3">
        <v>32</v>
      </c>
      <c r="D1706" s="13">
        <v>28.29</v>
      </c>
      <c r="E1706" s="5">
        <v>37950</v>
      </c>
      <c r="F1706" s="2" t="s">
        <v>13</v>
      </c>
      <c r="G1706" s="2" t="s">
        <v>72</v>
      </c>
      <c r="H1706" s="3">
        <v>4</v>
      </c>
      <c r="I1706" s="6">
        <v>2003</v>
      </c>
      <c r="J1706" s="2" t="s">
        <v>15</v>
      </c>
      <c r="K1706" s="2" t="s">
        <v>121</v>
      </c>
      <c r="L1706" s="7">
        <f t="shared" si="78"/>
        <v>905.28</v>
      </c>
      <c r="M1706" s="2" t="str">
        <f t="shared" si="79"/>
        <v>November</v>
      </c>
      <c r="N1706" s="6">
        <f t="shared" si="80"/>
        <v>2003</v>
      </c>
    </row>
    <row r="1707" spans="1:14">
      <c r="A1707" s="2" t="s">
        <v>157</v>
      </c>
      <c r="B1707" s="3">
        <v>10207</v>
      </c>
      <c r="C1707" s="3">
        <v>42</v>
      </c>
      <c r="D1707" s="13">
        <v>29.7</v>
      </c>
      <c r="E1707" s="5">
        <v>37964</v>
      </c>
      <c r="F1707" s="2" t="s">
        <v>13</v>
      </c>
      <c r="G1707" s="2" t="s">
        <v>72</v>
      </c>
      <c r="H1707" s="3">
        <v>4</v>
      </c>
      <c r="I1707" s="6">
        <v>2003</v>
      </c>
      <c r="J1707" s="2" t="s">
        <v>15</v>
      </c>
      <c r="K1707" s="2" t="s">
        <v>158</v>
      </c>
      <c r="L1707" s="7">
        <f t="shared" si="78"/>
        <v>1247.4</v>
      </c>
      <c r="M1707" s="2" t="str">
        <f t="shared" si="79"/>
        <v>December</v>
      </c>
      <c r="N1707" s="6">
        <f t="shared" si="80"/>
        <v>2003</v>
      </c>
    </row>
    <row r="1708" spans="1:14">
      <c r="A1708" s="2" t="s">
        <v>194</v>
      </c>
      <c r="B1708" s="3">
        <v>10219</v>
      </c>
      <c r="C1708" s="3">
        <v>21</v>
      </c>
      <c r="D1708" s="13">
        <v>40.31</v>
      </c>
      <c r="E1708" s="5">
        <v>38027</v>
      </c>
      <c r="F1708" s="2" t="s">
        <v>13</v>
      </c>
      <c r="G1708" s="2" t="s">
        <v>72</v>
      </c>
      <c r="H1708" s="3">
        <v>1</v>
      </c>
      <c r="I1708" s="6">
        <v>2004</v>
      </c>
      <c r="J1708" s="2" t="s">
        <v>15</v>
      </c>
      <c r="K1708" s="2" t="s">
        <v>195</v>
      </c>
      <c r="L1708" s="7">
        <f t="shared" si="78"/>
        <v>846.51</v>
      </c>
      <c r="M1708" s="2" t="str">
        <f t="shared" si="79"/>
        <v>February</v>
      </c>
      <c r="N1708" s="6">
        <f t="shared" si="80"/>
        <v>2004</v>
      </c>
    </row>
    <row r="1709" spans="1:14">
      <c r="A1709" s="2" t="s">
        <v>103</v>
      </c>
      <c r="B1709" s="3">
        <v>10229</v>
      </c>
      <c r="C1709" s="3">
        <v>33</v>
      </c>
      <c r="D1709" s="13">
        <v>32.88</v>
      </c>
      <c r="E1709" s="5">
        <v>38057</v>
      </c>
      <c r="F1709" s="2" t="s">
        <v>13</v>
      </c>
      <c r="G1709" s="2" t="s">
        <v>72</v>
      </c>
      <c r="H1709" s="3">
        <v>1</v>
      </c>
      <c r="I1709" s="6">
        <v>2004</v>
      </c>
      <c r="J1709" s="2" t="s">
        <v>15</v>
      </c>
      <c r="K1709" s="2" t="s">
        <v>104</v>
      </c>
      <c r="L1709" s="7">
        <f t="shared" si="78"/>
        <v>1085.04</v>
      </c>
      <c r="M1709" s="2" t="str">
        <f t="shared" si="79"/>
        <v>March</v>
      </c>
      <c r="N1709" s="6">
        <f t="shared" si="80"/>
        <v>2004</v>
      </c>
    </row>
    <row r="1710" spans="1:14">
      <c r="A1710" s="2" t="s">
        <v>69</v>
      </c>
      <c r="B1710" s="3">
        <v>10246</v>
      </c>
      <c r="C1710" s="3">
        <v>49</v>
      </c>
      <c r="D1710" s="13">
        <v>36.07</v>
      </c>
      <c r="E1710" s="5">
        <v>38112</v>
      </c>
      <c r="F1710" s="2" t="s">
        <v>13</v>
      </c>
      <c r="G1710" s="2" t="s">
        <v>72</v>
      </c>
      <c r="H1710" s="3">
        <v>2</v>
      </c>
      <c r="I1710" s="6">
        <v>2004</v>
      </c>
      <c r="J1710" s="2" t="s">
        <v>15</v>
      </c>
      <c r="K1710" s="2" t="s">
        <v>71</v>
      </c>
      <c r="L1710" s="7">
        <f t="shared" si="78"/>
        <v>1767.43</v>
      </c>
      <c r="M1710" s="2" t="str">
        <f t="shared" si="79"/>
        <v>May</v>
      </c>
      <c r="N1710" s="6">
        <f t="shared" si="80"/>
        <v>2004</v>
      </c>
    </row>
    <row r="1711" spans="1:14">
      <c r="A1711" s="2" t="s">
        <v>159</v>
      </c>
      <c r="B1711" s="3">
        <v>10259</v>
      </c>
      <c r="C1711" s="3">
        <v>31</v>
      </c>
      <c r="D1711" s="13">
        <v>33.24</v>
      </c>
      <c r="E1711" s="5">
        <v>38153</v>
      </c>
      <c r="F1711" s="2" t="s">
        <v>13</v>
      </c>
      <c r="G1711" s="2" t="s">
        <v>72</v>
      </c>
      <c r="H1711" s="3">
        <v>2</v>
      </c>
      <c r="I1711" s="6">
        <v>2004</v>
      </c>
      <c r="J1711" s="2" t="s">
        <v>15</v>
      </c>
      <c r="K1711" s="2" t="s">
        <v>160</v>
      </c>
      <c r="L1711" s="7">
        <f t="shared" si="78"/>
        <v>1030.44</v>
      </c>
      <c r="M1711" s="2" t="str">
        <f t="shared" si="79"/>
        <v>June</v>
      </c>
      <c r="N1711" s="6">
        <f t="shared" si="80"/>
        <v>2004</v>
      </c>
    </row>
    <row r="1712" spans="1:14">
      <c r="A1712" s="2" t="s">
        <v>103</v>
      </c>
      <c r="B1712" s="3">
        <v>10271</v>
      </c>
      <c r="C1712" s="3">
        <v>38</v>
      </c>
      <c r="D1712" s="13">
        <v>41.72</v>
      </c>
      <c r="E1712" s="5">
        <v>38188</v>
      </c>
      <c r="F1712" s="2" t="s">
        <v>13</v>
      </c>
      <c r="G1712" s="2" t="s">
        <v>72</v>
      </c>
      <c r="H1712" s="3">
        <v>3</v>
      </c>
      <c r="I1712" s="6">
        <v>2004</v>
      </c>
      <c r="J1712" s="2" t="s">
        <v>15</v>
      </c>
      <c r="K1712" s="2" t="s">
        <v>104</v>
      </c>
      <c r="L1712" s="7">
        <f t="shared" si="78"/>
        <v>1585.36</v>
      </c>
      <c r="M1712" s="2" t="str">
        <f t="shared" si="79"/>
        <v>July</v>
      </c>
      <c r="N1712" s="6">
        <f t="shared" si="80"/>
        <v>2004</v>
      </c>
    </row>
    <row r="1713" spans="1:14">
      <c r="A1713" s="2" t="s">
        <v>58</v>
      </c>
      <c r="B1713" s="3">
        <v>10281</v>
      </c>
      <c r="C1713" s="3">
        <v>20</v>
      </c>
      <c r="D1713" s="13">
        <v>40.66</v>
      </c>
      <c r="E1713" s="5">
        <v>38218</v>
      </c>
      <c r="F1713" s="2" t="s">
        <v>13</v>
      </c>
      <c r="G1713" s="2" t="s">
        <v>72</v>
      </c>
      <c r="H1713" s="3">
        <v>3</v>
      </c>
      <c r="I1713" s="6">
        <v>2004</v>
      </c>
      <c r="J1713" s="2" t="s">
        <v>15</v>
      </c>
      <c r="K1713" s="2" t="s">
        <v>59</v>
      </c>
      <c r="L1713" s="7">
        <f t="shared" si="78"/>
        <v>813.2</v>
      </c>
      <c r="M1713" s="2" t="str">
        <f t="shared" si="79"/>
        <v>August</v>
      </c>
      <c r="N1713" s="6">
        <f t="shared" si="80"/>
        <v>2004</v>
      </c>
    </row>
    <row r="1714" spans="1:14">
      <c r="A1714" s="2" t="s">
        <v>12</v>
      </c>
      <c r="B1714" s="3">
        <v>10292</v>
      </c>
      <c r="C1714" s="3">
        <v>39</v>
      </c>
      <c r="D1714" s="13">
        <v>30.06</v>
      </c>
      <c r="E1714" s="5">
        <v>38238</v>
      </c>
      <c r="F1714" s="2" t="s">
        <v>13</v>
      </c>
      <c r="G1714" s="2" t="s">
        <v>72</v>
      </c>
      <c r="H1714" s="3">
        <v>3</v>
      </c>
      <c r="I1714" s="6">
        <v>2004</v>
      </c>
      <c r="J1714" s="2" t="s">
        <v>15</v>
      </c>
      <c r="K1714" s="2" t="s">
        <v>16</v>
      </c>
      <c r="L1714" s="7">
        <f t="shared" si="78"/>
        <v>1172.34</v>
      </c>
      <c r="M1714" s="2" t="str">
        <f t="shared" si="79"/>
        <v>September</v>
      </c>
      <c r="N1714" s="6">
        <f t="shared" si="80"/>
        <v>2004</v>
      </c>
    </row>
    <row r="1715" spans="1:14">
      <c r="A1715" s="2" t="s">
        <v>52</v>
      </c>
      <c r="B1715" s="3">
        <v>10305</v>
      </c>
      <c r="C1715" s="3">
        <v>48</v>
      </c>
      <c r="D1715" s="13">
        <v>31.47</v>
      </c>
      <c r="E1715" s="5">
        <v>38273</v>
      </c>
      <c r="F1715" s="2" t="s">
        <v>13</v>
      </c>
      <c r="G1715" s="2" t="s">
        <v>72</v>
      </c>
      <c r="H1715" s="3">
        <v>4</v>
      </c>
      <c r="I1715" s="6">
        <v>2004</v>
      </c>
      <c r="J1715" s="2" t="s">
        <v>15</v>
      </c>
      <c r="K1715" s="2" t="s">
        <v>53</v>
      </c>
      <c r="L1715" s="7">
        <f t="shared" si="78"/>
        <v>1510.56</v>
      </c>
      <c r="M1715" s="2" t="str">
        <f t="shared" si="79"/>
        <v>October</v>
      </c>
      <c r="N1715" s="6">
        <f t="shared" si="80"/>
        <v>2004</v>
      </c>
    </row>
    <row r="1716" spans="1:14">
      <c r="A1716" s="2" t="s">
        <v>185</v>
      </c>
      <c r="B1716" s="3">
        <v>10314</v>
      </c>
      <c r="C1716" s="3">
        <v>39</v>
      </c>
      <c r="D1716" s="13">
        <v>37.13</v>
      </c>
      <c r="E1716" s="5">
        <v>38282</v>
      </c>
      <c r="F1716" s="2" t="s">
        <v>13</v>
      </c>
      <c r="G1716" s="2" t="s">
        <v>72</v>
      </c>
      <c r="H1716" s="3">
        <v>4</v>
      </c>
      <c r="I1716" s="6">
        <v>2004</v>
      </c>
      <c r="J1716" s="2" t="s">
        <v>15</v>
      </c>
      <c r="K1716" s="2" t="s">
        <v>186</v>
      </c>
      <c r="L1716" s="7">
        <f t="shared" si="78"/>
        <v>1448.07</v>
      </c>
      <c r="M1716" s="2" t="str">
        <f t="shared" si="79"/>
        <v>October</v>
      </c>
      <c r="N1716" s="6">
        <f t="shared" si="80"/>
        <v>2004</v>
      </c>
    </row>
    <row r="1717" spans="1:14">
      <c r="A1717" s="2" t="s">
        <v>44</v>
      </c>
      <c r="B1717" s="3">
        <v>10324</v>
      </c>
      <c r="C1717" s="3">
        <v>30</v>
      </c>
      <c r="D1717" s="13">
        <v>100</v>
      </c>
      <c r="E1717" s="5">
        <v>38296</v>
      </c>
      <c r="F1717" s="2" t="s">
        <v>13</v>
      </c>
      <c r="G1717" s="2" t="s">
        <v>72</v>
      </c>
      <c r="H1717" s="3">
        <v>4</v>
      </c>
      <c r="I1717" s="6">
        <v>2004</v>
      </c>
      <c r="J1717" s="2" t="s">
        <v>22</v>
      </c>
      <c r="K1717" s="2" t="s">
        <v>45</v>
      </c>
      <c r="L1717" s="7">
        <f t="shared" si="78"/>
        <v>3000</v>
      </c>
      <c r="M1717" s="2" t="str">
        <f t="shared" si="79"/>
        <v>November</v>
      </c>
      <c r="N1717" s="6">
        <f t="shared" si="80"/>
        <v>2004</v>
      </c>
    </row>
    <row r="1718" spans="1:14">
      <c r="A1718" s="2" t="s">
        <v>103</v>
      </c>
      <c r="B1718" s="3">
        <v>10335</v>
      </c>
      <c r="C1718" s="3">
        <v>33</v>
      </c>
      <c r="D1718" s="13">
        <v>37.13</v>
      </c>
      <c r="E1718" s="5">
        <v>38310</v>
      </c>
      <c r="F1718" s="2" t="s">
        <v>13</v>
      </c>
      <c r="G1718" s="2" t="s">
        <v>72</v>
      </c>
      <c r="H1718" s="3">
        <v>4</v>
      </c>
      <c r="I1718" s="6">
        <v>2004</v>
      </c>
      <c r="J1718" s="2" t="s">
        <v>15</v>
      </c>
      <c r="K1718" s="2" t="s">
        <v>104</v>
      </c>
      <c r="L1718" s="7">
        <f t="shared" si="78"/>
        <v>1225.29</v>
      </c>
      <c r="M1718" s="2" t="str">
        <f t="shared" si="79"/>
        <v>November</v>
      </c>
      <c r="N1718" s="6">
        <f t="shared" si="80"/>
        <v>2004</v>
      </c>
    </row>
    <row r="1719" spans="1:14">
      <c r="A1719" s="2" t="s">
        <v>177</v>
      </c>
      <c r="B1719" s="3">
        <v>10349</v>
      </c>
      <c r="C1719" s="3">
        <v>36</v>
      </c>
      <c r="D1719" s="13">
        <v>37.13</v>
      </c>
      <c r="E1719" s="5">
        <v>38322</v>
      </c>
      <c r="F1719" s="2" t="s">
        <v>13</v>
      </c>
      <c r="G1719" s="2" t="s">
        <v>72</v>
      </c>
      <c r="H1719" s="3">
        <v>4</v>
      </c>
      <c r="I1719" s="6">
        <v>2004</v>
      </c>
      <c r="J1719" s="2" t="s">
        <v>15</v>
      </c>
      <c r="K1719" s="2" t="s">
        <v>178</v>
      </c>
      <c r="L1719" s="7">
        <f t="shared" si="78"/>
        <v>1336.68</v>
      </c>
      <c r="M1719" s="2" t="str">
        <f t="shared" si="79"/>
        <v>December</v>
      </c>
      <c r="N1719" s="6">
        <f t="shared" si="80"/>
        <v>2004</v>
      </c>
    </row>
    <row r="1720" spans="1:14">
      <c r="A1720" s="2" t="s">
        <v>69</v>
      </c>
      <c r="B1720" s="3">
        <v>10358</v>
      </c>
      <c r="C1720" s="3">
        <v>36</v>
      </c>
      <c r="D1720" s="13">
        <v>82.94</v>
      </c>
      <c r="E1720" s="5">
        <v>38331</v>
      </c>
      <c r="F1720" s="2" t="s">
        <v>13</v>
      </c>
      <c r="G1720" s="2" t="s">
        <v>72</v>
      </c>
      <c r="H1720" s="3">
        <v>4</v>
      </c>
      <c r="I1720" s="6">
        <v>2004</v>
      </c>
      <c r="J1720" s="2" t="s">
        <v>15</v>
      </c>
      <c r="K1720" s="2" t="s">
        <v>71</v>
      </c>
      <c r="L1720" s="7">
        <f t="shared" si="78"/>
        <v>2985.84</v>
      </c>
      <c r="M1720" s="2" t="str">
        <f t="shared" si="79"/>
        <v>December</v>
      </c>
      <c r="N1720" s="6">
        <f t="shared" si="80"/>
        <v>2004</v>
      </c>
    </row>
    <row r="1721" spans="1:14">
      <c r="A1721" s="2" t="s">
        <v>103</v>
      </c>
      <c r="B1721" s="3">
        <v>10371</v>
      </c>
      <c r="C1721" s="3">
        <v>45</v>
      </c>
      <c r="D1721" s="13">
        <v>100</v>
      </c>
      <c r="E1721" s="5">
        <v>38375</v>
      </c>
      <c r="F1721" s="2" t="s">
        <v>13</v>
      </c>
      <c r="G1721" s="2" t="s">
        <v>72</v>
      </c>
      <c r="H1721" s="3">
        <v>1</v>
      </c>
      <c r="I1721" s="6">
        <v>2005</v>
      </c>
      <c r="J1721" s="2" t="s">
        <v>22</v>
      </c>
      <c r="K1721" s="2" t="s">
        <v>104</v>
      </c>
      <c r="L1721" s="7">
        <f t="shared" si="78"/>
        <v>4500</v>
      </c>
      <c r="M1721" s="2" t="str">
        <f t="shared" si="79"/>
        <v>January</v>
      </c>
      <c r="N1721" s="6">
        <f t="shared" si="80"/>
        <v>2005</v>
      </c>
    </row>
    <row r="1722" spans="1:14">
      <c r="A1722" s="2" t="s">
        <v>69</v>
      </c>
      <c r="B1722" s="3">
        <v>10383</v>
      </c>
      <c r="C1722" s="3">
        <v>40</v>
      </c>
      <c r="D1722" s="13">
        <v>100</v>
      </c>
      <c r="E1722" s="5">
        <v>38405</v>
      </c>
      <c r="F1722" s="2" t="s">
        <v>13</v>
      </c>
      <c r="G1722" s="2" t="s">
        <v>72</v>
      </c>
      <c r="H1722" s="3">
        <v>1</v>
      </c>
      <c r="I1722" s="6">
        <v>2005</v>
      </c>
      <c r="J1722" s="2" t="s">
        <v>22</v>
      </c>
      <c r="K1722" s="2" t="s">
        <v>71</v>
      </c>
      <c r="L1722" s="7">
        <f t="shared" si="78"/>
        <v>4000</v>
      </c>
      <c r="M1722" s="2" t="str">
        <f t="shared" si="79"/>
        <v>February</v>
      </c>
      <c r="N1722" s="6">
        <f t="shared" si="80"/>
        <v>2005</v>
      </c>
    </row>
    <row r="1723" spans="1:14">
      <c r="A1723" s="2" t="s">
        <v>69</v>
      </c>
      <c r="B1723" s="3">
        <v>10394</v>
      </c>
      <c r="C1723" s="3">
        <v>46</v>
      </c>
      <c r="D1723" s="13">
        <v>38.9</v>
      </c>
      <c r="E1723" s="5">
        <v>38426</v>
      </c>
      <c r="F1723" s="2" t="s">
        <v>13</v>
      </c>
      <c r="G1723" s="2" t="s">
        <v>72</v>
      </c>
      <c r="H1723" s="3">
        <v>1</v>
      </c>
      <c r="I1723" s="6">
        <v>2005</v>
      </c>
      <c r="J1723" s="2" t="s">
        <v>15</v>
      </c>
      <c r="K1723" s="2" t="s">
        <v>71</v>
      </c>
      <c r="L1723" s="7">
        <f t="shared" si="78"/>
        <v>1789.4</v>
      </c>
      <c r="M1723" s="2" t="str">
        <f t="shared" si="79"/>
        <v>March</v>
      </c>
      <c r="N1723" s="6">
        <f t="shared" si="80"/>
        <v>2005</v>
      </c>
    </row>
    <row r="1724" spans="1:14">
      <c r="A1724" s="2" t="s">
        <v>69</v>
      </c>
      <c r="B1724" s="3">
        <v>10412</v>
      </c>
      <c r="C1724" s="3">
        <v>30</v>
      </c>
      <c r="D1724" s="13">
        <v>36.07</v>
      </c>
      <c r="E1724" s="5">
        <v>38475</v>
      </c>
      <c r="F1724" s="2" t="s">
        <v>13</v>
      </c>
      <c r="G1724" s="2" t="s">
        <v>72</v>
      </c>
      <c r="H1724" s="3">
        <v>2</v>
      </c>
      <c r="I1724" s="6">
        <v>2005</v>
      </c>
      <c r="J1724" s="2" t="s">
        <v>15</v>
      </c>
      <c r="K1724" s="2" t="s">
        <v>71</v>
      </c>
      <c r="L1724" s="7">
        <f t="shared" si="78"/>
        <v>1082.1</v>
      </c>
      <c r="M1724" s="2" t="str">
        <f t="shared" si="79"/>
        <v>May</v>
      </c>
      <c r="N1724" s="6">
        <f t="shared" si="80"/>
        <v>2005</v>
      </c>
    </row>
    <row r="1725" spans="1:14">
      <c r="A1725" s="2" t="s">
        <v>50</v>
      </c>
      <c r="B1725" s="3">
        <v>10425</v>
      </c>
      <c r="C1725" s="3">
        <v>31</v>
      </c>
      <c r="D1725" s="13">
        <v>33.24</v>
      </c>
      <c r="E1725" s="5">
        <v>38503</v>
      </c>
      <c r="F1725" s="2" t="s">
        <v>113</v>
      </c>
      <c r="G1725" s="2" t="s">
        <v>72</v>
      </c>
      <c r="H1725" s="3">
        <v>2</v>
      </c>
      <c r="I1725" s="6">
        <v>2005</v>
      </c>
      <c r="J1725" s="2" t="s">
        <v>15</v>
      </c>
      <c r="K1725" s="2" t="s">
        <v>51</v>
      </c>
      <c r="L1725" s="7">
        <f t="shared" si="78"/>
        <v>1030.44</v>
      </c>
      <c r="M1725" s="2" t="str">
        <f t="shared" si="79"/>
        <v>May</v>
      </c>
      <c r="N1725" s="6">
        <f t="shared" si="80"/>
        <v>2005</v>
      </c>
    </row>
    <row r="1726" spans="1:14">
      <c r="A1726" s="2" t="s">
        <v>203</v>
      </c>
      <c r="B1726" s="3">
        <v>10106</v>
      </c>
      <c r="C1726" s="3">
        <v>49</v>
      </c>
      <c r="D1726" s="13">
        <v>74.68</v>
      </c>
      <c r="E1726" s="5">
        <v>37669</v>
      </c>
      <c r="F1726" s="2" t="s">
        <v>13</v>
      </c>
      <c r="G1726" s="2" t="s">
        <v>207</v>
      </c>
      <c r="H1726" s="3">
        <v>1</v>
      </c>
      <c r="I1726" s="6">
        <v>2003</v>
      </c>
      <c r="J1726" s="2" t="s">
        <v>22</v>
      </c>
      <c r="K1726" s="2" t="s">
        <v>204</v>
      </c>
      <c r="L1726" s="7">
        <f t="shared" si="78"/>
        <v>3659.32</v>
      </c>
      <c r="M1726" s="2" t="str">
        <f t="shared" si="79"/>
        <v>February</v>
      </c>
      <c r="N1726" s="6">
        <f t="shared" si="80"/>
        <v>2003</v>
      </c>
    </row>
    <row r="1727" spans="1:14">
      <c r="A1727" s="2" t="s">
        <v>60</v>
      </c>
      <c r="B1727" s="3">
        <v>10119</v>
      </c>
      <c r="C1727" s="3">
        <v>41</v>
      </c>
      <c r="D1727" s="13">
        <v>59.6</v>
      </c>
      <c r="E1727" s="5">
        <v>37739</v>
      </c>
      <c r="F1727" s="2" t="s">
        <v>13</v>
      </c>
      <c r="G1727" s="2" t="s">
        <v>207</v>
      </c>
      <c r="H1727" s="3">
        <v>2</v>
      </c>
      <c r="I1727" s="6">
        <v>2003</v>
      </c>
      <c r="J1727" s="2" t="s">
        <v>15</v>
      </c>
      <c r="K1727" s="2" t="s">
        <v>62</v>
      </c>
      <c r="L1727" s="7">
        <f t="shared" si="78"/>
        <v>2443.6</v>
      </c>
      <c r="M1727" s="2" t="str">
        <f t="shared" si="79"/>
        <v>April</v>
      </c>
      <c r="N1727" s="6">
        <f t="shared" si="80"/>
        <v>2003</v>
      </c>
    </row>
    <row r="1728" spans="1:14">
      <c r="A1728" s="2" t="s">
        <v>208</v>
      </c>
      <c r="B1728" s="3">
        <v>10131</v>
      </c>
      <c r="C1728" s="3">
        <v>35</v>
      </c>
      <c r="D1728" s="13">
        <v>67.14</v>
      </c>
      <c r="E1728" s="5">
        <v>37788</v>
      </c>
      <c r="F1728" s="2" t="s">
        <v>13</v>
      </c>
      <c r="G1728" s="2" t="s">
        <v>207</v>
      </c>
      <c r="H1728" s="3">
        <v>2</v>
      </c>
      <c r="I1728" s="6">
        <v>2003</v>
      </c>
      <c r="J1728" s="2" t="s">
        <v>15</v>
      </c>
      <c r="K1728" s="2" t="s">
        <v>209</v>
      </c>
      <c r="L1728" s="7">
        <f t="shared" si="78"/>
        <v>2349.9</v>
      </c>
      <c r="M1728" s="2" t="str">
        <f t="shared" si="79"/>
        <v>June</v>
      </c>
      <c r="N1728" s="6">
        <f t="shared" si="80"/>
        <v>2003</v>
      </c>
    </row>
    <row r="1729" spans="1:14">
      <c r="A1729" s="2" t="s">
        <v>126</v>
      </c>
      <c r="B1729" s="3">
        <v>10143</v>
      </c>
      <c r="C1729" s="3">
        <v>27</v>
      </c>
      <c r="D1729" s="13">
        <v>60.97</v>
      </c>
      <c r="E1729" s="5">
        <v>37843</v>
      </c>
      <c r="F1729" s="2" t="s">
        <v>13</v>
      </c>
      <c r="G1729" s="2" t="s">
        <v>207</v>
      </c>
      <c r="H1729" s="3">
        <v>3</v>
      </c>
      <c r="I1729" s="6">
        <v>2003</v>
      </c>
      <c r="J1729" s="2" t="s">
        <v>15</v>
      </c>
      <c r="K1729" s="2" t="s">
        <v>127</v>
      </c>
      <c r="L1729" s="7">
        <f t="shared" si="78"/>
        <v>1646.19</v>
      </c>
      <c r="M1729" s="2" t="str">
        <f t="shared" si="79"/>
        <v>August</v>
      </c>
      <c r="N1729" s="6">
        <f t="shared" si="80"/>
        <v>2003</v>
      </c>
    </row>
    <row r="1730" spans="1:14">
      <c r="A1730" s="2" t="s">
        <v>54</v>
      </c>
      <c r="B1730" s="3">
        <v>10155</v>
      </c>
      <c r="C1730" s="3">
        <v>23</v>
      </c>
      <c r="D1730" s="13">
        <v>72.62</v>
      </c>
      <c r="E1730" s="5">
        <v>37900</v>
      </c>
      <c r="F1730" s="2" t="s">
        <v>13</v>
      </c>
      <c r="G1730" s="2" t="s">
        <v>207</v>
      </c>
      <c r="H1730" s="3">
        <v>4</v>
      </c>
      <c r="I1730" s="6">
        <v>2003</v>
      </c>
      <c r="J1730" s="2" t="s">
        <v>15</v>
      </c>
      <c r="K1730" s="2" t="s">
        <v>55</v>
      </c>
      <c r="L1730" s="7">
        <f t="shared" ref="L1730:L1793" si="81">PRODUCT(C1730,D1730)</f>
        <v>1670.26</v>
      </c>
      <c r="M1730" s="2" t="str">
        <f t="shared" ref="M1730:M1793" si="82">TEXT(E1730,"MMMM")</f>
        <v>October</v>
      </c>
      <c r="N1730" s="6">
        <f t="shared" ref="N1730:N1793" si="83">YEAR(E1730)</f>
        <v>2003</v>
      </c>
    </row>
    <row r="1731" spans="1:14">
      <c r="A1731" s="2" t="s">
        <v>99</v>
      </c>
      <c r="B1731" s="3">
        <v>10167</v>
      </c>
      <c r="C1731" s="3">
        <v>21</v>
      </c>
      <c r="D1731" s="13">
        <v>69.88</v>
      </c>
      <c r="E1731" s="5">
        <v>37917</v>
      </c>
      <c r="F1731" s="2" t="s">
        <v>128</v>
      </c>
      <c r="G1731" s="2" t="s">
        <v>207</v>
      </c>
      <c r="H1731" s="3">
        <v>4</v>
      </c>
      <c r="I1731" s="6">
        <v>2003</v>
      </c>
      <c r="J1731" s="2" t="s">
        <v>15</v>
      </c>
      <c r="K1731" s="2" t="s">
        <v>100</v>
      </c>
      <c r="L1731" s="7">
        <f t="shared" si="81"/>
        <v>1467.48</v>
      </c>
      <c r="M1731" s="2" t="str">
        <f t="shared" si="82"/>
        <v>October</v>
      </c>
      <c r="N1731" s="6">
        <f t="shared" si="83"/>
        <v>2003</v>
      </c>
    </row>
    <row r="1732" spans="1:14">
      <c r="A1732" s="2" t="s">
        <v>129</v>
      </c>
      <c r="B1732" s="3">
        <v>10178</v>
      </c>
      <c r="C1732" s="3">
        <v>34</v>
      </c>
      <c r="D1732" s="13">
        <v>80.84</v>
      </c>
      <c r="E1732" s="5">
        <v>37933</v>
      </c>
      <c r="F1732" s="2" t="s">
        <v>13</v>
      </c>
      <c r="G1732" s="2" t="s">
        <v>207</v>
      </c>
      <c r="H1732" s="3">
        <v>4</v>
      </c>
      <c r="I1732" s="6">
        <v>2003</v>
      </c>
      <c r="J1732" s="2" t="s">
        <v>15</v>
      </c>
      <c r="K1732" s="2" t="s">
        <v>130</v>
      </c>
      <c r="L1732" s="7">
        <f t="shared" si="81"/>
        <v>2748.56</v>
      </c>
      <c r="M1732" s="2" t="str">
        <f t="shared" si="82"/>
        <v>November</v>
      </c>
      <c r="N1732" s="6">
        <f t="shared" si="83"/>
        <v>2003</v>
      </c>
    </row>
    <row r="1733" spans="1:14">
      <c r="A1733" s="2" t="s">
        <v>131</v>
      </c>
      <c r="B1733" s="3">
        <v>10186</v>
      </c>
      <c r="C1733" s="3">
        <v>22</v>
      </c>
      <c r="D1733" s="13">
        <v>69.2</v>
      </c>
      <c r="E1733" s="5">
        <v>37939</v>
      </c>
      <c r="F1733" s="2" t="s">
        <v>13</v>
      </c>
      <c r="G1733" s="2" t="s">
        <v>207</v>
      </c>
      <c r="H1733" s="3">
        <v>4</v>
      </c>
      <c r="I1733" s="6">
        <v>2003</v>
      </c>
      <c r="J1733" s="2" t="s">
        <v>15</v>
      </c>
      <c r="K1733" s="2" t="s">
        <v>132</v>
      </c>
      <c r="L1733" s="7">
        <f t="shared" si="81"/>
        <v>1522.4</v>
      </c>
      <c r="M1733" s="2" t="str">
        <f t="shared" si="82"/>
        <v>November</v>
      </c>
      <c r="N1733" s="6">
        <f t="shared" si="83"/>
        <v>2003</v>
      </c>
    </row>
    <row r="1734" spans="1:14">
      <c r="A1734" s="2" t="s">
        <v>161</v>
      </c>
      <c r="B1734" s="3">
        <v>10198</v>
      </c>
      <c r="C1734" s="3">
        <v>48</v>
      </c>
      <c r="D1734" s="13">
        <v>67.82</v>
      </c>
      <c r="E1734" s="5">
        <v>37952</v>
      </c>
      <c r="F1734" s="2" t="s">
        <v>13</v>
      </c>
      <c r="G1734" s="2" t="s">
        <v>207</v>
      </c>
      <c r="H1734" s="3">
        <v>4</v>
      </c>
      <c r="I1734" s="6">
        <v>2003</v>
      </c>
      <c r="J1734" s="2" t="s">
        <v>22</v>
      </c>
      <c r="K1734" s="2" t="s">
        <v>162</v>
      </c>
      <c r="L1734" s="7">
        <f t="shared" si="81"/>
        <v>3255.36</v>
      </c>
      <c r="M1734" s="2" t="str">
        <f t="shared" si="82"/>
        <v>November</v>
      </c>
      <c r="N1734" s="6">
        <f t="shared" si="83"/>
        <v>2003</v>
      </c>
    </row>
    <row r="1735" spans="1:14">
      <c r="A1735" s="2" t="s">
        <v>135</v>
      </c>
      <c r="B1735" s="3">
        <v>10209</v>
      </c>
      <c r="C1735" s="3">
        <v>43</v>
      </c>
      <c r="D1735" s="13">
        <v>82.21</v>
      </c>
      <c r="E1735" s="5">
        <v>37995</v>
      </c>
      <c r="F1735" s="2" t="s">
        <v>13</v>
      </c>
      <c r="G1735" s="2" t="s">
        <v>207</v>
      </c>
      <c r="H1735" s="3">
        <v>1</v>
      </c>
      <c r="I1735" s="6">
        <v>2004</v>
      </c>
      <c r="J1735" s="2" t="s">
        <v>22</v>
      </c>
      <c r="K1735" s="2" t="s">
        <v>136</v>
      </c>
      <c r="L1735" s="7">
        <f t="shared" si="81"/>
        <v>3535.03</v>
      </c>
      <c r="M1735" s="2" t="str">
        <f t="shared" si="82"/>
        <v>January</v>
      </c>
      <c r="N1735" s="6">
        <f t="shared" si="83"/>
        <v>2004</v>
      </c>
    </row>
    <row r="1736" spans="1:14">
      <c r="A1736" s="2" t="s">
        <v>137</v>
      </c>
      <c r="B1736" s="3">
        <v>10222</v>
      </c>
      <c r="C1736" s="3">
        <v>32</v>
      </c>
      <c r="D1736" s="13">
        <v>81.53</v>
      </c>
      <c r="E1736" s="5">
        <v>38036</v>
      </c>
      <c r="F1736" s="2" t="s">
        <v>13</v>
      </c>
      <c r="G1736" s="2" t="s">
        <v>207</v>
      </c>
      <c r="H1736" s="3">
        <v>1</v>
      </c>
      <c r="I1736" s="6">
        <v>2004</v>
      </c>
      <c r="J1736" s="2" t="s">
        <v>15</v>
      </c>
      <c r="K1736" s="2" t="s">
        <v>138</v>
      </c>
      <c r="L1736" s="7">
        <f t="shared" si="81"/>
        <v>2608.96</v>
      </c>
      <c r="M1736" s="2" t="str">
        <f t="shared" si="82"/>
        <v>February</v>
      </c>
      <c r="N1736" s="6">
        <f t="shared" si="83"/>
        <v>2004</v>
      </c>
    </row>
    <row r="1737" spans="1:14">
      <c r="A1737" s="2" t="s">
        <v>91</v>
      </c>
      <c r="B1737" s="3">
        <v>10249</v>
      </c>
      <c r="C1737" s="3">
        <v>20</v>
      </c>
      <c r="D1737" s="13">
        <v>67.82</v>
      </c>
      <c r="E1737" s="5">
        <v>38115</v>
      </c>
      <c r="F1737" s="2" t="s">
        <v>13</v>
      </c>
      <c r="G1737" s="2" t="s">
        <v>207</v>
      </c>
      <c r="H1737" s="3">
        <v>2</v>
      </c>
      <c r="I1737" s="6">
        <v>2004</v>
      </c>
      <c r="J1737" s="2" t="s">
        <v>15</v>
      </c>
      <c r="K1737" s="2" t="s">
        <v>92</v>
      </c>
      <c r="L1737" s="7">
        <f t="shared" si="81"/>
        <v>1356.4</v>
      </c>
      <c r="M1737" s="2" t="str">
        <f t="shared" si="82"/>
        <v>May</v>
      </c>
      <c r="N1737" s="6">
        <f t="shared" si="83"/>
        <v>2004</v>
      </c>
    </row>
    <row r="1738" spans="1:14">
      <c r="A1738" s="2" t="s">
        <v>69</v>
      </c>
      <c r="B1738" s="3">
        <v>10262</v>
      </c>
      <c r="C1738" s="3">
        <v>24</v>
      </c>
      <c r="D1738" s="13">
        <v>67.14</v>
      </c>
      <c r="E1738" s="5">
        <v>38162</v>
      </c>
      <c r="F1738" s="2" t="s">
        <v>128</v>
      </c>
      <c r="G1738" s="2" t="s">
        <v>207</v>
      </c>
      <c r="H1738" s="3">
        <v>2</v>
      </c>
      <c r="I1738" s="6">
        <v>2004</v>
      </c>
      <c r="J1738" s="2" t="s">
        <v>15</v>
      </c>
      <c r="K1738" s="2" t="s">
        <v>71</v>
      </c>
      <c r="L1738" s="7">
        <f t="shared" si="81"/>
        <v>1611.36</v>
      </c>
      <c r="M1738" s="2" t="str">
        <f t="shared" si="82"/>
        <v>June</v>
      </c>
      <c r="N1738" s="6">
        <f t="shared" si="83"/>
        <v>2004</v>
      </c>
    </row>
    <row r="1739" spans="1:14">
      <c r="A1739" s="2" t="s">
        <v>107</v>
      </c>
      <c r="B1739" s="3">
        <v>10274</v>
      </c>
      <c r="C1739" s="3">
        <v>40</v>
      </c>
      <c r="D1739" s="13">
        <v>65.08</v>
      </c>
      <c r="E1739" s="5">
        <v>38189</v>
      </c>
      <c r="F1739" s="2" t="s">
        <v>13</v>
      </c>
      <c r="G1739" s="2" t="s">
        <v>207</v>
      </c>
      <c r="H1739" s="3">
        <v>3</v>
      </c>
      <c r="I1739" s="6">
        <v>2004</v>
      </c>
      <c r="J1739" s="2" t="s">
        <v>15</v>
      </c>
      <c r="K1739" s="2" t="s">
        <v>108</v>
      </c>
      <c r="L1739" s="7">
        <f t="shared" si="81"/>
        <v>2603.2</v>
      </c>
      <c r="M1739" s="2" t="str">
        <f t="shared" si="82"/>
        <v>July</v>
      </c>
      <c r="N1739" s="6">
        <f t="shared" si="83"/>
        <v>2004</v>
      </c>
    </row>
    <row r="1740" spans="1:14">
      <c r="A1740" s="2" t="s">
        <v>200</v>
      </c>
      <c r="B1740" s="3">
        <v>10284</v>
      </c>
      <c r="C1740" s="3">
        <v>30</v>
      </c>
      <c r="D1740" s="13">
        <v>73.99</v>
      </c>
      <c r="E1740" s="5">
        <v>38220</v>
      </c>
      <c r="F1740" s="2" t="s">
        <v>13</v>
      </c>
      <c r="G1740" s="2" t="s">
        <v>207</v>
      </c>
      <c r="H1740" s="3">
        <v>3</v>
      </c>
      <c r="I1740" s="6">
        <v>2004</v>
      </c>
      <c r="J1740" s="2" t="s">
        <v>15</v>
      </c>
      <c r="K1740" s="2" t="s">
        <v>201</v>
      </c>
      <c r="L1740" s="7">
        <f t="shared" si="81"/>
        <v>2219.7</v>
      </c>
      <c r="M1740" s="2" t="str">
        <f t="shared" si="82"/>
        <v>August</v>
      </c>
      <c r="N1740" s="6">
        <f t="shared" si="83"/>
        <v>2004</v>
      </c>
    </row>
    <row r="1741" spans="1:14">
      <c r="A1741" s="2" t="s">
        <v>210</v>
      </c>
      <c r="B1741" s="3">
        <v>10296</v>
      </c>
      <c r="C1741" s="3">
        <v>21</v>
      </c>
      <c r="D1741" s="13">
        <v>71.25</v>
      </c>
      <c r="E1741" s="5">
        <v>38245</v>
      </c>
      <c r="F1741" s="2" t="s">
        <v>13</v>
      </c>
      <c r="G1741" s="2" t="s">
        <v>207</v>
      </c>
      <c r="H1741" s="3">
        <v>3</v>
      </c>
      <c r="I1741" s="6">
        <v>2004</v>
      </c>
      <c r="J1741" s="2" t="s">
        <v>15</v>
      </c>
      <c r="K1741" s="2" t="s">
        <v>211</v>
      </c>
      <c r="L1741" s="7">
        <f t="shared" si="81"/>
        <v>1496.25</v>
      </c>
      <c r="M1741" s="2" t="str">
        <f t="shared" si="82"/>
        <v>September</v>
      </c>
      <c r="N1741" s="6">
        <f t="shared" si="83"/>
        <v>2004</v>
      </c>
    </row>
    <row r="1742" spans="1:14">
      <c r="A1742" s="2" t="s">
        <v>83</v>
      </c>
      <c r="B1742" s="3">
        <v>10307</v>
      </c>
      <c r="C1742" s="3">
        <v>25</v>
      </c>
      <c r="D1742" s="13">
        <v>75.36</v>
      </c>
      <c r="E1742" s="5">
        <v>38274</v>
      </c>
      <c r="F1742" s="2" t="s">
        <v>13</v>
      </c>
      <c r="G1742" s="2" t="s">
        <v>207</v>
      </c>
      <c r="H1742" s="3">
        <v>4</v>
      </c>
      <c r="I1742" s="6">
        <v>2004</v>
      </c>
      <c r="J1742" s="2" t="s">
        <v>15</v>
      </c>
      <c r="K1742" s="2" t="s">
        <v>84</v>
      </c>
      <c r="L1742" s="7">
        <f t="shared" si="81"/>
        <v>1884</v>
      </c>
      <c r="M1742" s="2" t="str">
        <f t="shared" si="82"/>
        <v>October</v>
      </c>
      <c r="N1742" s="6">
        <f t="shared" si="83"/>
        <v>2004</v>
      </c>
    </row>
    <row r="1743" spans="1:14">
      <c r="A1743" s="2" t="s">
        <v>145</v>
      </c>
      <c r="B1743" s="3">
        <v>10316</v>
      </c>
      <c r="C1743" s="3">
        <v>34</v>
      </c>
      <c r="D1743" s="13">
        <v>63.71</v>
      </c>
      <c r="E1743" s="5">
        <v>38292</v>
      </c>
      <c r="F1743" s="2" t="s">
        <v>13</v>
      </c>
      <c r="G1743" s="2" t="s">
        <v>207</v>
      </c>
      <c r="H1743" s="3">
        <v>4</v>
      </c>
      <c r="I1743" s="6">
        <v>2004</v>
      </c>
      <c r="J1743" s="2" t="s">
        <v>15</v>
      </c>
      <c r="K1743" s="2" t="s">
        <v>146</v>
      </c>
      <c r="L1743" s="7">
        <f t="shared" si="81"/>
        <v>2166.14</v>
      </c>
      <c r="M1743" s="2" t="str">
        <f t="shared" si="82"/>
        <v>November</v>
      </c>
      <c r="N1743" s="6">
        <f t="shared" si="83"/>
        <v>2004</v>
      </c>
    </row>
    <row r="1744" spans="1:14">
      <c r="A1744" s="2" t="s">
        <v>203</v>
      </c>
      <c r="B1744" s="3">
        <v>10328</v>
      </c>
      <c r="C1744" s="3">
        <v>48</v>
      </c>
      <c r="D1744" s="13">
        <v>58.92</v>
      </c>
      <c r="E1744" s="5">
        <v>38303</v>
      </c>
      <c r="F1744" s="2" t="s">
        <v>13</v>
      </c>
      <c r="G1744" s="2" t="s">
        <v>207</v>
      </c>
      <c r="H1744" s="3">
        <v>4</v>
      </c>
      <c r="I1744" s="6">
        <v>2004</v>
      </c>
      <c r="J1744" s="2" t="s">
        <v>15</v>
      </c>
      <c r="K1744" s="2" t="s">
        <v>204</v>
      </c>
      <c r="L1744" s="7">
        <f t="shared" si="81"/>
        <v>2828.16</v>
      </c>
      <c r="M1744" s="2" t="str">
        <f t="shared" si="82"/>
        <v>November</v>
      </c>
      <c r="N1744" s="6">
        <f t="shared" si="83"/>
        <v>2004</v>
      </c>
    </row>
    <row r="1745" spans="1:14">
      <c r="A1745" s="2" t="s">
        <v>95</v>
      </c>
      <c r="B1745" s="3">
        <v>10339</v>
      </c>
      <c r="C1745" s="3">
        <v>55</v>
      </c>
      <c r="D1745" s="13">
        <v>100</v>
      </c>
      <c r="E1745" s="5">
        <v>38314</v>
      </c>
      <c r="F1745" s="2" t="s">
        <v>13</v>
      </c>
      <c r="G1745" s="2" t="s">
        <v>207</v>
      </c>
      <c r="H1745" s="3">
        <v>4</v>
      </c>
      <c r="I1745" s="6">
        <v>2004</v>
      </c>
      <c r="J1745" s="2" t="s">
        <v>22</v>
      </c>
      <c r="K1745" s="2" t="s">
        <v>96</v>
      </c>
      <c r="L1745" s="7">
        <f t="shared" si="81"/>
        <v>5500</v>
      </c>
      <c r="M1745" s="2" t="str">
        <f t="shared" si="82"/>
        <v>November</v>
      </c>
      <c r="N1745" s="6">
        <f t="shared" si="83"/>
        <v>2004</v>
      </c>
    </row>
    <row r="1746" spans="1:14">
      <c r="A1746" s="2" t="s">
        <v>124</v>
      </c>
      <c r="B1746" s="3">
        <v>10351</v>
      </c>
      <c r="C1746" s="3">
        <v>25</v>
      </c>
      <c r="D1746" s="13">
        <v>74.68</v>
      </c>
      <c r="E1746" s="5">
        <v>38324</v>
      </c>
      <c r="F1746" s="2" t="s">
        <v>13</v>
      </c>
      <c r="G1746" s="2" t="s">
        <v>207</v>
      </c>
      <c r="H1746" s="3">
        <v>4</v>
      </c>
      <c r="I1746" s="6">
        <v>2004</v>
      </c>
      <c r="J1746" s="2" t="s">
        <v>15</v>
      </c>
      <c r="K1746" s="2" t="s">
        <v>125</v>
      </c>
      <c r="L1746" s="7">
        <f t="shared" si="81"/>
        <v>1867</v>
      </c>
      <c r="M1746" s="2" t="str">
        <f t="shared" si="82"/>
        <v>December</v>
      </c>
      <c r="N1746" s="6">
        <f t="shared" si="83"/>
        <v>2004</v>
      </c>
    </row>
    <row r="1747" spans="1:14">
      <c r="A1747" s="2" t="s">
        <v>147</v>
      </c>
      <c r="B1747" s="3">
        <v>10373</v>
      </c>
      <c r="C1747" s="3">
        <v>38</v>
      </c>
      <c r="D1747" s="13">
        <v>70.44</v>
      </c>
      <c r="E1747" s="5">
        <v>38383</v>
      </c>
      <c r="F1747" s="2" t="s">
        <v>13</v>
      </c>
      <c r="G1747" s="2" t="s">
        <v>207</v>
      </c>
      <c r="H1747" s="3">
        <v>1</v>
      </c>
      <c r="I1747" s="6">
        <v>2005</v>
      </c>
      <c r="J1747" s="2" t="s">
        <v>15</v>
      </c>
      <c r="K1747" s="2" t="s">
        <v>148</v>
      </c>
      <c r="L1747" s="7">
        <f t="shared" si="81"/>
        <v>2676.72</v>
      </c>
      <c r="M1747" s="2" t="str">
        <f t="shared" si="82"/>
        <v>January</v>
      </c>
      <c r="N1747" s="6">
        <f t="shared" si="83"/>
        <v>2005</v>
      </c>
    </row>
    <row r="1748" spans="1:14">
      <c r="A1748" s="2" t="s">
        <v>69</v>
      </c>
      <c r="B1748" s="3">
        <v>10386</v>
      </c>
      <c r="C1748" s="3">
        <v>39</v>
      </c>
      <c r="D1748" s="13">
        <v>55.96</v>
      </c>
      <c r="E1748" s="5">
        <v>38412</v>
      </c>
      <c r="F1748" s="2" t="s">
        <v>155</v>
      </c>
      <c r="G1748" s="2" t="s">
        <v>207</v>
      </c>
      <c r="H1748" s="3">
        <v>1</v>
      </c>
      <c r="I1748" s="6">
        <v>2005</v>
      </c>
      <c r="J1748" s="2" t="s">
        <v>15</v>
      </c>
      <c r="K1748" s="2" t="s">
        <v>71</v>
      </c>
      <c r="L1748" s="7">
        <f t="shared" si="81"/>
        <v>2182.44</v>
      </c>
      <c r="M1748" s="2" t="str">
        <f t="shared" si="82"/>
        <v>March</v>
      </c>
      <c r="N1748" s="6">
        <f t="shared" si="83"/>
        <v>2005</v>
      </c>
    </row>
    <row r="1749" spans="1:14">
      <c r="A1749" s="2" t="s">
        <v>18</v>
      </c>
      <c r="B1749" s="3">
        <v>10398</v>
      </c>
      <c r="C1749" s="3">
        <v>28</v>
      </c>
      <c r="D1749" s="13">
        <v>57.55</v>
      </c>
      <c r="E1749" s="5">
        <v>38441</v>
      </c>
      <c r="F1749" s="2" t="s">
        <v>13</v>
      </c>
      <c r="G1749" s="2" t="s">
        <v>207</v>
      </c>
      <c r="H1749" s="3">
        <v>1</v>
      </c>
      <c r="I1749" s="6">
        <v>2005</v>
      </c>
      <c r="J1749" s="2" t="s">
        <v>15</v>
      </c>
      <c r="K1749" s="2" t="s">
        <v>19</v>
      </c>
      <c r="L1749" s="7">
        <f t="shared" si="81"/>
        <v>1611.4</v>
      </c>
      <c r="M1749" s="2" t="str">
        <f t="shared" si="82"/>
        <v>March</v>
      </c>
      <c r="N1749" s="6">
        <f t="shared" si="83"/>
        <v>2005</v>
      </c>
    </row>
    <row r="1750" spans="1:14">
      <c r="A1750" s="2" t="s">
        <v>149</v>
      </c>
      <c r="B1750" s="3">
        <v>10400</v>
      </c>
      <c r="C1750" s="3">
        <v>24</v>
      </c>
      <c r="D1750" s="13">
        <v>61.66</v>
      </c>
      <c r="E1750" s="5">
        <v>38443</v>
      </c>
      <c r="F1750" s="2" t="s">
        <v>13</v>
      </c>
      <c r="G1750" s="2" t="s">
        <v>207</v>
      </c>
      <c r="H1750" s="3">
        <v>2</v>
      </c>
      <c r="I1750" s="6">
        <v>2005</v>
      </c>
      <c r="J1750" s="2" t="s">
        <v>15</v>
      </c>
      <c r="K1750" s="2" t="s">
        <v>150</v>
      </c>
      <c r="L1750" s="7">
        <f t="shared" si="81"/>
        <v>1479.84</v>
      </c>
      <c r="M1750" s="2" t="str">
        <f t="shared" si="82"/>
        <v>April</v>
      </c>
      <c r="N1750" s="6">
        <f t="shared" si="83"/>
        <v>2005</v>
      </c>
    </row>
    <row r="1751" spans="1:14">
      <c r="A1751" s="2" t="s">
        <v>205</v>
      </c>
      <c r="B1751" s="3">
        <v>10415</v>
      </c>
      <c r="C1751" s="3">
        <v>21</v>
      </c>
      <c r="D1751" s="13">
        <v>67.82</v>
      </c>
      <c r="E1751" s="5">
        <v>38481</v>
      </c>
      <c r="F1751" s="2" t="s">
        <v>70</v>
      </c>
      <c r="G1751" s="2" t="s">
        <v>207</v>
      </c>
      <c r="H1751" s="3">
        <v>2</v>
      </c>
      <c r="I1751" s="6">
        <v>2005</v>
      </c>
      <c r="J1751" s="2" t="s">
        <v>15</v>
      </c>
      <c r="K1751" s="2" t="s">
        <v>206</v>
      </c>
      <c r="L1751" s="7">
        <f t="shared" si="81"/>
        <v>1424.22</v>
      </c>
      <c r="M1751" s="2" t="str">
        <f t="shared" si="82"/>
        <v>May</v>
      </c>
      <c r="N1751" s="6">
        <f t="shared" si="83"/>
        <v>2005</v>
      </c>
    </row>
    <row r="1752" spans="1:14">
      <c r="A1752" s="2" t="s">
        <v>183</v>
      </c>
      <c r="B1752" s="3">
        <v>10110</v>
      </c>
      <c r="C1752" s="3">
        <v>46</v>
      </c>
      <c r="D1752" s="13">
        <v>100</v>
      </c>
      <c r="E1752" s="5">
        <v>37698</v>
      </c>
      <c r="F1752" s="2" t="s">
        <v>13</v>
      </c>
      <c r="G1752" s="2" t="s">
        <v>72</v>
      </c>
      <c r="H1752" s="3">
        <v>1</v>
      </c>
      <c r="I1752" s="6">
        <v>2003</v>
      </c>
      <c r="J1752" s="2" t="s">
        <v>22</v>
      </c>
      <c r="K1752" s="2" t="s">
        <v>184</v>
      </c>
      <c r="L1752" s="7">
        <f t="shared" si="81"/>
        <v>4600</v>
      </c>
      <c r="M1752" s="2" t="str">
        <f t="shared" si="82"/>
        <v>March</v>
      </c>
      <c r="N1752" s="6">
        <f t="shared" si="83"/>
        <v>2003</v>
      </c>
    </row>
    <row r="1753" spans="1:14">
      <c r="A1753" s="2" t="s">
        <v>198</v>
      </c>
      <c r="B1753" s="3">
        <v>10124</v>
      </c>
      <c r="C1753" s="3">
        <v>25</v>
      </c>
      <c r="D1753" s="13">
        <v>93.95</v>
      </c>
      <c r="E1753" s="5">
        <v>37762</v>
      </c>
      <c r="F1753" s="2" t="s">
        <v>13</v>
      </c>
      <c r="G1753" s="2" t="s">
        <v>72</v>
      </c>
      <c r="H1753" s="3">
        <v>2</v>
      </c>
      <c r="I1753" s="6">
        <v>2003</v>
      </c>
      <c r="J1753" s="2" t="s">
        <v>15</v>
      </c>
      <c r="K1753" s="2" t="s">
        <v>199</v>
      </c>
      <c r="L1753" s="7">
        <f t="shared" si="81"/>
        <v>2348.75</v>
      </c>
      <c r="M1753" s="2" t="str">
        <f t="shared" si="82"/>
        <v>May</v>
      </c>
      <c r="N1753" s="6">
        <f t="shared" si="83"/>
        <v>2003</v>
      </c>
    </row>
    <row r="1754" spans="1:14">
      <c r="A1754" s="2" t="s">
        <v>109</v>
      </c>
      <c r="B1754" s="3">
        <v>10148</v>
      </c>
      <c r="C1754" s="3">
        <v>34</v>
      </c>
      <c r="D1754" s="13">
        <v>100</v>
      </c>
      <c r="E1754" s="5">
        <v>37875</v>
      </c>
      <c r="F1754" s="2" t="s">
        <v>13</v>
      </c>
      <c r="G1754" s="2" t="s">
        <v>72</v>
      </c>
      <c r="H1754" s="3">
        <v>3</v>
      </c>
      <c r="I1754" s="6">
        <v>2003</v>
      </c>
      <c r="J1754" s="2" t="s">
        <v>22</v>
      </c>
      <c r="K1754" s="2" t="s">
        <v>110</v>
      </c>
      <c r="L1754" s="7">
        <f t="shared" si="81"/>
        <v>3400</v>
      </c>
      <c r="M1754" s="2" t="str">
        <f t="shared" si="82"/>
        <v>September</v>
      </c>
      <c r="N1754" s="6">
        <f t="shared" si="83"/>
        <v>2003</v>
      </c>
    </row>
    <row r="1755" spans="1:14">
      <c r="A1755" s="2" t="s">
        <v>185</v>
      </c>
      <c r="B1755" s="3">
        <v>10161</v>
      </c>
      <c r="C1755" s="3">
        <v>25</v>
      </c>
      <c r="D1755" s="13">
        <v>100</v>
      </c>
      <c r="E1755" s="5">
        <v>37911</v>
      </c>
      <c r="F1755" s="2" t="s">
        <v>13</v>
      </c>
      <c r="G1755" s="2" t="s">
        <v>72</v>
      </c>
      <c r="H1755" s="3">
        <v>4</v>
      </c>
      <c r="I1755" s="6">
        <v>2003</v>
      </c>
      <c r="J1755" s="2" t="s">
        <v>15</v>
      </c>
      <c r="K1755" s="2" t="s">
        <v>186</v>
      </c>
      <c r="L1755" s="7">
        <f t="shared" si="81"/>
        <v>2500</v>
      </c>
      <c r="M1755" s="2" t="str">
        <f t="shared" si="82"/>
        <v>October</v>
      </c>
      <c r="N1755" s="6">
        <f t="shared" si="83"/>
        <v>2003</v>
      </c>
    </row>
    <row r="1756" spans="1:14">
      <c r="A1756" s="2" t="s">
        <v>203</v>
      </c>
      <c r="B1756" s="3">
        <v>10173</v>
      </c>
      <c r="C1756" s="3">
        <v>23</v>
      </c>
      <c r="D1756" s="13">
        <v>100</v>
      </c>
      <c r="E1756" s="5">
        <v>37930</v>
      </c>
      <c r="F1756" s="2" t="s">
        <v>13</v>
      </c>
      <c r="G1756" s="2" t="s">
        <v>72</v>
      </c>
      <c r="H1756" s="3">
        <v>4</v>
      </c>
      <c r="I1756" s="6">
        <v>2003</v>
      </c>
      <c r="J1756" s="2" t="s">
        <v>15</v>
      </c>
      <c r="K1756" s="2" t="s">
        <v>204</v>
      </c>
      <c r="L1756" s="7">
        <f t="shared" si="81"/>
        <v>2300</v>
      </c>
      <c r="M1756" s="2" t="str">
        <f t="shared" si="82"/>
        <v>November</v>
      </c>
      <c r="N1756" s="6">
        <f t="shared" si="83"/>
        <v>2003</v>
      </c>
    </row>
    <row r="1757" spans="1:14">
      <c r="A1757" s="2" t="s">
        <v>103</v>
      </c>
      <c r="B1757" s="3">
        <v>10182</v>
      </c>
      <c r="C1757" s="3">
        <v>20</v>
      </c>
      <c r="D1757" s="13">
        <v>100</v>
      </c>
      <c r="E1757" s="5">
        <v>37937</v>
      </c>
      <c r="F1757" s="2" t="s">
        <v>13</v>
      </c>
      <c r="G1757" s="2" t="s">
        <v>72</v>
      </c>
      <c r="H1757" s="3">
        <v>4</v>
      </c>
      <c r="I1757" s="6">
        <v>2003</v>
      </c>
      <c r="J1757" s="2" t="s">
        <v>15</v>
      </c>
      <c r="K1757" s="2" t="s">
        <v>104</v>
      </c>
      <c r="L1757" s="7">
        <f t="shared" si="81"/>
        <v>2000</v>
      </c>
      <c r="M1757" s="2" t="str">
        <f t="shared" si="82"/>
        <v>November</v>
      </c>
      <c r="N1757" s="6">
        <f t="shared" si="83"/>
        <v>2003</v>
      </c>
    </row>
    <row r="1758" spans="1:14">
      <c r="A1758" s="2" t="s">
        <v>105</v>
      </c>
      <c r="B1758" s="3">
        <v>10192</v>
      </c>
      <c r="C1758" s="3">
        <v>23</v>
      </c>
      <c r="D1758" s="13">
        <v>100</v>
      </c>
      <c r="E1758" s="5">
        <v>37945</v>
      </c>
      <c r="F1758" s="2" t="s">
        <v>13</v>
      </c>
      <c r="G1758" s="2" t="s">
        <v>72</v>
      </c>
      <c r="H1758" s="3">
        <v>4</v>
      </c>
      <c r="I1758" s="6">
        <v>2003</v>
      </c>
      <c r="J1758" s="2" t="s">
        <v>22</v>
      </c>
      <c r="K1758" s="2" t="s">
        <v>106</v>
      </c>
      <c r="L1758" s="7">
        <f t="shared" si="81"/>
        <v>2300</v>
      </c>
      <c r="M1758" s="2" t="str">
        <f t="shared" si="82"/>
        <v>November</v>
      </c>
      <c r="N1758" s="6">
        <f t="shared" si="83"/>
        <v>2003</v>
      </c>
    </row>
    <row r="1759" spans="1:14">
      <c r="A1759" s="2" t="s">
        <v>131</v>
      </c>
      <c r="B1759" s="3">
        <v>10213</v>
      </c>
      <c r="C1759" s="3">
        <v>27</v>
      </c>
      <c r="D1759" s="13">
        <v>100</v>
      </c>
      <c r="E1759" s="5">
        <v>38008</v>
      </c>
      <c r="F1759" s="2" t="s">
        <v>13</v>
      </c>
      <c r="G1759" s="2" t="s">
        <v>72</v>
      </c>
      <c r="H1759" s="3">
        <v>1</v>
      </c>
      <c r="I1759" s="6">
        <v>2004</v>
      </c>
      <c r="J1759" s="2" t="s">
        <v>15</v>
      </c>
      <c r="K1759" s="2" t="s">
        <v>132</v>
      </c>
      <c r="L1759" s="7">
        <f t="shared" si="81"/>
        <v>2700</v>
      </c>
      <c r="M1759" s="2" t="str">
        <f t="shared" si="82"/>
        <v>January</v>
      </c>
      <c r="N1759" s="6">
        <f t="shared" si="83"/>
        <v>2004</v>
      </c>
    </row>
    <row r="1760" spans="1:14">
      <c r="A1760" s="2" t="s">
        <v>85</v>
      </c>
      <c r="B1760" s="3">
        <v>10227</v>
      </c>
      <c r="C1760" s="3">
        <v>33</v>
      </c>
      <c r="D1760" s="13">
        <v>100</v>
      </c>
      <c r="E1760" s="5">
        <v>38048</v>
      </c>
      <c r="F1760" s="2" t="s">
        <v>13</v>
      </c>
      <c r="G1760" s="2" t="s">
        <v>72</v>
      </c>
      <c r="H1760" s="3">
        <v>1</v>
      </c>
      <c r="I1760" s="6">
        <v>2004</v>
      </c>
      <c r="J1760" s="2" t="s">
        <v>22</v>
      </c>
      <c r="K1760" s="2" t="s">
        <v>86</v>
      </c>
      <c r="L1760" s="7">
        <f t="shared" si="81"/>
        <v>3300</v>
      </c>
      <c r="M1760" s="2" t="str">
        <f t="shared" si="82"/>
        <v>March</v>
      </c>
      <c r="N1760" s="6">
        <f t="shared" si="83"/>
        <v>2004</v>
      </c>
    </row>
    <row r="1761" spans="1:14">
      <c r="A1761" s="2" t="s">
        <v>196</v>
      </c>
      <c r="B1761" s="3">
        <v>10241</v>
      </c>
      <c r="C1761" s="3">
        <v>28</v>
      </c>
      <c r="D1761" s="13">
        <v>98.65</v>
      </c>
      <c r="E1761" s="5">
        <v>38090</v>
      </c>
      <c r="F1761" s="2" t="s">
        <v>13</v>
      </c>
      <c r="G1761" s="2" t="s">
        <v>72</v>
      </c>
      <c r="H1761" s="3">
        <v>2</v>
      </c>
      <c r="I1761" s="6">
        <v>2004</v>
      </c>
      <c r="J1761" s="2" t="s">
        <v>15</v>
      </c>
      <c r="K1761" s="2" t="s">
        <v>197</v>
      </c>
      <c r="L1761" s="7">
        <f t="shared" si="81"/>
        <v>2762.2</v>
      </c>
      <c r="M1761" s="2" t="str">
        <f t="shared" si="82"/>
        <v>April</v>
      </c>
      <c r="N1761" s="6">
        <f t="shared" si="83"/>
        <v>2004</v>
      </c>
    </row>
    <row r="1762" spans="1:14">
      <c r="A1762" s="2" t="s">
        <v>177</v>
      </c>
      <c r="B1762" s="3">
        <v>10267</v>
      </c>
      <c r="C1762" s="3">
        <v>43</v>
      </c>
      <c r="D1762" s="13">
        <v>100</v>
      </c>
      <c r="E1762" s="5">
        <v>38175</v>
      </c>
      <c r="F1762" s="2" t="s">
        <v>13</v>
      </c>
      <c r="G1762" s="2" t="s">
        <v>72</v>
      </c>
      <c r="H1762" s="3">
        <v>3</v>
      </c>
      <c r="I1762" s="6">
        <v>2004</v>
      </c>
      <c r="J1762" s="2" t="s">
        <v>22</v>
      </c>
      <c r="K1762" s="2" t="s">
        <v>178</v>
      </c>
      <c r="L1762" s="7">
        <f t="shared" si="81"/>
        <v>4300</v>
      </c>
      <c r="M1762" s="2" t="str">
        <f t="shared" si="82"/>
        <v>July</v>
      </c>
      <c r="N1762" s="6">
        <f t="shared" si="83"/>
        <v>2004</v>
      </c>
    </row>
    <row r="1763" spans="1:14">
      <c r="A1763" s="2" t="s">
        <v>69</v>
      </c>
      <c r="B1763" s="3">
        <v>10279</v>
      </c>
      <c r="C1763" s="3">
        <v>48</v>
      </c>
      <c r="D1763" s="13">
        <v>100</v>
      </c>
      <c r="E1763" s="5">
        <v>38208</v>
      </c>
      <c r="F1763" s="2" t="s">
        <v>13</v>
      </c>
      <c r="G1763" s="2" t="s">
        <v>72</v>
      </c>
      <c r="H1763" s="3">
        <v>3</v>
      </c>
      <c r="I1763" s="6">
        <v>2004</v>
      </c>
      <c r="J1763" s="2" t="s">
        <v>22</v>
      </c>
      <c r="K1763" s="2" t="s">
        <v>71</v>
      </c>
      <c r="L1763" s="7">
        <f t="shared" si="81"/>
        <v>4800</v>
      </c>
      <c r="M1763" s="2" t="str">
        <f t="shared" si="82"/>
        <v>August</v>
      </c>
      <c r="N1763" s="6">
        <f t="shared" si="83"/>
        <v>2004</v>
      </c>
    </row>
    <row r="1764" spans="1:14">
      <c r="A1764" s="2" t="s">
        <v>159</v>
      </c>
      <c r="B1764" s="3">
        <v>10288</v>
      </c>
      <c r="C1764" s="3">
        <v>48</v>
      </c>
      <c r="D1764" s="13">
        <v>100</v>
      </c>
      <c r="E1764" s="5">
        <v>38231</v>
      </c>
      <c r="F1764" s="2" t="s">
        <v>13</v>
      </c>
      <c r="G1764" s="2" t="s">
        <v>72</v>
      </c>
      <c r="H1764" s="3">
        <v>3</v>
      </c>
      <c r="I1764" s="6">
        <v>2004</v>
      </c>
      <c r="J1764" s="2" t="s">
        <v>22</v>
      </c>
      <c r="K1764" s="2" t="s">
        <v>160</v>
      </c>
      <c r="L1764" s="7">
        <f t="shared" si="81"/>
        <v>4800</v>
      </c>
      <c r="M1764" s="2" t="str">
        <f t="shared" si="82"/>
        <v>September</v>
      </c>
      <c r="N1764" s="6">
        <f t="shared" si="83"/>
        <v>2004</v>
      </c>
    </row>
    <row r="1765" spans="1:14">
      <c r="A1765" s="2" t="s">
        <v>67</v>
      </c>
      <c r="B1765" s="3">
        <v>10302</v>
      </c>
      <c r="C1765" s="3">
        <v>45</v>
      </c>
      <c r="D1765" s="13">
        <v>100</v>
      </c>
      <c r="E1765" s="5">
        <v>37900</v>
      </c>
      <c r="F1765" s="2" t="s">
        <v>13</v>
      </c>
      <c r="G1765" s="2" t="s">
        <v>72</v>
      </c>
      <c r="H1765" s="3">
        <v>4</v>
      </c>
      <c r="I1765" s="6">
        <v>2003</v>
      </c>
      <c r="J1765" s="2" t="s">
        <v>22</v>
      </c>
      <c r="K1765" s="2" t="s">
        <v>68</v>
      </c>
      <c r="L1765" s="7">
        <f t="shared" si="81"/>
        <v>4500</v>
      </c>
      <c r="M1765" s="2" t="str">
        <f t="shared" si="82"/>
        <v>October</v>
      </c>
      <c r="N1765" s="6">
        <f t="shared" si="83"/>
        <v>2003</v>
      </c>
    </row>
    <row r="1766" spans="1:14">
      <c r="A1766" s="2" t="s">
        <v>183</v>
      </c>
      <c r="B1766" s="3">
        <v>10332</v>
      </c>
      <c r="C1766" s="3">
        <v>44</v>
      </c>
      <c r="D1766" s="13">
        <v>42.26</v>
      </c>
      <c r="E1766" s="5">
        <v>38308</v>
      </c>
      <c r="F1766" s="2" t="s">
        <v>13</v>
      </c>
      <c r="G1766" s="2" t="s">
        <v>72</v>
      </c>
      <c r="H1766" s="3">
        <v>4</v>
      </c>
      <c r="I1766" s="6">
        <v>2004</v>
      </c>
      <c r="J1766" s="2" t="s">
        <v>15</v>
      </c>
      <c r="K1766" s="2" t="s">
        <v>184</v>
      </c>
      <c r="L1766" s="7">
        <f t="shared" si="81"/>
        <v>1859.44</v>
      </c>
      <c r="M1766" s="2" t="str">
        <f t="shared" si="82"/>
        <v>November</v>
      </c>
      <c r="N1766" s="6">
        <f t="shared" si="83"/>
        <v>2004</v>
      </c>
    </row>
    <row r="1767" spans="1:14">
      <c r="A1767" s="2" t="s">
        <v>198</v>
      </c>
      <c r="B1767" s="3">
        <v>10346</v>
      </c>
      <c r="C1767" s="3">
        <v>24</v>
      </c>
      <c r="D1767" s="13">
        <v>87.24</v>
      </c>
      <c r="E1767" s="5">
        <v>38320</v>
      </c>
      <c r="F1767" s="2" t="s">
        <v>13</v>
      </c>
      <c r="G1767" s="2" t="s">
        <v>72</v>
      </c>
      <c r="H1767" s="3">
        <v>4</v>
      </c>
      <c r="I1767" s="6">
        <v>2004</v>
      </c>
      <c r="J1767" s="2" t="s">
        <v>15</v>
      </c>
      <c r="K1767" s="2" t="s">
        <v>199</v>
      </c>
      <c r="L1767" s="7">
        <f t="shared" si="81"/>
        <v>2093.76</v>
      </c>
      <c r="M1767" s="2" t="str">
        <f t="shared" si="82"/>
        <v>November</v>
      </c>
      <c r="N1767" s="6">
        <f t="shared" si="83"/>
        <v>2004</v>
      </c>
    </row>
    <row r="1768" spans="1:14">
      <c r="A1768" s="2" t="s">
        <v>103</v>
      </c>
      <c r="B1768" s="3">
        <v>10368</v>
      </c>
      <c r="C1768" s="3">
        <v>31</v>
      </c>
      <c r="D1768" s="13">
        <v>100</v>
      </c>
      <c r="E1768" s="5">
        <v>38371</v>
      </c>
      <c r="F1768" s="2" t="s">
        <v>13</v>
      </c>
      <c r="G1768" s="2" t="s">
        <v>72</v>
      </c>
      <c r="H1768" s="3">
        <v>1</v>
      </c>
      <c r="I1768" s="6">
        <v>2005</v>
      </c>
      <c r="J1768" s="2" t="s">
        <v>22</v>
      </c>
      <c r="K1768" s="2" t="s">
        <v>104</v>
      </c>
      <c r="L1768" s="7">
        <f t="shared" si="81"/>
        <v>3100</v>
      </c>
      <c r="M1768" s="2" t="str">
        <f t="shared" si="82"/>
        <v>January</v>
      </c>
      <c r="N1768" s="6">
        <f t="shared" si="83"/>
        <v>2005</v>
      </c>
    </row>
    <row r="1769" spans="1:14">
      <c r="A1769" s="2" t="s">
        <v>69</v>
      </c>
      <c r="B1769" s="3">
        <v>10380</v>
      </c>
      <c r="C1769" s="3">
        <v>44</v>
      </c>
      <c r="D1769" s="13">
        <v>36.29</v>
      </c>
      <c r="E1769" s="5">
        <v>38399</v>
      </c>
      <c r="F1769" s="2" t="s">
        <v>13</v>
      </c>
      <c r="G1769" s="2" t="s">
        <v>72</v>
      </c>
      <c r="H1769" s="3">
        <v>1</v>
      </c>
      <c r="I1769" s="6">
        <v>2005</v>
      </c>
      <c r="J1769" s="2" t="s">
        <v>15</v>
      </c>
      <c r="K1769" s="2" t="s">
        <v>71</v>
      </c>
      <c r="L1769" s="7">
        <f t="shared" si="81"/>
        <v>1596.76</v>
      </c>
      <c r="M1769" s="2" t="str">
        <f t="shared" si="82"/>
        <v>February</v>
      </c>
      <c r="N1769" s="6">
        <f t="shared" si="83"/>
        <v>2005</v>
      </c>
    </row>
    <row r="1770" spans="1:14">
      <c r="A1770" s="2" t="s">
        <v>149</v>
      </c>
      <c r="B1770" s="3">
        <v>10407</v>
      </c>
      <c r="C1770" s="3">
        <v>59</v>
      </c>
      <c r="D1770" s="13">
        <v>98.65</v>
      </c>
      <c r="E1770" s="5">
        <v>38464</v>
      </c>
      <c r="F1770" s="2" t="s">
        <v>151</v>
      </c>
      <c r="G1770" s="2" t="s">
        <v>72</v>
      </c>
      <c r="H1770" s="3">
        <v>2</v>
      </c>
      <c r="I1770" s="6">
        <v>2005</v>
      </c>
      <c r="J1770" s="2" t="s">
        <v>22</v>
      </c>
      <c r="K1770" s="2" t="s">
        <v>150</v>
      </c>
      <c r="L1770" s="7">
        <f t="shared" si="81"/>
        <v>5820.35</v>
      </c>
      <c r="M1770" s="2" t="str">
        <f t="shared" si="82"/>
        <v>April</v>
      </c>
      <c r="N1770" s="6">
        <f t="shared" si="83"/>
        <v>2005</v>
      </c>
    </row>
    <row r="1771" spans="1:14">
      <c r="A1771" s="2" t="s">
        <v>63</v>
      </c>
      <c r="B1771" s="3">
        <v>10420</v>
      </c>
      <c r="C1771" s="3">
        <v>55</v>
      </c>
      <c r="D1771" s="13">
        <v>96.3</v>
      </c>
      <c r="E1771" s="5">
        <v>38501</v>
      </c>
      <c r="F1771" s="2" t="s">
        <v>113</v>
      </c>
      <c r="G1771" s="2" t="s">
        <v>72</v>
      </c>
      <c r="H1771" s="3">
        <v>2</v>
      </c>
      <c r="I1771" s="6">
        <v>2005</v>
      </c>
      <c r="J1771" s="2" t="s">
        <v>22</v>
      </c>
      <c r="K1771" s="2" t="s">
        <v>64</v>
      </c>
      <c r="L1771" s="7">
        <f t="shared" si="81"/>
        <v>5296.5</v>
      </c>
      <c r="M1771" s="2" t="str">
        <f t="shared" si="82"/>
        <v>May</v>
      </c>
      <c r="N1771" s="6">
        <f t="shared" si="83"/>
        <v>2005</v>
      </c>
    </row>
    <row r="1772" spans="1:14">
      <c r="A1772" s="2" t="s">
        <v>116</v>
      </c>
      <c r="B1772" s="3">
        <v>10109</v>
      </c>
      <c r="C1772" s="3">
        <v>29</v>
      </c>
      <c r="D1772" s="13">
        <v>32.1</v>
      </c>
      <c r="E1772" s="5">
        <v>37690</v>
      </c>
      <c r="F1772" s="2" t="s">
        <v>13</v>
      </c>
      <c r="G1772" s="2" t="s">
        <v>72</v>
      </c>
      <c r="H1772" s="3">
        <v>1</v>
      </c>
      <c r="I1772" s="6">
        <v>2003</v>
      </c>
      <c r="J1772" s="2" t="s">
        <v>15</v>
      </c>
      <c r="K1772" s="2" t="s">
        <v>117</v>
      </c>
      <c r="L1772" s="7">
        <f t="shared" si="81"/>
        <v>930.9</v>
      </c>
      <c r="M1772" s="2" t="str">
        <f t="shared" si="82"/>
        <v>March</v>
      </c>
      <c r="N1772" s="6">
        <f t="shared" si="83"/>
        <v>2003</v>
      </c>
    </row>
    <row r="1773" spans="1:14">
      <c r="A1773" s="2" t="s">
        <v>163</v>
      </c>
      <c r="B1773" s="3">
        <v>10122</v>
      </c>
      <c r="C1773" s="3">
        <v>39</v>
      </c>
      <c r="D1773" s="13">
        <v>30.96</v>
      </c>
      <c r="E1773" s="5">
        <v>37749</v>
      </c>
      <c r="F1773" s="2" t="s">
        <v>13</v>
      </c>
      <c r="G1773" s="2" t="s">
        <v>72</v>
      </c>
      <c r="H1773" s="3">
        <v>2</v>
      </c>
      <c r="I1773" s="6">
        <v>2003</v>
      </c>
      <c r="J1773" s="2" t="s">
        <v>15</v>
      </c>
      <c r="K1773" s="2" t="s">
        <v>164</v>
      </c>
      <c r="L1773" s="7">
        <f t="shared" si="81"/>
        <v>1207.44</v>
      </c>
      <c r="M1773" s="2" t="str">
        <f t="shared" si="82"/>
        <v>May</v>
      </c>
      <c r="N1773" s="6">
        <f t="shared" si="83"/>
        <v>2003</v>
      </c>
    </row>
    <row r="1774" spans="1:14">
      <c r="A1774" s="2" t="s">
        <v>103</v>
      </c>
      <c r="B1774" s="3">
        <v>10135</v>
      </c>
      <c r="C1774" s="3">
        <v>20</v>
      </c>
      <c r="D1774" s="13">
        <v>35.87</v>
      </c>
      <c r="E1774" s="5">
        <v>37804</v>
      </c>
      <c r="F1774" s="2" t="s">
        <v>13</v>
      </c>
      <c r="G1774" s="2" t="s">
        <v>72</v>
      </c>
      <c r="H1774" s="3">
        <v>3</v>
      </c>
      <c r="I1774" s="6">
        <v>2003</v>
      </c>
      <c r="J1774" s="2" t="s">
        <v>15</v>
      </c>
      <c r="K1774" s="2" t="s">
        <v>104</v>
      </c>
      <c r="L1774" s="7">
        <f t="shared" si="81"/>
        <v>717.4</v>
      </c>
      <c r="M1774" s="2" t="str">
        <f t="shared" si="82"/>
        <v>July</v>
      </c>
      <c r="N1774" s="6">
        <f t="shared" si="83"/>
        <v>2003</v>
      </c>
    </row>
    <row r="1775" spans="1:14">
      <c r="A1775" s="2" t="s">
        <v>107</v>
      </c>
      <c r="B1775" s="3">
        <v>10147</v>
      </c>
      <c r="C1775" s="3">
        <v>25</v>
      </c>
      <c r="D1775" s="13">
        <v>42.67</v>
      </c>
      <c r="E1775" s="5">
        <v>37869</v>
      </c>
      <c r="F1775" s="2" t="s">
        <v>13</v>
      </c>
      <c r="G1775" s="2" t="s">
        <v>72</v>
      </c>
      <c r="H1775" s="3">
        <v>3</v>
      </c>
      <c r="I1775" s="6">
        <v>2003</v>
      </c>
      <c r="J1775" s="2" t="s">
        <v>15</v>
      </c>
      <c r="K1775" s="2" t="s">
        <v>108</v>
      </c>
      <c r="L1775" s="7">
        <f t="shared" si="81"/>
        <v>1066.75</v>
      </c>
      <c r="M1775" s="2" t="str">
        <f t="shared" si="82"/>
        <v>September</v>
      </c>
      <c r="N1775" s="6">
        <f t="shared" si="83"/>
        <v>2003</v>
      </c>
    </row>
    <row r="1776" spans="1:14">
      <c r="A1776" s="2" t="s">
        <v>135</v>
      </c>
      <c r="B1776" s="3">
        <v>10160</v>
      </c>
      <c r="C1776" s="3">
        <v>42</v>
      </c>
      <c r="D1776" s="13">
        <v>37</v>
      </c>
      <c r="E1776" s="5">
        <v>37905</v>
      </c>
      <c r="F1776" s="2" t="s">
        <v>13</v>
      </c>
      <c r="G1776" s="2" t="s">
        <v>72</v>
      </c>
      <c r="H1776" s="3">
        <v>4</v>
      </c>
      <c r="I1776" s="6">
        <v>2003</v>
      </c>
      <c r="J1776" s="2" t="s">
        <v>15</v>
      </c>
      <c r="K1776" s="2" t="s">
        <v>136</v>
      </c>
      <c r="L1776" s="7">
        <f t="shared" si="81"/>
        <v>1554</v>
      </c>
      <c r="M1776" s="2" t="str">
        <f t="shared" si="82"/>
        <v>October</v>
      </c>
      <c r="N1776" s="6">
        <f t="shared" si="83"/>
        <v>2003</v>
      </c>
    </row>
    <row r="1777" spans="1:14">
      <c r="A1777" s="2" t="s">
        <v>111</v>
      </c>
      <c r="B1777" s="3">
        <v>10171</v>
      </c>
      <c r="C1777" s="3">
        <v>36</v>
      </c>
      <c r="D1777" s="13">
        <v>35.49</v>
      </c>
      <c r="E1777" s="5">
        <v>37930</v>
      </c>
      <c r="F1777" s="2" t="s">
        <v>13</v>
      </c>
      <c r="G1777" s="2" t="s">
        <v>72</v>
      </c>
      <c r="H1777" s="3">
        <v>4</v>
      </c>
      <c r="I1777" s="6">
        <v>2003</v>
      </c>
      <c r="J1777" s="2" t="s">
        <v>15</v>
      </c>
      <c r="K1777" s="2" t="s">
        <v>112</v>
      </c>
      <c r="L1777" s="7">
        <f t="shared" si="81"/>
        <v>1277.64</v>
      </c>
      <c r="M1777" s="2" t="str">
        <f t="shared" si="82"/>
        <v>November</v>
      </c>
      <c r="N1777" s="6">
        <f t="shared" si="83"/>
        <v>2003</v>
      </c>
    </row>
    <row r="1778" spans="1:14">
      <c r="A1778" s="2" t="s">
        <v>36</v>
      </c>
      <c r="B1778" s="3">
        <v>10181</v>
      </c>
      <c r="C1778" s="3">
        <v>37</v>
      </c>
      <c r="D1778" s="13">
        <v>42.67</v>
      </c>
      <c r="E1778" s="5">
        <v>37937</v>
      </c>
      <c r="F1778" s="2" t="s">
        <v>13</v>
      </c>
      <c r="G1778" s="2" t="s">
        <v>72</v>
      </c>
      <c r="H1778" s="3">
        <v>4</v>
      </c>
      <c r="I1778" s="6">
        <v>2003</v>
      </c>
      <c r="J1778" s="2" t="s">
        <v>15</v>
      </c>
      <c r="K1778" s="2" t="s">
        <v>37</v>
      </c>
      <c r="L1778" s="7">
        <f t="shared" si="81"/>
        <v>1578.79</v>
      </c>
      <c r="M1778" s="2" t="str">
        <f t="shared" si="82"/>
        <v>November</v>
      </c>
      <c r="N1778" s="6">
        <f t="shared" si="83"/>
        <v>2003</v>
      </c>
    </row>
    <row r="1779" spans="1:14">
      <c r="A1779" s="2" t="s">
        <v>105</v>
      </c>
      <c r="B1779" s="3">
        <v>10192</v>
      </c>
      <c r="C1779" s="3">
        <v>30</v>
      </c>
      <c r="D1779" s="13">
        <v>30.59</v>
      </c>
      <c r="E1779" s="5">
        <v>37945</v>
      </c>
      <c r="F1779" s="2" t="s">
        <v>13</v>
      </c>
      <c r="G1779" s="2" t="s">
        <v>72</v>
      </c>
      <c r="H1779" s="3">
        <v>4</v>
      </c>
      <c r="I1779" s="6">
        <v>2003</v>
      </c>
      <c r="J1779" s="2" t="s">
        <v>15</v>
      </c>
      <c r="K1779" s="2" t="s">
        <v>106</v>
      </c>
      <c r="L1779" s="7">
        <f t="shared" si="81"/>
        <v>917.7</v>
      </c>
      <c r="M1779" s="2" t="str">
        <f t="shared" si="82"/>
        <v>November</v>
      </c>
      <c r="N1779" s="6">
        <f t="shared" si="83"/>
        <v>2003</v>
      </c>
    </row>
    <row r="1780" spans="1:14">
      <c r="A1780" s="2" t="s">
        <v>69</v>
      </c>
      <c r="B1780" s="3">
        <v>10203</v>
      </c>
      <c r="C1780" s="3">
        <v>21</v>
      </c>
      <c r="D1780" s="13">
        <v>37</v>
      </c>
      <c r="E1780" s="5">
        <v>37957</v>
      </c>
      <c r="F1780" s="2" t="s">
        <v>13</v>
      </c>
      <c r="G1780" s="2" t="s">
        <v>72</v>
      </c>
      <c r="H1780" s="3">
        <v>4</v>
      </c>
      <c r="I1780" s="6">
        <v>2003</v>
      </c>
      <c r="J1780" s="2" t="s">
        <v>15</v>
      </c>
      <c r="K1780" s="2" t="s">
        <v>71</v>
      </c>
      <c r="L1780" s="7">
        <f t="shared" si="81"/>
        <v>777</v>
      </c>
      <c r="M1780" s="2" t="str">
        <f t="shared" si="82"/>
        <v>December</v>
      </c>
      <c r="N1780" s="6">
        <f t="shared" si="83"/>
        <v>2003</v>
      </c>
    </row>
    <row r="1781" spans="1:14">
      <c r="A1781" s="2" t="s">
        <v>69</v>
      </c>
      <c r="B1781" s="3">
        <v>10212</v>
      </c>
      <c r="C1781" s="3">
        <v>34</v>
      </c>
      <c r="D1781" s="13">
        <v>43.42</v>
      </c>
      <c r="E1781" s="5">
        <v>38002</v>
      </c>
      <c r="F1781" s="2" t="s">
        <v>13</v>
      </c>
      <c r="G1781" s="2" t="s">
        <v>72</v>
      </c>
      <c r="H1781" s="3">
        <v>1</v>
      </c>
      <c r="I1781" s="6">
        <v>2004</v>
      </c>
      <c r="J1781" s="2" t="s">
        <v>15</v>
      </c>
      <c r="K1781" s="2" t="s">
        <v>71</v>
      </c>
      <c r="L1781" s="7">
        <f t="shared" si="81"/>
        <v>1476.28</v>
      </c>
      <c r="M1781" s="2" t="str">
        <f t="shared" si="82"/>
        <v>January</v>
      </c>
      <c r="N1781" s="6">
        <f t="shared" si="83"/>
        <v>2004</v>
      </c>
    </row>
    <row r="1782" spans="1:14">
      <c r="A1782" s="2" t="s">
        <v>167</v>
      </c>
      <c r="B1782" s="3">
        <v>10225</v>
      </c>
      <c r="C1782" s="3">
        <v>42</v>
      </c>
      <c r="D1782" s="13">
        <v>36.63</v>
      </c>
      <c r="E1782" s="5">
        <v>38039</v>
      </c>
      <c r="F1782" s="2" t="s">
        <v>13</v>
      </c>
      <c r="G1782" s="2" t="s">
        <v>72</v>
      </c>
      <c r="H1782" s="3">
        <v>1</v>
      </c>
      <c r="I1782" s="6">
        <v>2004</v>
      </c>
      <c r="J1782" s="2" t="s">
        <v>15</v>
      </c>
      <c r="K1782" s="2" t="s">
        <v>168</v>
      </c>
      <c r="L1782" s="7">
        <f t="shared" si="81"/>
        <v>1538.46</v>
      </c>
      <c r="M1782" s="2" t="str">
        <f t="shared" si="82"/>
        <v>February</v>
      </c>
      <c r="N1782" s="6">
        <f t="shared" si="83"/>
        <v>2004</v>
      </c>
    </row>
    <row r="1783" spans="1:14">
      <c r="A1783" s="2" t="s">
        <v>147</v>
      </c>
      <c r="B1783" s="3">
        <v>10239</v>
      </c>
      <c r="C1783" s="3">
        <v>20</v>
      </c>
      <c r="D1783" s="13">
        <v>44.56</v>
      </c>
      <c r="E1783" s="5">
        <v>38089</v>
      </c>
      <c r="F1783" s="2" t="s">
        <v>13</v>
      </c>
      <c r="G1783" s="2" t="s">
        <v>72</v>
      </c>
      <c r="H1783" s="3">
        <v>2</v>
      </c>
      <c r="I1783" s="6">
        <v>2004</v>
      </c>
      <c r="J1783" s="2" t="s">
        <v>15</v>
      </c>
      <c r="K1783" s="2" t="s">
        <v>148</v>
      </c>
      <c r="L1783" s="7">
        <f t="shared" si="81"/>
        <v>891.2</v>
      </c>
      <c r="M1783" s="2" t="str">
        <f t="shared" si="82"/>
        <v>April</v>
      </c>
      <c r="N1783" s="6">
        <f t="shared" si="83"/>
        <v>2004</v>
      </c>
    </row>
    <row r="1784" spans="1:14">
      <c r="A1784" s="2" t="s">
        <v>67</v>
      </c>
      <c r="B1784" s="3">
        <v>10253</v>
      </c>
      <c r="C1784" s="3">
        <v>40</v>
      </c>
      <c r="D1784" s="13">
        <v>42.67</v>
      </c>
      <c r="E1784" s="5">
        <v>38139</v>
      </c>
      <c r="F1784" s="2" t="s">
        <v>128</v>
      </c>
      <c r="G1784" s="2" t="s">
        <v>72</v>
      </c>
      <c r="H1784" s="3">
        <v>2</v>
      </c>
      <c r="I1784" s="6">
        <v>2004</v>
      </c>
      <c r="J1784" s="2" t="s">
        <v>15</v>
      </c>
      <c r="K1784" s="2" t="s">
        <v>68</v>
      </c>
      <c r="L1784" s="7">
        <f t="shared" si="81"/>
        <v>1706.8</v>
      </c>
      <c r="M1784" s="2" t="str">
        <f t="shared" si="82"/>
        <v>June</v>
      </c>
      <c r="N1784" s="6">
        <f t="shared" si="83"/>
        <v>2004</v>
      </c>
    </row>
    <row r="1785" spans="1:14">
      <c r="A1785" s="2" t="s">
        <v>169</v>
      </c>
      <c r="B1785" s="3">
        <v>10266</v>
      </c>
      <c r="C1785" s="3">
        <v>34</v>
      </c>
      <c r="D1785" s="13">
        <v>40.4</v>
      </c>
      <c r="E1785" s="5">
        <v>38174</v>
      </c>
      <c r="F1785" s="2" t="s">
        <v>13</v>
      </c>
      <c r="G1785" s="2" t="s">
        <v>72</v>
      </c>
      <c r="H1785" s="3">
        <v>3</v>
      </c>
      <c r="I1785" s="6">
        <v>2004</v>
      </c>
      <c r="J1785" s="2" t="s">
        <v>15</v>
      </c>
      <c r="K1785" s="2" t="s">
        <v>170</v>
      </c>
      <c r="L1785" s="7">
        <f t="shared" si="81"/>
        <v>1373.6</v>
      </c>
      <c r="M1785" s="2" t="str">
        <f t="shared" si="82"/>
        <v>July</v>
      </c>
      <c r="N1785" s="6">
        <f t="shared" si="83"/>
        <v>2004</v>
      </c>
    </row>
    <row r="1786" spans="1:14">
      <c r="A1786" s="2" t="s">
        <v>198</v>
      </c>
      <c r="B1786" s="3">
        <v>10278</v>
      </c>
      <c r="C1786" s="3">
        <v>31</v>
      </c>
      <c r="D1786" s="13">
        <v>38.89</v>
      </c>
      <c r="E1786" s="5">
        <v>38205</v>
      </c>
      <c r="F1786" s="2" t="s">
        <v>13</v>
      </c>
      <c r="G1786" s="2" t="s">
        <v>72</v>
      </c>
      <c r="H1786" s="3">
        <v>3</v>
      </c>
      <c r="I1786" s="6">
        <v>2004</v>
      </c>
      <c r="J1786" s="2" t="s">
        <v>15</v>
      </c>
      <c r="K1786" s="2" t="s">
        <v>199</v>
      </c>
      <c r="L1786" s="7">
        <f t="shared" si="81"/>
        <v>1205.59</v>
      </c>
      <c r="M1786" s="2" t="str">
        <f t="shared" si="82"/>
        <v>August</v>
      </c>
      <c r="N1786" s="6">
        <f t="shared" si="83"/>
        <v>2004</v>
      </c>
    </row>
    <row r="1787" spans="1:14">
      <c r="A1787" s="2" t="s">
        <v>167</v>
      </c>
      <c r="B1787" s="3">
        <v>10287</v>
      </c>
      <c r="C1787" s="3">
        <v>36</v>
      </c>
      <c r="D1787" s="13">
        <v>39.65</v>
      </c>
      <c r="E1787" s="5">
        <v>38229</v>
      </c>
      <c r="F1787" s="2" t="s">
        <v>13</v>
      </c>
      <c r="G1787" s="2" t="s">
        <v>72</v>
      </c>
      <c r="H1787" s="3">
        <v>3</v>
      </c>
      <c r="I1787" s="6">
        <v>2004</v>
      </c>
      <c r="J1787" s="2" t="s">
        <v>15</v>
      </c>
      <c r="K1787" s="2" t="s">
        <v>168</v>
      </c>
      <c r="L1787" s="7">
        <f t="shared" si="81"/>
        <v>1427.4</v>
      </c>
      <c r="M1787" s="2" t="str">
        <f t="shared" si="82"/>
        <v>August</v>
      </c>
      <c r="N1787" s="6">
        <f t="shared" si="83"/>
        <v>2004</v>
      </c>
    </row>
    <row r="1788" spans="1:14">
      <c r="A1788" s="2" t="s">
        <v>200</v>
      </c>
      <c r="B1788" s="3">
        <v>10301</v>
      </c>
      <c r="C1788" s="3">
        <v>48</v>
      </c>
      <c r="D1788" s="13">
        <v>34.36</v>
      </c>
      <c r="E1788" s="5">
        <v>37899</v>
      </c>
      <c r="F1788" s="2" t="s">
        <v>13</v>
      </c>
      <c r="G1788" s="2" t="s">
        <v>72</v>
      </c>
      <c r="H1788" s="3">
        <v>4</v>
      </c>
      <c r="I1788" s="6">
        <v>2003</v>
      </c>
      <c r="J1788" s="2" t="s">
        <v>15</v>
      </c>
      <c r="K1788" s="2" t="s">
        <v>201</v>
      </c>
      <c r="L1788" s="7">
        <f t="shared" si="81"/>
        <v>1649.28</v>
      </c>
      <c r="M1788" s="2" t="str">
        <f t="shared" si="82"/>
        <v>October</v>
      </c>
      <c r="N1788" s="6">
        <f t="shared" si="83"/>
        <v>2003</v>
      </c>
    </row>
    <row r="1789" spans="1:14">
      <c r="A1789" s="2" t="s">
        <v>165</v>
      </c>
      <c r="B1789" s="3">
        <v>10310</v>
      </c>
      <c r="C1789" s="3">
        <v>33</v>
      </c>
      <c r="D1789" s="13">
        <v>41.91</v>
      </c>
      <c r="E1789" s="5">
        <v>38276</v>
      </c>
      <c r="F1789" s="2" t="s">
        <v>13</v>
      </c>
      <c r="G1789" s="2" t="s">
        <v>72</v>
      </c>
      <c r="H1789" s="3">
        <v>4</v>
      </c>
      <c r="I1789" s="6">
        <v>2004</v>
      </c>
      <c r="J1789" s="2" t="s">
        <v>15</v>
      </c>
      <c r="K1789" s="2" t="s">
        <v>166</v>
      </c>
      <c r="L1789" s="7">
        <f t="shared" si="81"/>
        <v>1383.03</v>
      </c>
      <c r="M1789" s="2" t="str">
        <f t="shared" si="82"/>
        <v>October</v>
      </c>
      <c r="N1789" s="6">
        <f t="shared" si="83"/>
        <v>2004</v>
      </c>
    </row>
    <row r="1790" spans="1:14">
      <c r="A1790" s="2" t="s">
        <v>65</v>
      </c>
      <c r="B1790" s="3">
        <v>10321</v>
      </c>
      <c r="C1790" s="3">
        <v>37</v>
      </c>
      <c r="D1790" s="13">
        <v>33.23</v>
      </c>
      <c r="E1790" s="5">
        <v>38295</v>
      </c>
      <c r="F1790" s="2" t="s">
        <v>13</v>
      </c>
      <c r="G1790" s="2" t="s">
        <v>72</v>
      </c>
      <c r="H1790" s="3">
        <v>4</v>
      </c>
      <c r="I1790" s="6">
        <v>2004</v>
      </c>
      <c r="J1790" s="2" t="s">
        <v>15</v>
      </c>
      <c r="K1790" s="2" t="s">
        <v>66</v>
      </c>
      <c r="L1790" s="7">
        <f t="shared" si="81"/>
        <v>1229.51</v>
      </c>
      <c r="M1790" s="2" t="str">
        <f t="shared" si="82"/>
        <v>November</v>
      </c>
      <c r="N1790" s="6">
        <f t="shared" si="83"/>
        <v>2004</v>
      </c>
    </row>
    <row r="1791" spans="1:14">
      <c r="A1791" s="2" t="s">
        <v>116</v>
      </c>
      <c r="B1791" s="3">
        <v>10331</v>
      </c>
      <c r="C1791" s="3">
        <v>27</v>
      </c>
      <c r="D1791" s="13">
        <v>42.24</v>
      </c>
      <c r="E1791" s="5">
        <v>38308</v>
      </c>
      <c r="F1791" s="2" t="s">
        <v>13</v>
      </c>
      <c r="G1791" s="2" t="s">
        <v>72</v>
      </c>
      <c r="H1791" s="3">
        <v>4</v>
      </c>
      <c r="I1791" s="6">
        <v>2004</v>
      </c>
      <c r="J1791" s="2" t="s">
        <v>15</v>
      </c>
      <c r="K1791" s="2" t="s">
        <v>117</v>
      </c>
      <c r="L1791" s="7">
        <f t="shared" si="81"/>
        <v>1140.48</v>
      </c>
      <c r="M1791" s="2" t="str">
        <f t="shared" si="82"/>
        <v>November</v>
      </c>
      <c r="N1791" s="6">
        <f t="shared" si="83"/>
        <v>2004</v>
      </c>
    </row>
    <row r="1792" spans="1:14">
      <c r="A1792" s="2" t="s">
        <v>42</v>
      </c>
      <c r="B1792" s="3">
        <v>10342</v>
      </c>
      <c r="C1792" s="3">
        <v>39</v>
      </c>
      <c r="D1792" s="13">
        <v>40.4</v>
      </c>
      <c r="E1792" s="5">
        <v>38315</v>
      </c>
      <c r="F1792" s="2" t="s">
        <v>13</v>
      </c>
      <c r="G1792" s="2" t="s">
        <v>72</v>
      </c>
      <c r="H1792" s="3">
        <v>4</v>
      </c>
      <c r="I1792" s="6">
        <v>2004</v>
      </c>
      <c r="J1792" s="2" t="s">
        <v>15</v>
      </c>
      <c r="K1792" s="2" t="s">
        <v>43</v>
      </c>
      <c r="L1792" s="7">
        <f t="shared" si="81"/>
        <v>1575.6</v>
      </c>
      <c r="M1792" s="2" t="str">
        <f t="shared" si="82"/>
        <v>November</v>
      </c>
      <c r="N1792" s="6">
        <f t="shared" si="83"/>
        <v>2004</v>
      </c>
    </row>
    <row r="1793" spans="1:14">
      <c r="A1793" s="2" t="s">
        <v>69</v>
      </c>
      <c r="B1793" s="3">
        <v>10355</v>
      </c>
      <c r="C1793" s="3">
        <v>36</v>
      </c>
      <c r="D1793" s="13">
        <v>38.52</v>
      </c>
      <c r="E1793" s="5">
        <v>38328</v>
      </c>
      <c r="F1793" s="2" t="s">
        <v>13</v>
      </c>
      <c r="G1793" s="2" t="s">
        <v>72</v>
      </c>
      <c r="H1793" s="3">
        <v>4</v>
      </c>
      <c r="I1793" s="6">
        <v>2004</v>
      </c>
      <c r="J1793" s="2" t="s">
        <v>15</v>
      </c>
      <c r="K1793" s="2" t="s">
        <v>71</v>
      </c>
      <c r="L1793" s="7">
        <f t="shared" si="81"/>
        <v>1386.72</v>
      </c>
      <c r="M1793" s="2" t="str">
        <f t="shared" si="82"/>
        <v>December</v>
      </c>
      <c r="N1793" s="6">
        <f t="shared" si="83"/>
        <v>2004</v>
      </c>
    </row>
    <row r="1794" spans="1:14">
      <c r="A1794" s="2" t="s">
        <v>25</v>
      </c>
      <c r="B1794" s="3">
        <v>10367</v>
      </c>
      <c r="C1794" s="3">
        <v>36</v>
      </c>
      <c r="D1794" s="13">
        <v>100</v>
      </c>
      <c r="E1794" s="5">
        <v>38364</v>
      </c>
      <c r="F1794" s="2" t="s">
        <v>155</v>
      </c>
      <c r="G1794" s="2" t="s">
        <v>72</v>
      </c>
      <c r="H1794" s="3">
        <v>1</v>
      </c>
      <c r="I1794" s="6">
        <v>2005</v>
      </c>
      <c r="J1794" s="2" t="s">
        <v>22</v>
      </c>
      <c r="K1794" s="2" t="s">
        <v>26</v>
      </c>
      <c r="L1794" s="7">
        <f t="shared" ref="L1794:L1857" si="84">PRODUCT(C1794,D1794)</f>
        <v>3600</v>
      </c>
      <c r="M1794" s="2" t="str">
        <f t="shared" ref="M1794:M1857" si="85">TEXT(E1794,"MMMM")</f>
        <v>January</v>
      </c>
      <c r="N1794" s="6">
        <f t="shared" ref="N1794:N1857" si="86">YEAR(E1794)</f>
        <v>2005</v>
      </c>
    </row>
    <row r="1795" spans="1:14">
      <c r="A1795" s="2" t="s">
        <v>69</v>
      </c>
      <c r="B1795" s="3">
        <v>10378</v>
      </c>
      <c r="C1795" s="3">
        <v>41</v>
      </c>
      <c r="D1795" s="13">
        <v>100</v>
      </c>
      <c r="E1795" s="5">
        <v>38393</v>
      </c>
      <c r="F1795" s="2" t="s">
        <v>13</v>
      </c>
      <c r="G1795" s="2" t="s">
        <v>72</v>
      </c>
      <c r="H1795" s="3">
        <v>1</v>
      </c>
      <c r="I1795" s="6">
        <v>2005</v>
      </c>
      <c r="J1795" s="2" t="s">
        <v>22</v>
      </c>
      <c r="K1795" s="2" t="s">
        <v>71</v>
      </c>
      <c r="L1795" s="7">
        <f t="shared" si="84"/>
        <v>4100</v>
      </c>
      <c r="M1795" s="2" t="str">
        <f t="shared" si="85"/>
        <v>February</v>
      </c>
      <c r="N1795" s="6">
        <f t="shared" si="86"/>
        <v>2005</v>
      </c>
    </row>
    <row r="1796" spans="1:14">
      <c r="A1796" s="2" t="s">
        <v>103</v>
      </c>
      <c r="B1796" s="3">
        <v>10390</v>
      </c>
      <c r="C1796" s="3">
        <v>37</v>
      </c>
      <c r="D1796" s="13">
        <v>100</v>
      </c>
      <c r="E1796" s="5">
        <v>38415</v>
      </c>
      <c r="F1796" s="2" t="s">
        <v>13</v>
      </c>
      <c r="G1796" s="2" t="s">
        <v>72</v>
      </c>
      <c r="H1796" s="3">
        <v>1</v>
      </c>
      <c r="I1796" s="6">
        <v>2005</v>
      </c>
      <c r="J1796" s="2" t="s">
        <v>22</v>
      </c>
      <c r="K1796" s="2" t="s">
        <v>104</v>
      </c>
      <c r="L1796" s="7">
        <f t="shared" si="84"/>
        <v>3700</v>
      </c>
      <c r="M1796" s="2" t="str">
        <f t="shared" si="85"/>
        <v>March</v>
      </c>
      <c r="N1796" s="6">
        <f t="shared" si="86"/>
        <v>2005</v>
      </c>
    </row>
    <row r="1797" spans="1:14">
      <c r="A1797" s="2" t="s">
        <v>196</v>
      </c>
      <c r="B1797" s="3">
        <v>10405</v>
      </c>
      <c r="C1797" s="3">
        <v>47</v>
      </c>
      <c r="D1797" s="13">
        <v>44.56</v>
      </c>
      <c r="E1797" s="5">
        <v>38456</v>
      </c>
      <c r="F1797" s="2" t="s">
        <v>13</v>
      </c>
      <c r="G1797" s="2" t="s">
        <v>72</v>
      </c>
      <c r="H1797" s="3">
        <v>2</v>
      </c>
      <c r="I1797" s="6">
        <v>2005</v>
      </c>
      <c r="J1797" s="2" t="s">
        <v>15</v>
      </c>
      <c r="K1797" s="2" t="s">
        <v>197</v>
      </c>
      <c r="L1797" s="7">
        <f t="shared" si="84"/>
        <v>2094.32</v>
      </c>
      <c r="M1797" s="2" t="str">
        <f t="shared" si="85"/>
        <v>April</v>
      </c>
      <c r="N1797" s="6">
        <f t="shared" si="86"/>
        <v>2005</v>
      </c>
    </row>
    <row r="1798" spans="1:14">
      <c r="A1798" s="2" t="s">
        <v>60</v>
      </c>
      <c r="B1798" s="3">
        <v>10419</v>
      </c>
      <c r="C1798" s="3">
        <v>15</v>
      </c>
      <c r="D1798" s="13">
        <v>42.67</v>
      </c>
      <c r="E1798" s="5">
        <v>38489</v>
      </c>
      <c r="F1798" s="2" t="s">
        <v>13</v>
      </c>
      <c r="G1798" s="2" t="s">
        <v>72</v>
      </c>
      <c r="H1798" s="3">
        <v>2</v>
      </c>
      <c r="I1798" s="6">
        <v>2005</v>
      </c>
      <c r="J1798" s="2" t="s">
        <v>15</v>
      </c>
      <c r="K1798" s="2" t="s">
        <v>62</v>
      </c>
      <c r="L1798" s="7">
        <f t="shared" si="84"/>
        <v>640.05</v>
      </c>
      <c r="M1798" s="2" t="str">
        <f t="shared" si="85"/>
        <v>May</v>
      </c>
      <c r="N1798" s="6">
        <f t="shared" si="86"/>
        <v>2005</v>
      </c>
    </row>
    <row r="1799" spans="1:14">
      <c r="A1799" s="2" t="s">
        <v>122</v>
      </c>
      <c r="B1799" s="3">
        <v>10105</v>
      </c>
      <c r="C1799" s="3">
        <v>44</v>
      </c>
      <c r="D1799" s="13">
        <v>72.58</v>
      </c>
      <c r="E1799" s="5">
        <v>37663</v>
      </c>
      <c r="F1799" s="2" t="s">
        <v>13</v>
      </c>
      <c r="G1799" s="2" t="s">
        <v>202</v>
      </c>
      <c r="H1799" s="3">
        <v>1</v>
      </c>
      <c r="I1799" s="6">
        <v>2003</v>
      </c>
      <c r="J1799" s="2" t="s">
        <v>22</v>
      </c>
      <c r="K1799" s="2" t="s">
        <v>123</v>
      </c>
      <c r="L1799" s="7">
        <f t="shared" si="84"/>
        <v>3193.52</v>
      </c>
      <c r="M1799" s="2" t="str">
        <f t="shared" si="85"/>
        <v>February</v>
      </c>
      <c r="N1799" s="6">
        <f t="shared" si="86"/>
        <v>2003</v>
      </c>
    </row>
    <row r="1800" spans="1:14">
      <c r="A1800" s="2" t="s">
        <v>60</v>
      </c>
      <c r="B1800" s="3">
        <v>10119</v>
      </c>
      <c r="C1800" s="3">
        <v>35</v>
      </c>
      <c r="D1800" s="13">
        <v>87.62</v>
      </c>
      <c r="E1800" s="5">
        <v>37739</v>
      </c>
      <c r="F1800" s="2" t="s">
        <v>13</v>
      </c>
      <c r="G1800" s="2" t="s">
        <v>202</v>
      </c>
      <c r="H1800" s="3">
        <v>2</v>
      </c>
      <c r="I1800" s="6">
        <v>2003</v>
      </c>
      <c r="J1800" s="2" t="s">
        <v>22</v>
      </c>
      <c r="K1800" s="2" t="s">
        <v>62</v>
      </c>
      <c r="L1800" s="7">
        <f t="shared" si="84"/>
        <v>3066.7</v>
      </c>
      <c r="M1800" s="2" t="str">
        <f t="shared" si="85"/>
        <v>April</v>
      </c>
      <c r="N1800" s="6">
        <f t="shared" si="86"/>
        <v>2003</v>
      </c>
    </row>
    <row r="1801" spans="1:14">
      <c r="A1801" s="2" t="s">
        <v>124</v>
      </c>
      <c r="B1801" s="3">
        <v>10129</v>
      </c>
      <c r="C1801" s="3">
        <v>41</v>
      </c>
      <c r="D1801" s="13">
        <v>94.71</v>
      </c>
      <c r="E1801" s="5">
        <v>37784</v>
      </c>
      <c r="F1801" s="2" t="s">
        <v>13</v>
      </c>
      <c r="G1801" s="2" t="s">
        <v>202</v>
      </c>
      <c r="H1801" s="3">
        <v>2</v>
      </c>
      <c r="I1801" s="6">
        <v>2003</v>
      </c>
      <c r="J1801" s="2" t="s">
        <v>22</v>
      </c>
      <c r="K1801" s="2" t="s">
        <v>125</v>
      </c>
      <c r="L1801" s="7">
        <f t="shared" si="84"/>
        <v>3883.11</v>
      </c>
      <c r="M1801" s="2" t="str">
        <f t="shared" si="85"/>
        <v>June</v>
      </c>
      <c r="N1801" s="6">
        <f t="shared" si="86"/>
        <v>2003</v>
      </c>
    </row>
    <row r="1802" spans="1:14">
      <c r="A1802" s="2" t="s">
        <v>103</v>
      </c>
      <c r="B1802" s="3">
        <v>10142</v>
      </c>
      <c r="C1802" s="3">
        <v>49</v>
      </c>
      <c r="D1802" s="13">
        <v>98.25</v>
      </c>
      <c r="E1802" s="5">
        <v>37841</v>
      </c>
      <c r="F1802" s="2" t="s">
        <v>13</v>
      </c>
      <c r="G1802" s="2" t="s">
        <v>202</v>
      </c>
      <c r="H1802" s="3">
        <v>3</v>
      </c>
      <c r="I1802" s="6">
        <v>2003</v>
      </c>
      <c r="J1802" s="2" t="s">
        <v>22</v>
      </c>
      <c r="K1802" s="2" t="s">
        <v>104</v>
      </c>
      <c r="L1802" s="7">
        <f t="shared" si="84"/>
        <v>4814.25</v>
      </c>
      <c r="M1802" s="2" t="str">
        <f t="shared" si="85"/>
        <v>August</v>
      </c>
      <c r="N1802" s="6">
        <f t="shared" si="86"/>
        <v>2003</v>
      </c>
    </row>
    <row r="1803" spans="1:14">
      <c r="A1803" s="2" t="s">
        <v>190</v>
      </c>
      <c r="B1803" s="3">
        <v>10154</v>
      </c>
      <c r="C1803" s="3">
        <v>31</v>
      </c>
      <c r="D1803" s="13">
        <v>91.17</v>
      </c>
      <c r="E1803" s="5">
        <v>37896</v>
      </c>
      <c r="F1803" s="2" t="s">
        <v>13</v>
      </c>
      <c r="G1803" s="2" t="s">
        <v>202</v>
      </c>
      <c r="H1803" s="3">
        <v>4</v>
      </c>
      <c r="I1803" s="6">
        <v>2003</v>
      </c>
      <c r="J1803" s="2" t="s">
        <v>15</v>
      </c>
      <c r="K1803" s="2" t="s">
        <v>191</v>
      </c>
      <c r="L1803" s="7">
        <f t="shared" si="84"/>
        <v>2826.27</v>
      </c>
      <c r="M1803" s="2" t="str">
        <f t="shared" si="85"/>
        <v>October</v>
      </c>
      <c r="N1803" s="6">
        <f t="shared" si="86"/>
        <v>2003</v>
      </c>
    </row>
    <row r="1804" spans="1:14">
      <c r="A1804" s="2" t="s">
        <v>99</v>
      </c>
      <c r="B1804" s="3">
        <v>10167</v>
      </c>
      <c r="C1804" s="3">
        <v>20</v>
      </c>
      <c r="D1804" s="13">
        <v>79.66</v>
      </c>
      <c r="E1804" s="5">
        <v>37917</v>
      </c>
      <c r="F1804" s="2" t="s">
        <v>128</v>
      </c>
      <c r="G1804" s="2" t="s">
        <v>202</v>
      </c>
      <c r="H1804" s="3">
        <v>4</v>
      </c>
      <c r="I1804" s="6">
        <v>2003</v>
      </c>
      <c r="J1804" s="2" t="s">
        <v>15</v>
      </c>
      <c r="K1804" s="2" t="s">
        <v>100</v>
      </c>
      <c r="L1804" s="7">
        <f t="shared" si="84"/>
        <v>1593.2</v>
      </c>
      <c r="M1804" s="2" t="str">
        <f t="shared" si="85"/>
        <v>October</v>
      </c>
      <c r="N1804" s="6">
        <f t="shared" si="86"/>
        <v>2003</v>
      </c>
    </row>
    <row r="1805" spans="1:14">
      <c r="A1805" s="2" t="s">
        <v>181</v>
      </c>
      <c r="B1805" s="3">
        <v>10177</v>
      </c>
      <c r="C1805" s="3">
        <v>45</v>
      </c>
      <c r="D1805" s="13">
        <v>72.58</v>
      </c>
      <c r="E1805" s="5">
        <v>37932</v>
      </c>
      <c r="F1805" s="2" t="s">
        <v>13</v>
      </c>
      <c r="G1805" s="2" t="s">
        <v>202</v>
      </c>
      <c r="H1805" s="3">
        <v>4</v>
      </c>
      <c r="I1805" s="6">
        <v>2003</v>
      </c>
      <c r="J1805" s="2" t="s">
        <v>22</v>
      </c>
      <c r="K1805" s="2" t="s">
        <v>182</v>
      </c>
      <c r="L1805" s="7">
        <f t="shared" si="84"/>
        <v>3266.1</v>
      </c>
      <c r="M1805" s="2" t="str">
        <f t="shared" si="85"/>
        <v>November</v>
      </c>
      <c r="N1805" s="6">
        <f t="shared" si="86"/>
        <v>2003</v>
      </c>
    </row>
    <row r="1806" spans="1:14">
      <c r="A1806" s="2" t="s">
        <v>126</v>
      </c>
      <c r="B1806" s="3">
        <v>10185</v>
      </c>
      <c r="C1806" s="3">
        <v>33</v>
      </c>
      <c r="D1806" s="13">
        <v>74.35</v>
      </c>
      <c r="E1806" s="5">
        <v>37939</v>
      </c>
      <c r="F1806" s="2" t="s">
        <v>13</v>
      </c>
      <c r="G1806" s="2" t="s">
        <v>202</v>
      </c>
      <c r="H1806" s="3">
        <v>4</v>
      </c>
      <c r="I1806" s="6">
        <v>2003</v>
      </c>
      <c r="J1806" s="2" t="s">
        <v>15</v>
      </c>
      <c r="K1806" s="2" t="s">
        <v>127</v>
      </c>
      <c r="L1806" s="7">
        <f t="shared" si="84"/>
        <v>2453.55</v>
      </c>
      <c r="M1806" s="2" t="str">
        <f t="shared" si="85"/>
        <v>November</v>
      </c>
      <c r="N1806" s="6">
        <f t="shared" si="86"/>
        <v>2003</v>
      </c>
    </row>
    <row r="1807" spans="1:14">
      <c r="A1807" s="2" t="s">
        <v>133</v>
      </c>
      <c r="B1807" s="3">
        <v>10197</v>
      </c>
      <c r="C1807" s="3">
        <v>47</v>
      </c>
      <c r="D1807" s="13">
        <v>83.2</v>
      </c>
      <c r="E1807" s="5">
        <v>37951</v>
      </c>
      <c r="F1807" s="2" t="s">
        <v>13</v>
      </c>
      <c r="G1807" s="2" t="s">
        <v>202</v>
      </c>
      <c r="H1807" s="3">
        <v>4</v>
      </c>
      <c r="I1807" s="6">
        <v>2003</v>
      </c>
      <c r="J1807" s="2" t="s">
        <v>22</v>
      </c>
      <c r="K1807" s="2" t="s">
        <v>134</v>
      </c>
      <c r="L1807" s="7">
        <f t="shared" si="84"/>
        <v>3910.4</v>
      </c>
      <c r="M1807" s="2" t="str">
        <f t="shared" si="85"/>
        <v>November</v>
      </c>
      <c r="N1807" s="6">
        <f t="shared" si="86"/>
        <v>2003</v>
      </c>
    </row>
    <row r="1808" spans="1:14">
      <c r="A1808" s="2" t="s">
        <v>85</v>
      </c>
      <c r="B1808" s="3">
        <v>10208</v>
      </c>
      <c r="C1808" s="3">
        <v>20</v>
      </c>
      <c r="D1808" s="13">
        <v>89.4</v>
      </c>
      <c r="E1808" s="5">
        <v>37988</v>
      </c>
      <c r="F1808" s="2" t="s">
        <v>13</v>
      </c>
      <c r="G1808" s="2" t="s">
        <v>202</v>
      </c>
      <c r="H1808" s="3">
        <v>1</v>
      </c>
      <c r="I1808" s="6">
        <v>2004</v>
      </c>
      <c r="J1808" s="2" t="s">
        <v>15</v>
      </c>
      <c r="K1808" s="2" t="s">
        <v>86</v>
      </c>
      <c r="L1808" s="7">
        <f t="shared" si="84"/>
        <v>1788</v>
      </c>
      <c r="M1808" s="2" t="str">
        <f t="shared" si="85"/>
        <v>January</v>
      </c>
      <c r="N1808" s="6">
        <f t="shared" si="86"/>
        <v>2004</v>
      </c>
    </row>
    <row r="1809" spans="1:14">
      <c r="A1809" s="2" t="s">
        <v>137</v>
      </c>
      <c r="B1809" s="3">
        <v>10222</v>
      </c>
      <c r="C1809" s="3">
        <v>47</v>
      </c>
      <c r="D1809" s="13">
        <v>70.81</v>
      </c>
      <c r="E1809" s="5">
        <v>38036</v>
      </c>
      <c r="F1809" s="2" t="s">
        <v>13</v>
      </c>
      <c r="G1809" s="2" t="s">
        <v>202</v>
      </c>
      <c r="H1809" s="3">
        <v>1</v>
      </c>
      <c r="I1809" s="6">
        <v>2004</v>
      </c>
      <c r="J1809" s="2" t="s">
        <v>22</v>
      </c>
      <c r="K1809" s="2" t="s">
        <v>138</v>
      </c>
      <c r="L1809" s="7">
        <f t="shared" si="84"/>
        <v>3328.07</v>
      </c>
      <c r="M1809" s="2" t="str">
        <f t="shared" si="85"/>
        <v>February</v>
      </c>
      <c r="N1809" s="6">
        <f t="shared" si="86"/>
        <v>2004</v>
      </c>
    </row>
    <row r="1810" spans="1:14">
      <c r="A1810" s="2" t="s">
        <v>46</v>
      </c>
      <c r="B1810" s="3">
        <v>10233</v>
      </c>
      <c r="C1810" s="3">
        <v>40</v>
      </c>
      <c r="D1810" s="13">
        <v>94.71</v>
      </c>
      <c r="E1810" s="5">
        <v>38075</v>
      </c>
      <c r="F1810" s="2" t="s">
        <v>13</v>
      </c>
      <c r="G1810" s="2" t="s">
        <v>202</v>
      </c>
      <c r="H1810" s="3">
        <v>1</v>
      </c>
      <c r="I1810" s="6">
        <v>2004</v>
      </c>
      <c r="J1810" s="2" t="s">
        <v>22</v>
      </c>
      <c r="K1810" s="2" t="s">
        <v>47</v>
      </c>
      <c r="L1810" s="7">
        <f t="shared" si="84"/>
        <v>3788.4</v>
      </c>
      <c r="M1810" s="2" t="str">
        <f t="shared" si="85"/>
        <v>March</v>
      </c>
      <c r="N1810" s="6">
        <f t="shared" si="86"/>
        <v>2004</v>
      </c>
    </row>
    <row r="1811" spans="1:14">
      <c r="A1811" s="2" t="s">
        <v>12</v>
      </c>
      <c r="B1811" s="3">
        <v>10248</v>
      </c>
      <c r="C1811" s="3">
        <v>30</v>
      </c>
      <c r="D1811" s="13">
        <v>100</v>
      </c>
      <c r="E1811" s="5">
        <v>38114</v>
      </c>
      <c r="F1811" s="2" t="s">
        <v>128</v>
      </c>
      <c r="G1811" s="2" t="s">
        <v>202</v>
      </c>
      <c r="H1811" s="3">
        <v>2</v>
      </c>
      <c r="I1811" s="6">
        <v>2004</v>
      </c>
      <c r="J1811" s="2" t="s">
        <v>22</v>
      </c>
      <c r="K1811" s="2" t="s">
        <v>16</v>
      </c>
      <c r="L1811" s="7">
        <f t="shared" si="84"/>
        <v>3000</v>
      </c>
      <c r="M1811" s="2" t="str">
        <f t="shared" si="85"/>
        <v>May</v>
      </c>
      <c r="N1811" s="6">
        <f t="shared" si="86"/>
        <v>2004</v>
      </c>
    </row>
    <row r="1812" spans="1:14">
      <c r="A1812" s="2" t="s">
        <v>111</v>
      </c>
      <c r="B1812" s="3">
        <v>10261</v>
      </c>
      <c r="C1812" s="3">
        <v>22</v>
      </c>
      <c r="D1812" s="13">
        <v>91.17</v>
      </c>
      <c r="E1812" s="5">
        <v>38155</v>
      </c>
      <c r="F1812" s="2" t="s">
        <v>13</v>
      </c>
      <c r="G1812" s="2" t="s">
        <v>202</v>
      </c>
      <c r="H1812" s="3">
        <v>2</v>
      </c>
      <c r="I1812" s="6">
        <v>2004</v>
      </c>
      <c r="J1812" s="2" t="s">
        <v>15</v>
      </c>
      <c r="K1812" s="2" t="s">
        <v>112</v>
      </c>
      <c r="L1812" s="7">
        <f t="shared" si="84"/>
        <v>2005.74</v>
      </c>
      <c r="M1812" s="2" t="str">
        <f t="shared" si="85"/>
        <v>June</v>
      </c>
      <c r="N1812" s="6">
        <f t="shared" si="86"/>
        <v>2004</v>
      </c>
    </row>
    <row r="1813" spans="1:14">
      <c r="A1813" s="2" t="s">
        <v>139</v>
      </c>
      <c r="B1813" s="3">
        <v>10273</v>
      </c>
      <c r="C1813" s="3">
        <v>27</v>
      </c>
      <c r="D1813" s="13">
        <v>100</v>
      </c>
      <c r="E1813" s="5">
        <v>38189</v>
      </c>
      <c r="F1813" s="2" t="s">
        <v>13</v>
      </c>
      <c r="G1813" s="2" t="s">
        <v>202</v>
      </c>
      <c r="H1813" s="3">
        <v>3</v>
      </c>
      <c r="I1813" s="6">
        <v>2004</v>
      </c>
      <c r="J1813" s="2" t="s">
        <v>15</v>
      </c>
      <c r="K1813" s="2" t="s">
        <v>140</v>
      </c>
      <c r="L1813" s="7">
        <f t="shared" si="84"/>
        <v>2700</v>
      </c>
      <c r="M1813" s="2" t="str">
        <f t="shared" si="85"/>
        <v>July</v>
      </c>
      <c r="N1813" s="6">
        <f t="shared" si="86"/>
        <v>2004</v>
      </c>
    </row>
    <row r="1814" spans="1:14">
      <c r="A1814" s="2" t="s">
        <v>141</v>
      </c>
      <c r="B1814" s="3">
        <v>10283</v>
      </c>
      <c r="C1814" s="3">
        <v>34</v>
      </c>
      <c r="D1814" s="13">
        <v>92.94</v>
      </c>
      <c r="E1814" s="5">
        <v>38219</v>
      </c>
      <c r="F1814" s="2" t="s">
        <v>13</v>
      </c>
      <c r="G1814" s="2" t="s">
        <v>202</v>
      </c>
      <c r="H1814" s="3">
        <v>3</v>
      </c>
      <c r="I1814" s="6">
        <v>2004</v>
      </c>
      <c r="J1814" s="2" t="s">
        <v>22</v>
      </c>
      <c r="K1814" s="2" t="s">
        <v>142</v>
      </c>
      <c r="L1814" s="7">
        <f t="shared" si="84"/>
        <v>3159.96</v>
      </c>
      <c r="M1814" s="2" t="str">
        <f t="shared" si="85"/>
        <v>August</v>
      </c>
      <c r="N1814" s="6">
        <f t="shared" si="86"/>
        <v>2004</v>
      </c>
    </row>
    <row r="1815" spans="1:14">
      <c r="A1815" s="2" t="s">
        <v>143</v>
      </c>
      <c r="B1815" s="3">
        <v>10295</v>
      </c>
      <c r="C1815" s="3">
        <v>46</v>
      </c>
      <c r="D1815" s="13">
        <v>84.97</v>
      </c>
      <c r="E1815" s="5">
        <v>38240</v>
      </c>
      <c r="F1815" s="2" t="s">
        <v>13</v>
      </c>
      <c r="G1815" s="2" t="s">
        <v>202</v>
      </c>
      <c r="H1815" s="3">
        <v>3</v>
      </c>
      <c r="I1815" s="6">
        <v>2004</v>
      </c>
      <c r="J1815" s="2" t="s">
        <v>22</v>
      </c>
      <c r="K1815" s="2" t="s">
        <v>144</v>
      </c>
      <c r="L1815" s="7">
        <f t="shared" si="84"/>
        <v>3908.62</v>
      </c>
      <c r="M1815" s="2" t="str">
        <f t="shared" si="85"/>
        <v>September</v>
      </c>
      <c r="N1815" s="6">
        <f t="shared" si="86"/>
        <v>2004</v>
      </c>
    </row>
    <row r="1816" spans="1:14">
      <c r="A1816" s="2" t="s">
        <v>183</v>
      </c>
      <c r="B1816" s="3">
        <v>10306</v>
      </c>
      <c r="C1816" s="3">
        <v>31</v>
      </c>
      <c r="D1816" s="13">
        <v>84.08</v>
      </c>
      <c r="E1816" s="5">
        <v>38274</v>
      </c>
      <c r="F1816" s="2" t="s">
        <v>13</v>
      </c>
      <c r="G1816" s="2" t="s">
        <v>202</v>
      </c>
      <c r="H1816" s="3">
        <v>4</v>
      </c>
      <c r="I1816" s="6">
        <v>2004</v>
      </c>
      <c r="J1816" s="2" t="s">
        <v>15</v>
      </c>
      <c r="K1816" s="2" t="s">
        <v>184</v>
      </c>
      <c r="L1816" s="7">
        <f t="shared" si="84"/>
        <v>2606.48</v>
      </c>
      <c r="M1816" s="2" t="str">
        <f t="shared" si="85"/>
        <v>October</v>
      </c>
      <c r="N1816" s="6">
        <f t="shared" si="86"/>
        <v>2004</v>
      </c>
    </row>
    <row r="1817" spans="1:14">
      <c r="A1817" s="2" t="s">
        <v>50</v>
      </c>
      <c r="B1817" s="3">
        <v>10315</v>
      </c>
      <c r="C1817" s="3">
        <v>24</v>
      </c>
      <c r="D1817" s="13">
        <v>86.74</v>
      </c>
      <c r="E1817" s="5">
        <v>38289</v>
      </c>
      <c r="F1817" s="2" t="s">
        <v>13</v>
      </c>
      <c r="G1817" s="2" t="s">
        <v>202</v>
      </c>
      <c r="H1817" s="3">
        <v>4</v>
      </c>
      <c r="I1817" s="6">
        <v>2004</v>
      </c>
      <c r="J1817" s="2" t="s">
        <v>15</v>
      </c>
      <c r="K1817" s="2" t="s">
        <v>51</v>
      </c>
      <c r="L1817" s="7">
        <f t="shared" si="84"/>
        <v>2081.76</v>
      </c>
      <c r="M1817" s="2" t="str">
        <f t="shared" si="85"/>
        <v>October</v>
      </c>
      <c r="N1817" s="6">
        <f t="shared" si="86"/>
        <v>2004</v>
      </c>
    </row>
    <row r="1818" spans="1:14">
      <c r="A1818" s="2" t="s">
        <v>73</v>
      </c>
      <c r="B1818" s="3">
        <v>10326</v>
      </c>
      <c r="C1818" s="3">
        <v>41</v>
      </c>
      <c r="D1818" s="13">
        <v>85.85</v>
      </c>
      <c r="E1818" s="5">
        <v>38300</v>
      </c>
      <c r="F1818" s="2" t="s">
        <v>13</v>
      </c>
      <c r="G1818" s="2" t="s">
        <v>202</v>
      </c>
      <c r="H1818" s="3">
        <v>4</v>
      </c>
      <c r="I1818" s="6">
        <v>2004</v>
      </c>
      <c r="J1818" s="2" t="s">
        <v>22</v>
      </c>
      <c r="K1818" s="2" t="s">
        <v>74</v>
      </c>
      <c r="L1818" s="7">
        <f t="shared" si="84"/>
        <v>3519.85</v>
      </c>
      <c r="M1818" s="2" t="str">
        <f t="shared" si="85"/>
        <v>November</v>
      </c>
      <c r="N1818" s="6">
        <f t="shared" si="86"/>
        <v>2004</v>
      </c>
    </row>
    <row r="1819" spans="1:14">
      <c r="A1819" s="2" t="s">
        <v>95</v>
      </c>
      <c r="B1819" s="3">
        <v>10339</v>
      </c>
      <c r="C1819" s="3">
        <v>55</v>
      </c>
      <c r="D1819" s="13">
        <v>100</v>
      </c>
      <c r="E1819" s="5">
        <v>38314</v>
      </c>
      <c r="F1819" s="2" t="s">
        <v>13</v>
      </c>
      <c r="G1819" s="2" t="s">
        <v>202</v>
      </c>
      <c r="H1819" s="3">
        <v>4</v>
      </c>
      <c r="I1819" s="6">
        <v>2004</v>
      </c>
      <c r="J1819" s="2" t="s">
        <v>61</v>
      </c>
      <c r="K1819" s="2" t="s">
        <v>96</v>
      </c>
      <c r="L1819" s="7">
        <f t="shared" si="84"/>
        <v>5500</v>
      </c>
      <c r="M1819" s="2" t="str">
        <f t="shared" si="85"/>
        <v>November</v>
      </c>
      <c r="N1819" s="6">
        <f t="shared" si="86"/>
        <v>2004</v>
      </c>
    </row>
    <row r="1820" spans="1:14">
      <c r="A1820" s="2" t="s">
        <v>147</v>
      </c>
      <c r="B1820" s="3">
        <v>10373</v>
      </c>
      <c r="C1820" s="3">
        <v>33</v>
      </c>
      <c r="D1820" s="13">
        <v>57.32</v>
      </c>
      <c r="E1820" s="5">
        <v>38383</v>
      </c>
      <c r="F1820" s="2" t="s">
        <v>13</v>
      </c>
      <c r="G1820" s="2" t="s">
        <v>202</v>
      </c>
      <c r="H1820" s="3">
        <v>1</v>
      </c>
      <c r="I1820" s="6">
        <v>2005</v>
      </c>
      <c r="J1820" s="2" t="s">
        <v>15</v>
      </c>
      <c r="K1820" s="2" t="s">
        <v>148</v>
      </c>
      <c r="L1820" s="7">
        <f t="shared" si="84"/>
        <v>1891.56</v>
      </c>
      <c r="M1820" s="2" t="str">
        <f t="shared" si="85"/>
        <v>January</v>
      </c>
      <c r="N1820" s="6">
        <f t="shared" si="86"/>
        <v>2005</v>
      </c>
    </row>
    <row r="1821" spans="1:14">
      <c r="A1821" s="2" t="s">
        <v>28</v>
      </c>
      <c r="B1821" s="3">
        <v>10384</v>
      </c>
      <c r="C1821" s="3">
        <v>43</v>
      </c>
      <c r="D1821" s="13">
        <v>97.87</v>
      </c>
      <c r="E1821" s="5">
        <v>38406</v>
      </c>
      <c r="F1821" s="2" t="s">
        <v>13</v>
      </c>
      <c r="G1821" s="2" t="s">
        <v>202</v>
      </c>
      <c r="H1821" s="3">
        <v>1</v>
      </c>
      <c r="I1821" s="6">
        <v>2005</v>
      </c>
      <c r="J1821" s="2" t="s">
        <v>22</v>
      </c>
      <c r="K1821" s="2" t="s">
        <v>29</v>
      </c>
      <c r="L1821" s="7">
        <f t="shared" si="84"/>
        <v>4208.41</v>
      </c>
      <c r="M1821" s="2" t="str">
        <f t="shared" si="85"/>
        <v>February</v>
      </c>
      <c r="N1821" s="6">
        <f t="shared" si="86"/>
        <v>2005</v>
      </c>
    </row>
    <row r="1822" spans="1:14">
      <c r="A1822" s="2" t="s">
        <v>103</v>
      </c>
      <c r="B1822" s="3">
        <v>10396</v>
      </c>
      <c r="C1822" s="3">
        <v>27</v>
      </c>
      <c r="D1822" s="13">
        <v>83.2</v>
      </c>
      <c r="E1822" s="5">
        <v>38434</v>
      </c>
      <c r="F1822" s="2" t="s">
        <v>13</v>
      </c>
      <c r="G1822" s="2" t="s">
        <v>202</v>
      </c>
      <c r="H1822" s="3">
        <v>1</v>
      </c>
      <c r="I1822" s="6">
        <v>2005</v>
      </c>
      <c r="J1822" s="2" t="s">
        <v>15</v>
      </c>
      <c r="K1822" s="2" t="s">
        <v>104</v>
      </c>
      <c r="L1822" s="7">
        <f t="shared" si="84"/>
        <v>2246.4</v>
      </c>
      <c r="M1822" s="2" t="str">
        <f t="shared" si="85"/>
        <v>March</v>
      </c>
      <c r="N1822" s="6">
        <f t="shared" si="86"/>
        <v>2005</v>
      </c>
    </row>
    <row r="1823" spans="1:14">
      <c r="A1823" s="2" t="s">
        <v>143</v>
      </c>
      <c r="B1823" s="3">
        <v>10414</v>
      </c>
      <c r="C1823" s="3">
        <v>60</v>
      </c>
      <c r="D1823" s="13">
        <v>100</v>
      </c>
      <c r="E1823" s="5">
        <v>38478</v>
      </c>
      <c r="F1823" s="2" t="s">
        <v>151</v>
      </c>
      <c r="G1823" s="2" t="s">
        <v>202</v>
      </c>
      <c r="H1823" s="3">
        <v>2</v>
      </c>
      <c r="I1823" s="6">
        <v>2005</v>
      </c>
      <c r="J1823" s="2" t="s">
        <v>22</v>
      </c>
      <c r="K1823" s="2" t="s">
        <v>144</v>
      </c>
      <c r="L1823" s="7">
        <f t="shared" si="84"/>
        <v>6000</v>
      </c>
      <c r="M1823" s="2" t="str">
        <f t="shared" si="85"/>
        <v>May</v>
      </c>
      <c r="N1823" s="6">
        <f t="shared" si="86"/>
        <v>2005</v>
      </c>
    </row>
    <row r="1824" spans="1:14">
      <c r="A1824" s="2" t="s">
        <v>183</v>
      </c>
      <c r="B1824" s="3">
        <v>10110</v>
      </c>
      <c r="C1824" s="3">
        <v>27</v>
      </c>
      <c r="D1824" s="13">
        <v>73.62</v>
      </c>
      <c r="E1824" s="5">
        <v>37698</v>
      </c>
      <c r="F1824" s="2" t="s">
        <v>13</v>
      </c>
      <c r="G1824" s="2" t="s">
        <v>72</v>
      </c>
      <c r="H1824" s="3">
        <v>1</v>
      </c>
      <c r="I1824" s="6">
        <v>2003</v>
      </c>
      <c r="J1824" s="2" t="s">
        <v>15</v>
      </c>
      <c r="K1824" s="2" t="s">
        <v>184</v>
      </c>
      <c r="L1824" s="7">
        <f t="shared" si="84"/>
        <v>1987.74</v>
      </c>
      <c r="M1824" s="2" t="str">
        <f t="shared" si="85"/>
        <v>March</v>
      </c>
      <c r="N1824" s="6">
        <f t="shared" si="86"/>
        <v>2003</v>
      </c>
    </row>
    <row r="1825" spans="1:14">
      <c r="A1825" s="2" t="s">
        <v>198</v>
      </c>
      <c r="B1825" s="3">
        <v>10124</v>
      </c>
      <c r="C1825" s="3">
        <v>49</v>
      </c>
      <c r="D1825" s="13">
        <v>83.04</v>
      </c>
      <c r="E1825" s="5">
        <v>37762</v>
      </c>
      <c r="F1825" s="2" t="s">
        <v>13</v>
      </c>
      <c r="G1825" s="2" t="s">
        <v>72</v>
      </c>
      <c r="H1825" s="3">
        <v>2</v>
      </c>
      <c r="I1825" s="6">
        <v>2003</v>
      </c>
      <c r="J1825" s="2" t="s">
        <v>22</v>
      </c>
      <c r="K1825" s="2" t="s">
        <v>199</v>
      </c>
      <c r="L1825" s="7">
        <f t="shared" si="84"/>
        <v>4068.96</v>
      </c>
      <c r="M1825" s="2" t="str">
        <f t="shared" si="85"/>
        <v>May</v>
      </c>
      <c r="N1825" s="6">
        <f t="shared" si="86"/>
        <v>2003</v>
      </c>
    </row>
    <row r="1826" spans="1:14">
      <c r="A1826" s="2" t="s">
        <v>109</v>
      </c>
      <c r="B1826" s="3">
        <v>10148</v>
      </c>
      <c r="C1826" s="3">
        <v>31</v>
      </c>
      <c r="D1826" s="13">
        <v>73.62</v>
      </c>
      <c r="E1826" s="5">
        <v>37875</v>
      </c>
      <c r="F1826" s="2" t="s">
        <v>13</v>
      </c>
      <c r="G1826" s="2" t="s">
        <v>72</v>
      </c>
      <c r="H1826" s="3">
        <v>3</v>
      </c>
      <c r="I1826" s="6">
        <v>2003</v>
      </c>
      <c r="J1826" s="2" t="s">
        <v>15</v>
      </c>
      <c r="K1826" s="2" t="s">
        <v>110</v>
      </c>
      <c r="L1826" s="7">
        <f t="shared" si="84"/>
        <v>2282.22</v>
      </c>
      <c r="M1826" s="2" t="str">
        <f t="shared" si="85"/>
        <v>September</v>
      </c>
      <c r="N1826" s="6">
        <f t="shared" si="86"/>
        <v>2003</v>
      </c>
    </row>
    <row r="1827" spans="1:14">
      <c r="A1827" s="2" t="s">
        <v>185</v>
      </c>
      <c r="B1827" s="3">
        <v>10161</v>
      </c>
      <c r="C1827" s="3">
        <v>20</v>
      </c>
      <c r="D1827" s="13">
        <v>77.05</v>
      </c>
      <c r="E1827" s="5">
        <v>37911</v>
      </c>
      <c r="F1827" s="2" t="s">
        <v>13</v>
      </c>
      <c r="G1827" s="2" t="s">
        <v>72</v>
      </c>
      <c r="H1827" s="3">
        <v>4</v>
      </c>
      <c r="I1827" s="6">
        <v>2003</v>
      </c>
      <c r="J1827" s="2" t="s">
        <v>15</v>
      </c>
      <c r="K1827" s="2" t="s">
        <v>186</v>
      </c>
      <c r="L1827" s="7">
        <f t="shared" si="84"/>
        <v>1541</v>
      </c>
      <c r="M1827" s="2" t="str">
        <f t="shared" si="85"/>
        <v>October</v>
      </c>
      <c r="N1827" s="6">
        <f t="shared" si="86"/>
        <v>2003</v>
      </c>
    </row>
    <row r="1828" spans="1:14">
      <c r="A1828" s="2" t="s">
        <v>48</v>
      </c>
      <c r="B1828" s="3">
        <v>10172</v>
      </c>
      <c r="C1828" s="3">
        <v>24</v>
      </c>
      <c r="D1828" s="13">
        <v>81.33</v>
      </c>
      <c r="E1828" s="5">
        <v>37930</v>
      </c>
      <c r="F1828" s="2" t="s">
        <v>13</v>
      </c>
      <c r="G1828" s="2" t="s">
        <v>72</v>
      </c>
      <c r="H1828" s="3">
        <v>4</v>
      </c>
      <c r="I1828" s="6">
        <v>2003</v>
      </c>
      <c r="J1828" s="2" t="s">
        <v>15</v>
      </c>
      <c r="K1828" s="2" t="s">
        <v>49</v>
      </c>
      <c r="L1828" s="7">
        <f t="shared" si="84"/>
        <v>1951.92</v>
      </c>
      <c r="M1828" s="2" t="str">
        <f t="shared" si="85"/>
        <v>November</v>
      </c>
      <c r="N1828" s="6">
        <f t="shared" si="86"/>
        <v>2003</v>
      </c>
    </row>
    <row r="1829" spans="1:14">
      <c r="A1829" s="2" t="s">
        <v>103</v>
      </c>
      <c r="B1829" s="3">
        <v>10182</v>
      </c>
      <c r="C1829" s="3">
        <v>33</v>
      </c>
      <c r="D1829" s="13">
        <v>94.17</v>
      </c>
      <c r="E1829" s="5">
        <v>37937</v>
      </c>
      <c r="F1829" s="2" t="s">
        <v>13</v>
      </c>
      <c r="G1829" s="2" t="s">
        <v>72</v>
      </c>
      <c r="H1829" s="3">
        <v>4</v>
      </c>
      <c r="I1829" s="6">
        <v>2003</v>
      </c>
      <c r="J1829" s="2" t="s">
        <v>22</v>
      </c>
      <c r="K1829" s="2" t="s">
        <v>104</v>
      </c>
      <c r="L1829" s="7">
        <f t="shared" si="84"/>
        <v>3107.61</v>
      </c>
      <c r="M1829" s="2" t="str">
        <f t="shared" si="85"/>
        <v>November</v>
      </c>
      <c r="N1829" s="6">
        <f t="shared" si="86"/>
        <v>2003</v>
      </c>
    </row>
    <row r="1830" spans="1:14">
      <c r="A1830" s="2" t="s">
        <v>105</v>
      </c>
      <c r="B1830" s="3">
        <v>10192</v>
      </c>
      <c r="C1830" s="3">
        <v>32</v>
      </c>
      <c r="D1830" s="13">
        <v>72.77</v>
      </c>
      <c r="E1830" s="5">
        <v>37945</v>
      </c>
      <c r="F1830" s="2" t="s">
        <v>13</v>
      </c>
      <c r="G1830" s="2" t="s">
        <v>72</v>
      </c>
      <c r="H1830" s="3">
        <v>4</v>
      </c>
      <c r="I1830" s="6">
        <v>2003</v>
      </c>
      <c r="J1830" s="2" t="s">
        <v>15</v>
      </c>
      <c r="K1830" s="2" t="s">
        <v>106</v>
      </c>
      <c r="L1830" s="7">
        <f t="shared" si="84"/>
        <v>2328.64</v>
      </c>
      <c r="M1830" s="2" t="str">
        <f t="shared" si="85"/>
        <v>November</v>
      </c>
      <c r="N1830" s="6">
        <f t="shared" si="86"/>
        <v>2003</v>
      </c>
    </row>
    <row r="1831" spans="1:14">
      <c r="A1831" s="2" t="s">
        <v>177</v>
      </c>
      <c r="B1831" s="3">
        <v>10204</v>
      </c>
      <c r="C1831" s="3">
        <v>40</v>
      </c>
      <c r="D1831" s="13">
        <v>79.62</v>
      </c>
      <c r="E1831" s="5">
        <v>37957</v>
      </c>
      <c r="F1831" s="2" t="s">
        <v>13</v>
      </c>
      <c r="G1831" s="2" t="s">
        <v>72</v>
      </c>
      <c r="H1831" s="3">
        <v>4</v>
      </c>
      <c r="I1831" s="6">
        <v>2003</v>
      </c>
      <c r="J1831" s="2" t="s">
        <v>22</v>
      </c>
      <c r="K1831" s="2" t="s">
        <v>178</v>
      </c>
      <c r="L1831" s="7">
        <f t="shared" si="84"/>
        <v>3184.8</v>
      </c>
      <c r="M1831" s="2" t="str">
        <f t="shared" si="85"/>
        <v>December</v>
      </c>
      <c r="N1831" s="6">
        <f t="shared" si="86"/>
        <v>2003</v>
      </c>
    </row>
    <row r="1832" spans="1:14">
      <c r="A1832" s="2" t="s">
        <v>69</v>
      </c>
      <c r="B1832" s="3">
        <v>10212</v>
      </c>
      <c r="C1832" s="3">
        <v>27</v>
      </c>
      <c r="D1832" s="13">
        <v>79.62</v>
      </c>
      <c r="E1832" s="5">
        <v>38002</v>
      </c>
      <c r="F1832" s="2" t="s">
        <v>13</v>
      </c>
      <c r="G1832" s="2" t="s">
        <v>72</v>
      </c>
      <c r="H1832" s="3">
        <v>1</v>
      </c>
      <c r="I1832" s="6">
        <v>2004</v>
      </c>
      <c r="J1832" s="2" t="s">
        <v>15</v>
      </c>
      <c r="K1832" s="2" t="s">
        <v>71</v>
      </c>
      <c r="L1832" s="7">
        <f t="shared" si="84"/>
        <v>2149.74</v>
      </c>
      <c r="M1832" s="2" t="str">
        <f t="shared" si="85"/>
        <v>January</v>
      </c>
      <c r="N1832" s="6">
        <f t="shared" si="86"/>
        <v>2004</v>
      </c>
    </row>
    <row r="1833" spans="1:14">
      <c r="A1833" s="2" t="s">
        <v>85</v>
      </c>
      <c r="B1833" s="3">
        <v>10227</v>
      </c>
      <c r="C1833" s="3">
        <v>40</v>
      </c>
      <c r="D1833" s="13">
        <v>79.62</v>
      </c>
      <c r="E1833" s="5">
        <v>38048</v>
      </c>
      <c r="F1833" s="2" t="s">
        <v>13</v>
      </c>
      <c r="G1833" s="2" t="s">
        <v>72</v>
      </c>
      <c r="H1833" s="3">
        <v>1</v>
      </c>
      <c r="I1833" s="6">
        <v>2004</v>
      </c>
      <c r="J1833" s="2" t="s">
        <v>22</v>
      </c>
      <c r="K1833" s="2" t="s">
        <v>86</v>
      </c>
      <c r="L1833" s="7">
        <f t="shared" si="84"/>
        <v>3184.8</v>
      </c>
      <c r="M1833" s="2" t="str">
        <f t="shared" si="85"/>
        <v>March</v>
      </c>
      <c r="N1833" s="6">
        <f t="shared" si="86"/>
        <v>2004</v>
      </c>
    </row>
    <row r="1834" spans="1:14">
      <c r="A1834" s="2" t="s">
        <v>196</v>
      </c>
      <c r="B1834" s="3">
        <v>10241</v>
      </c>
      <c r="C1834" s="3">
        <v>26</v>
      </c>
      <c r="D1834" s="13">
        <v>81.33</v>
      </c>
      <c r="E1834" s="5">
        <v>38090</v>
      </c>
      <c r="F1834" s="2" t="s">
        <v>13</v>
      </c>
      <c r="G1834" s="2" t="s">
        <v>72</v>
      </c>
      <c r="H1834" s="3">
        <v>2</v>
      </c>
      <c r="I1834" s="6">
        <v>2004</v>
      </c>
      <c r="J1834" s="2" t="s">
        <v>15</v>
      </c>
      <c r="K1834" s="2" t="s">
        <v>197</v>
      </c>
      <c r="L1834" s="7">
        <f t="shared" si="84"/>
        <v>2114.58</v>
      </c>
      <c r="M1834" s="2" t="str">
        <f t="shared" si="85"/>
        <v>April</v>
      </c>
      <c r="N1834" s="6">
        <f t="shared" si="86"/>
        <v>2004</v>
      </c>
    </row>
    <row r="1835" spans="1:14">
      <c r="A1835" s="2" t="s">
        <v>177</v>
      </c>
      <c r="B1835" s="3">
        <v>10267</v>
      </c>
      <c r="C1835" s="3">
        <v>44</v>
      </c>
      <c r="D1835" s="13">
        <v>96.74</v>
      </c>
      <c r="E1835" s="5">
        <v>38175</v>
      </c>
      <c r="F1835" s="2" t="s">
        <v>13</v>
      </c>
      <c r="G1835" s="2" t="s">
        <v>72</v>
      </c>
      <c r="H1835" s="3">
        <v>3</v>
      </c>
      <c r="I1835" s="6">
        <v>2004</v>
      </c>
      <c r="J1835" s="2" t="s">
        <v>22</v>
      </c>
      <c r="K1835" s="2" t="s">
        <v>178</v>
      </c>
      <c r="L1835" s="7">
        <f t="shared" si="84"/>
        <v>4256.56</v>
      </c>
      <c r="M1835" s="2" t="str">
        <f t="shared" si="85"/>
        <v>July</v>
      </c>
      <c r="N1835" s="6">
        <f t="shared" si="86"/>
        <v>2004</v>
      </c>
    </row>
    <row r="1836" spans="1:14">
      <c r="A1836" s="2" t="s">
        <v>69</v>
      </c>
      <c r="B1836" s="3">
        <v>10279</v>
      </c>
      <c r="C1836" s="3">
        <v>33</v>
      </c>
      <c r="D1836" s="13">
        <v>71.06</v>
      </c>
      <c r="E1836" s="5">
        <v>38208</v>
      </c>
      <c r="F1836" s="2" t="s">
        <v>13</v>
      </c>
      <c r="G1836" s="2" t="s">
        <v>72</v>
      </c>
      <c r="H1836" s="3">
        <v>3</v>
      </c>
      <c r="I1836" s="6">
        <v>2004</v>
      </c>
      <c r="J1836" s="2" t="s">
        <v>15</v>
      </c>
      <c r="K1836" s="2" t="s">
        <v>71</v>
      </c>
      <c r="L1836" s="7">
        <f t="shared" si="84"/>
        <v>2344.98</v>
      </c>
      <c r="M1836" s="2" t="str">
        <f t="shared" si="85"/>
        <v>August</v>
      </c>
      <c r="N1836" s="6">
        <f t="shared" si="86"/>
        <v>2004</v>
      </c>
    </row>
    <row r="1837" spans="1:14">
      <c r="A1837" s="2" t="s">
        <v>159</v>
      </c>
      <c r="B1837" s="3">
        <v>10288</v>
      </c>
      <c r="C1837" s="3">
        <v>34</v>
      </c>
      <c r="D1837" s="13">
        <v>68.49</v>
      </c>
      <c r="E1837" s="5">
        <v>38231</v>
      </c>
      <c r="F1837" s="2" t="s">
        <v>13</v>
      </c>
      <c r="G1837" s="2" t="s">
        <v>72</v>
      </c>
      <c r="H1837" s="3">
        <v>3</v>
      </c>
      <c r="I1837" s="6">
        <v>2004</v>
      </c>
      <c r="J1837" s="2" t="s">
        <v>15</v>
      </c>
      <c r="K1837" s="2" t="s">
        <v>160</v>
      </c>
      <c r="L1837" s="7">
        <f t="shared" si="84"/>
        <v>2328.66</v>
      </c>
      <c r="M1837" s="2" t="str">
        <f t="shared" si="85"/>
        <v>September</v>
      </c>
      <c r="N1837" s="6">
        <f t="shared" si="86"/>
        <v>2004</v>
      </c>
    </row>
    <row r="1838" spans="1:14">
      <c r="A1838" s="2" t="s">
        <v>67</v>
      </c>
      <c r="B1838" s="3">
        <v>10302</v>
      </c>
      <c r="C1838" s="3">
        <v>48</v>
      </c>
      <c r="D1838" s="13">
        <v>74.48</v>
      </c>
      <c r="E1838" s="5">
        <v>37900</v>
      </c>
      <c r="F1838" s="2" t="s">
        <v>13</v>
      </c>
      <c r="G1838" s="2" t="s">
        <v>72</v>
      </c>
      <c r="H1838" s="3">
        <v>4</v>
      </c>
      <c r="I1838" s="6">
        <v>2003</v>
      </c>
      <c r="J1838" s="2" t="s">
        <v>22</v>
      </c>
      <c r="K1838" s="2" t="s">
        <v>68</v>
      </c>
      <c r="L1838" s="7">
        <f t="shared" si="84"/>
        <v>3575.04</v>
      </c>
      <c r="M1838" s="2" t="str">
        <f t="shared" si="85"/>
        <v>October</v>
      </c>
      <c r="N1838" s="6">
        <f t="shared" si="86"/>
        <v>2003</v>
      </c>
    </row>
    <row r="1839" spans="1:14">
      <c r="A1839" s="2" t="s">
        <v>69</v>
      </c>
      <c r="B1839" s="3">
        <v>10311</v>
      </c>
      <c r="C1839" s="3">
        <v>25</v>
      </c>
      <c r="D1839" s="13">
        <v>83.04</v>
      </c>
      <c r="E1839" s="5">
        <v>38276</v>
      </c>
      <c r="F1839" s="2" t="s">
        <v>13</v>
      </c>
      <c r="G1839" s="2" t="s">
        <v>72</v>
      </c>
      <c r="H1839" s="3">
        <v>4</v>
      </c>
      <c r="I1839" s="6">
        <v>2004</v>
      </c>
      <c r="J1839" s="2" t="s">
        <v>15</v>
      </c>
      <c r="K1839" s="2" t="s">
        <v>71</v>
      </c>
      <c r="L1839" s="7">
        <f t="shared" si="84"/>
        <v>2076</v>
      </c>
      <c r="M1839" s="2" t="str">
        <f t="shared" si="85"/>
        <v>October</v>
      </c>
      <c r="N1839" s="6">
        <f t="shared" si="86"/>
        <v>2004</v>
      </c>
    </row>
    <row r="1840" spans="1:14">
      <c r="A1840" s="2" t="s">
        <v>65</v>
      </c>
      <c r="B1840" s="3">
        <v>10321</v>
      </c>
      <c r="C1840" s="3">
        <v>39</v>
      </c>
      <c r="D1840" s="13">
        <v>84.75</v>
      </c>
      <c r="E1840" s="5">
        <v>38295</v>
      </c>
      <c r="F1840" s="2" t="s">
        <v>13</v>
      </c>
      <c r="G1840" s="2" t="s">
        <v>72</v>
      </c>
      <c r="H1840" s="3">
        <v>4</v>
      </c>
      <c r="I1840" s="6">
        <v>2004</v>
      </c>
      <c r="J1840" s="2" t="s">
        <v>22</v>
      </c>
      <c r="K1840" s="2" t="s">
        <v>66</v>
      </c>
      <c r="L1840" s="7">
        <f t="shared" si="84"/>
        <v>3305.25</v>
      </c>
      <c r="M1840" s="2" t="str">
        <f t="shared" si="85"/>
        <v>November</v>
      </c>
      <c r="N1840" s="6">
        <f t="shared" si="86"/>
        <v>2004</v>
      </c>
    </row>
    <row r="1841" spans="1:14">
      <c r="A1841" s="2" t="s">
        <v>183</v>
      </c>
      <c r="B1841" s="3">
        <v>10332</v>
      </c>
      <c r="C1841" s="3">
        <v>45</v>
      </c>
      <c r="D1841" s="13">
        <v>34.19</v>
      </c>
      <c r="E1841" s="5">
        <v>38308</v>
      </c>
      <c r="F1841" s="2" t="s">
        <v>13</v>
      </c>
      <c r="G1841" s="2" t="s">
        <v>72</v>
      </c>
      <c r="H1841" s="3">
        <v>4</v>
      </c>
      <c r="I1841" s="6">
        <v>2004</v>
      </c>
      <c r="J1841" s="2" t="s">
        <v>15</v>
      </c>
      <c r="K1841" s="2" t="s">
        <v>184</v>
      </c>
      <c r="L1841" s="7">
        <f t="shared" si="84"/>
        <v>1538.55</v>
      </c>
      <c r="M1841" s="2" t="str">
        <f t="shared" si="85"/>
        <v>November</v>
      </c>
      <c r="N1841" s="6">
        <f t="shared" si="86"/>
        <v>2004</v>
      </c>
    </row>
    <row r="1842" spans="1:14">
      <c r="A1842" s="2" t="s">
        <v>198</v>
      </c>
      <c r="B1842" s="3">
        <v>10346</v>
      </c>
      <c r="C1842" s="3">
        <v>24</v>
      </c>
      <c r="D1842" s="13">
        <v>100</v>
      </c>
      <c r="E1842" s="5">
        <v>38320</v>
      </c>
      <c r="F1842" s="2" t="s">
        <v>13</v>
      </c>
      <c r="G1842" s="2" t="s">
        <v>72</v>
      </c>
      <c r="H1842" s="3">
        <v>4</v>
      </c>
      <c r="I1842" s="6">
        <v>2004</v>
      </c>
      <c r="J1842" s="2" t="s">
        <v>22</v>
      </c>
      <c r="K1842" s="2" t="s">
        <v>199</v>
      </c>
      <c r="L1842" s="7">
        <f t="shared" si="84"/>
        <v>2400</v>
      </c>
      <c r="M1842" s="2" t="str">
        <f t="shared" si="85"/>
        <v>November</v>
      </c>
      <c r="N1842" s="6">
        <f t="shared" si="86"/>
        <v>2004</v>
      </c>
    </row>
    <row r="1843" spans="1:14">
      <c r="A1843" s="2" t="s">
        <v>103</v>
      </c>
      <c r="B1843" s="3">
        <v>10368</v>
      </c>
      <c r="C1843" s="3">
        <v>46</v>
      </c>
      <c r="D1843" s="13">
        <v>79.62</v>
      </c>
      <c r="E1843" s="5">
        <v>38371</v>
      </c>
      <c r="F1843" s="2" t="s">
        <v>13</v>
      </c>
      <c r="G1843" s="2" t="s">
        <v>72</v>
      </c>
      <c r="H1843" s="3">
        <v>1</v>
      </c>
      <c r="I1843" s="6">
        <v>2005</v>
      </c>
      <c r="J1843" s="2" t="s">
        <v>22</v>
      </c>
      <c r="K1843" s="2" t="s">
        <v>104</v>
      </c>
      <c r="L1843" s="7">
        <f t="shared" si="84"/>
        <v>3662.52</v>
      </c>
      <c r="M1843" s="2" t="str">
        <f t="shared" si="85"/>
        <v>January</v>
      </c>
      <c r="N1843" s="6">
        <f t="shared" si="86"/>
        <v>2005</v>
      </c>
    </row>
    <row r="1844" spans="1:14">
      <c r="A1844" s="2" t="s">
        <v>69</v>
      </c>
      <c r="B1844" s="3">
        <v>10380</v>
      </c>
      <c r="C1844" s="3">
        <v>44</v>
      </c>
      <c r="D1844" s="13">
        <v>79.06</v>
      </c>
      <c r="E1844" s="5">
        <v>38399</v>
      </c>
      <c r="F1844" s="2" t="s">
        <v>13</v>
      </c>
      <c r="G1844" s="2" t="s">
        <v>72</v>
      </c>
      <c r="H1844" s="3">
        <v>1</v>
      </c>
      <c r="I1844" s="6">
        <v>2005</v>
      </c>
      <c r="J1844" s="2" t="s">
        <v>22</v>
      </c>
      <c r="K1844" s="2" t="s">
        <v>71</v>
      </c>
      <c r="L1844" s="7">
        <f t="shared" si="84"/>
        <v>3478.64</v>
      </c>
      <c r="M1844" s="2" t="str">
        <f t="shared" si="85"/>
        <v>February</v>
      </c>
      <c r="N1844" s="6">
        <f t="shared" si="86"/>
        <v>2005</v>
      </c>
    </row>
    <row r="1845" spans="1:14">
      <c r="A1845" s="2" t="s">
        <v>149</v>
      </c>
      <c r="B1845" s="3">
        <v>10407</v>
      </c>
      <c r="C1845" s="3">
        <v>13</v>
      </c>
      <c r="D1845" s="13">
        <v>81.33</v>
      </c>
      <c r="E1845" s="5">
        <v>38464</v>
      </c>
      <c r="F1845" s="2" t="s">
        <v>151</v>
      </c>
      <c r="G1845" s="2" t="s">
        <v>72</v>
      </c>
      <c r="H1845" s="3">
        <v>2</v>
      </c>
      <c r="I1845" s="6">
        <v>2005</v>
      </c>
      <c r="J1845" s="2" t="s">
        <v>15</v>
      </c>
      <c r="K1845" s="2" t="s">
        <v>150</v>
      </c>
      <c r="L1845" s="7">
        <f t="shared" si="84"/>
        <v>1057.29</v>
      </c>
      <c r="M1845" s="2" t="str">
        <f t="shared" si="85"/>
        <v>April</v>
      </c>
      <c r="N1845" s="6">
        <f t="shared" si="86"/>
        <v>2005</v>
      </c>
    </row>
    <row r="1846" spans="1:14">
      <c r="A1846" s="2" t="s">
        <v>63</v>
      </c>
      <c r="B1846" s="3">
        <v>10420</v>
      </c>
      <c r="C1846" s="3">
        <v>35</v>
      </c>
      <c r="D1846" s="13">
        <v>96.74</v>
      </c>
      <c r="E1846" s="5">
        <v>38501</v>
      </c>
      <c r="F1846" s="2" t="s">
        <v>113</v>
      </c>
      <c r="G1846" s="2" t="s">
        <v>72</v>
      </c>
      <c r="H1846" s="3">
        <v>2</v>
      </c>
      <c r="I1846" s="6">
        <v>2005</v>
      </c>
      <c r="J1846" s="2" t="s">
        <v>22</v>
      </c>
      <c r="K1846" s="2" t="s">
        <v>64</v>
      </c>
      <c r="L1846" s="7">
        <f t="shared" si="84"/>
        <v>3385.9</v>
      </c>
      <c r="M1846" s="2" t="str">
        <f t="shared" si="85"/>
        <v>May</v>
      </c>
      <c r="N1846" s="6">
        <f t="shared" si="86"/>
        <v>2005</v>
      </c>
    </row>
    <row r="1847" spans="1:14">
      <c r="A1847" s="2" t="s">
        <v>161</v>
      </c>
      <c r="B1847" s="3">
        <v>10108</v>
      </c>
      <c r="C1847" s="3">
        <v>30</v>
      </c>
      <c r="D1847" s="13">
        <v>63.07</v>
      </c>
      <c r="E1847" s="5">
        <v>37683</v>
      </c>
      <c r="F1847" s="2" t="s">
        <v>13</v>
      </c>
      <c r="G1847" s="2" t="s">
        <v>72</v>
      </c>
      <c r="H1847" s="3">
        <v>1</v>
      </c>
      <c r="I1847" s="6">
        <v>2003</v>
      </c>
      <c r="J1847" s="2" t="s">
        <v>15</v>
      </c>
      <c r="K1847" s="2" t="s">
        <v>162</v>
      </c>
      <c r="L1847" s="7">
        <f t="shared" si="84"/>
        <v>1892.1</v>
      </c>
      <c r="M1847" s="2" t="str">
        <f t="shared" si="85"/>
        <v>March</v>
      </c>
      <c r="N1847" s="6">
        <f t="shared" si="86"/>
        <v>2003</v>
      </c>
    </row>
    <row r="1848" spans="1:14">
      <c r="A1848" s="2" t="s">
        <v>163</v>
      </c>
      <c r="B1848" s="3">
        <v>10122</v>
      </c>
      <c r="C1848" s="3">
        <v>34</v>
      </c>
      <c r="D1848" s="13">
        <v>50.21</v>
      </c>
      <c r="E1848" s="5">
        <v>37749</v>
      </c>
      <c r="F1848" s="2" t="s">
        <v>13</v>
      </c>
      <c r="G1848" s="2" t="s">
        <v>72</v>
      </c>
      <c r="H1848" s="3">
        <v>2</v>
      </c>
      <c r="I1848" s="6">
        <v>2003</v>
      </c>
      <c r="J1848" s="2" t="s">
        <v>15</v>
      </c>
      <c r="K1848" s="2" t="s">
        <v>164</v>
      </c>
      <c r="L1848" s="7">
        <f t="shared" si="84"/>
        <v>1707.14</v>
      </c>
      <c r="M1848" s="2" t="str">
        <f t="shared" si="85"/>
        <v>May</v>
      </c>
      <c r="N1848" s="6">
        <f t="shared" si="86"/>
        <v>2003</v>
      </c>
    </row>
    <row r="1849" spans="1:14">
      <c r="A1849" s="2" t="s">
        <v>103</v>
      </c>
      <c r="B1849" s="3">
        <v>10135</v>
      </c>
      <c r="C1849" s="3">
        <v>27</v>
      </c>
      <c r="D1849" s="13">
        <v>66.13</v>
      </c>
      <c r="E1849" s="5">
        <v>37804</v>
      </c>
      <c r="F1849" s="2" t="s">
        <v>13</v>
      </c>
      <c r="G1849" s="2" t="s">
        <v>72</v>
      </c>
      <c r="H1849" s="3">
        <v>3</v>
      </c>
      <c r="I1849" s="6">
        <v>2003</v>
      </c>
      <c r="J1849" s="2" t="s">
        <v>15</v>
      </c>
      <c r="K1849" s="2" t="s">
        <v>104</v>
      </c>
      <c r="L1849" s="7">
        <f t="shared" si="84"/>
        <v>1785.51</v>
      </c>
      <c r="M1849" s="2" t="str">
        <f t="shared" si="85"/>
        <v>July</v>
      </c>
      <c r="N1849" s="6">
        <f t="shared" si="86"/>
        <v>2003</v>
      </c>
    </row>
    <row r="1850" spans="1:14">
      <c r="A1850" s="2" t="s">
        <v>107</v>
      </c>
      <c r="B1850" s="3">
        <v>10147</v>
      </c>
      <c r="C1850" s="3">
        <v>30</v>
      </c>
      <c r="D1850" s="13">
        <v>68.58</v>
      </c>
      <c r="E1850" s="5">
        <v>37869</v>
      </c>
      <c r="F1850" s="2" t="s">
        <v>13</v>
      </c>
      <c r="G1850" s="2" t="s">
        <v>72</v>
      </c>
      <c r="H1850" s="3">
        <v>3</v>
      </c>
      <c r="I1850" s="6">
        <v>2003</v>
      </c>
      <c r="J1850" s="2" t="s">
        <v>15</v>
      </c>
      <c r="K1850" s="2" t="s">
        <v>108</v>
      </c>
      <c r="L1850" s="7">
        <f t="shared" si="84"/>
        <v>2057.4</v>
      </c>
      <c r="M1850" s="2" t="str">
        <f t="shared" si="85"/>
        <v>September</v>
      </c>
      <c r="N1850" s="6">
        <f t="shared" si="86"/>
        <v>2003</v>
      </c>
    </row>
    <row r="1851" spans="1:14">
      <c r="A1851" s="2" t="s">
        <v>28</v>
      </c>
      <c r="B1851" s="3">
        <v>10159</v>
      </c>
      <c r="C1851" s="3">
        <v>50</v>
      </c>
      <c r="D1851" s="13">
        <v>69.8</v>
      </c>
      <c r="E1851" s="5">
        <v>37904</v>
      </c>
      <c r="F1851" s="2" t="s">
        <v>13</v>
      </c>
      <c r="G1851" s="2" t="s">
        <v>72</v>
      </c>
      <c r="H1851" s="3">
        <v>4</v>
      </c>
      <c r="I1851" s="6">
        <v>2003</v>
      </c>
      <c r="J1851" s="2" t="s">
        <v>22</v>
      </c>
      <c r="K1851" s="2" t="s">
        <v>29</v>
      </c>
      <c r="L1851" s="7">
        <f t="shared" si="84"/>
        <v>3490</v>
      </c>
      <c r="M1851" s="2" t="str">
        <f t="shared" si="85"/>
        <v>October</v>
      </c>
      <c r="N1851" s="6">
        <f t="shared" si="86"/>
        <v>2003</v>
      </c>
    </row>
    <row r="1852" spans="1:14">
      <c r="A1852" s="2" t="s">
        <v>109</v>
      </c>
      <c r="B1852" s="3">
        <v>10169</v>
      </c>
      <c r="C1852" s="3">
        <v>34</v>
      </c>
      <c r="D1852" s="13">
        <v>50.21</v>
      </c>
      <c r="E1852" s="5">
        <v>37929</v>
      </c>
      <c r="F1852" s="2" t="s">
        <v>13</v>
      </c>
      <c r="G1852" s="2" t="s">
        <v>72</v>
      </c>
      <c r="H1852" s="3">
        <v>4</v>
      </c>
      <c r="I1852" s="6">
        <v>2003</v>
      </c>
      <c r="J1852" s="2" t="s">
        <v>15</v>
      </c>
      <c r="K1852" s="2" t="s">
        <v>110</v>
      </c>
      <c r="L1852" s="7">
        <f t="shared" si="84"/>
        <v>1707.14</v>
      </c>
      <c r="M1852" s="2" t="str">
        <f t="shared" si="85"/>
        <v>November</v>
      </c>
      <c r="N1852" s="6">
        <f t="shared" si="86"/>
        <v>2003</v>
      </c>
    </row>
    <row r="1853" spans="1:14">
      <c r="A1853" s="2" t="s">
        <v>36</v>
      </c>
      <c r="B1853" s="3">
        <v>10181</v>
      </c>
      <c r="C1853" s="3">
        <v>23</v>
      </c>
      <c r="D1853" s="13">
        <v>65.52</v>
      </c>
      <c r="E1853" s="5">
        <v>37937</v>
      </c>
      <c r="F1853" s="2" t="s">
        <v>13</v>
      </c>
      <c r="G1853" s="2" t="s">
        <v>72</v>
      </c>
      <c r="H1853" s="3">
        <v>4</v>
      </c>
      <c r="I1853" s="6">
        <v>2003</v>
      </c>
      <c r="J1853" s="2" t="s">
        <v>15</v>
      </c>
      <c r="K1853" s="2" t="s">
        <v>37</v>
      </c>
      <c r="L1853" s="7">
        <f t="shared" si="84"/>
        <v>1506.96</v>
      </c>
      <c r="M1853" s="2" t="str">
        <f t="shared" si="85"/>
        <v>November</v>
      </c>
      <c r="N1853" s="6">
        <f t="shared" si="86"/>
        <v>2003</v>
      </c>
    </row>
    <row r="1854" spans="1:14">
      <c r="A1854" s="2" t="s">
        <v>165</v>
      </c>
      <c r="B1854" s="3">
        <v>10191</v>
      </c>
      <c r="C1854" s="3">
        <v>48</v>
      </c>
      <c r="D1854" s="13">
        <v>60.01</v>
      </c>
      <c r="E1854" s="5">
        <v>37945</v>
      </c>
      <c r="F1854" s="2" t="s">
        <v>13</v>
      </c>
      <c r="G1854" s="2" t="s">
        <v>72</v>
      </c>
      <c r="H1854" s="3">
        <v>4</v>
      </c>
      <c r="I1854" s="6">
        <v>2003</v>
      </c>
      <c r="J1854" s="2" t="s">
        <v>15</v>
      </c>
      <c r="K1854" s="2" t="s">
        <v>166</v>
      </c>
      <c r="L1854" s="7">
        <f t="shared" si="84"/>
        <v>2880.48</v>
      </c>
      <c r="M1854" s="2" t="str">
        <f t="shared" si="85"/>
        <v>November</v>
      </c>
      <c r="N1854" s="6">
        <f t="shared" si="86"/>
        <v>2003</v>
      </c>
    </row>
    <row r="1855" spans="1:14">
      <c r="A1855" s="2" t="s">
        <v>69</v>
      </c>
      <c r="B1855" s="3">
        <v>10203</v>
      </c>
      <c r="C1855" s="3">
        <v>34</v>
      </c>
      <c r="D1855" s="13">
        <v>64.9</v>
      </c>
      <c r="E1855" s="5">
        <v>37957</v>
      </c>
      <c r="F1855" s="2" t="s">
        <v>13</v>
      </c>
      <c r="G1855" s="2" t="s">
        <v>72</v>
      </c>
      <c r="H1855" s="3">
        <v>4</v>
      </c>
      <c r="I1855" s="6">
        <v>2003</v>
      </c>
      <c r="J1855" s="2" t="s">
        <v>15</v>
      </c>
      <c r="K1855" s="2" t="s">
        <v>71</v>
      </c>
      <c r="L1855" s="7">
        <f t="shared" si="84"/>
        <v>2206.6</v>
      </c>
      <c r="M1855" s="2" t="str">
        <f t="shared" si="85"/>
        <v>December</v>
      </c>
      <c r="N1855" s="6">
        <f t="shared" si="86"/>
        <v>2003</v>
      </c>
    </row>
    <row r="1856" spans="1:14">
      <c r="A1856" s="2" t="s">
        <v>40</v>
      </c>
      <c r="B1856" s="3">
        <v>10211</v>
      </c>
      <c r="C1856" s="3">
        <v>48</v>
      </c>
      <c r="D1856" s="13">
        <v>48.98</v>
      </c>
      <c r="E1856" s="5">
        <v>38001</v>
      </c>
      <c r="F1856" s="2" t="s">
        <v>13</v>
      </c>
      <c r="G1856" s="2" t="s">
        <v>72</v>
      </c>
      <c r="H1856" s="3">
        <v>1</v>
      </c>
      <c r="I1856" s="6">
        <v>2004</v>
      </c>
      <c r="J1856" s="2" t="s">
        <v>15</v>
      </c>
      <c r="K1856" s="2" t="s">
        <v>41</v>
      </c>
      <c r="L1856" s="7">
        <f t="shared" si="84"/>
        <v>2351.04</v>
      </c>
      <c r="M1856" s="2" t="str">
        <f t="shared" si="85"/>
        <v>January</v>
      </c>
      <c r="N1856" s="6">
        <f t="shared" si="86"/>
        <v>2004</v>
      </c>
    </row>
    <row r="1857" spans="1:14">
      <c r="A1857" s="2" t="s">
        <v>167</v>
      </c>
      <c r="B1857" s="3">
        <v>10225</v>
      </c>
      <c r="C1857" s="3">
        <v>24</v>
      </c>
      <c r="D1857" s="13">
        <v>50.21</v>
      </c>
      <c r="E1857" s="5">
        <v>38039</v>
      </c>
      <c r="F1857" s="2" t="s">
        <v>13</v>
      </c>
      <c r="G1857" s="2" t="s">
        <v>72</v>
      </c>
      <c r="H1857" s="3">
        <v>1</v>
      </c>
      <c r="I1857" s="6">
        <v>2004</v>
      </c>
      <c r="J1857" s="2" t="s">
        <v>15</v>
      </c>
      <c r="K1857" s="2" t="s">
        <v>168</v>
      </c>
      <c r="L1857" s="7">
        <f t="shared" si="84"/>
        <v>1205.04</v>
      </c>
      <c r="M1857" s="2" t="str">
        <f t="shared" si="85"/>
        <v>February</v>
      </c>
      <c r="N1857" s="6">
        <f t="shared" si="86"/>
        <v>2004</v>
      </c>
    </row>
    <row r="1858" spans="1:14">
      <c r="A1858" s="2" t="s">
        <v>122</v>
      </c>
      <c r="B1858" s="3">
        <v>10238</v>
      </c>
      <c r="C1858" s="3">
        <v>47</v>
      </c>
      <c r="D1858" s="13">
        <v>62.45</v>
      </c>
      <c r="E1858" s="5">
        <v>38086</v>
      </c>
      <c r="F1858" s="2" t="s">
        <v>13</v>
      </c>
      <c r="G1858" s="2" t="s">
        <v>72</v>
      </c>
      <c r="H1858" s="3">
        <v>2</v>
      </c>
      <c r="I1858" s="6">
        <v>2004</v>
      </c>
      <c r="J1858" s="2" t="s">
        <v>15</v>
      </c>
      <c r="K1858" s="2" t="s">
        <v>123</v>
      </c>
      <c r="L1858" s="7">
        <f t="shared" ref="L1858:L1921" si="87">PRODUCT(C1858,D1858)</f>
        <v>2935.15</v>
      </c>
      <c r="M1858" s="2" t="str">
        <f t="shared" ref="M1858:M1921" si="88">TEXT(E1858,"MMMM")</f>
        <v>April</v>
      </c>
      <c r="N1858" s="6">
        <f t="shared" ref="N1858:N1921" si="89">YEAR(E1858)</f>
        <v>2004</v>
      </c>
    </row>
    <row r="1859" spans="1:14">
      <c r="A1859" s="2" t="s">
        <v>67</v>
      </c>
      <c r="B1859" s="3">
        <v>10253</v>
      </c>
      <c r="C1859" s="3">
        <v>24</v>
      </c>
      <c r="D1859" s="13">
        <v>52.66</v>
      </c>
      <c r="E1859" s="5">
        <v>38139</v>
      </c>
      <c r="F1859" s="2" t="s">
        <v>128</v>
      </c>
      <c r="G1859" s="2" t="s">
        <v>72</v>
      </c>
      <c r="H1859" s="3">
        <v>2</v>
      </c>
      <c r="I1859" s="6">
        <v>2004</v>
      </c>
      <c r="J1859" s="2" t="s">
        <v>15</v>
      </c>
      <c r="K1859" s="2" t="s">
        <v>68</v>
      </c>
      <c r="L1859" s="7">
        <f t="shared" si="87"/>
        <v>1263.84</v>
      </c>
      <c r="M1859" s="2" t="str">
        <f t="shared" si="88"/>
        <v>June</v>
      </c>
      <c r="N1859" s="6">
        <f t="shared" si="89"/>
        <v>2004</v>
      </c>
    </row>
    <row r="1860" spans="1:14">
      <c r="A1860" s="2" t="s">
        <v>169</v>
      </c>
      <c r="B1860" s="3">
        <v>10266</v>
      </c>
      <c r="C1860" s="3">
        <v>47</v>
      </c>
      <c r="D1860" s="13">
        <v>62.45</v>
      </c>
      <c r="E1860" s="5">
        <v>38174</v>
      </c>
      <c r="F1860" s="2" t="s">
        <v>13</v>
      </c>
      <c r="G1860" s="2" t="s">
        <v>72</v>
      </c>
      <c r="H1860" s="3">
        <v>3</v>
      </c>
      <c r="I1860" s="6">
        <v>2004</v>
      </c>
      <c r="J1860" s="2" t="s">
        <v>15</v>
      </c>
      <c r="K1860" s="2" t="s">
        <v>170</v>
      </c>
      <c r="L1860" s="7">
        <f t="shared" si="87"/>
        <v>2935.15</v>
      </c>
      <c r="M1860" s="2" t="str">
        <f t="shared" si="88"/>
        <v>July</v>
      </c>
      <c r="N1860" s="6">
        <f t="shared" si="89"/>
        <v>2004</v>
      </c>
    </row>
    <row r="1861" spans="1:14">
      <c r="A1861" s="2" t="s">
        <v>171</v>
      </c>
      <c r="B1861" s="3">
        <v>10276</v>
      </c>
      <c r="C1861" s="3">
        <v>20</v>
      </c>
      <c r="D1861" s="13">
        <v>61.23</v>
      </c>
      <c r="E1861" s="5">
        <v>38201</v>
      </c>
      <c r="F1861" s="2" t="s">
        <v>13</v>
      </c>
      <c r="G1861" s="2" t="s">
        <v>72</v>
      </c>
      <c r="H1861" s="3">
        <v>3</v>
      </c>
      <c r="I1861" s="6">
        <v>2004</v>
      </c>
      <c r="J1861" s="2" t="s">
        <v>15</v>
      </c>
      <c r="K1861" s="2" t="s">
        <v>172</v>
      </c>
      <c r="L1861" s="7">
        <f t="shared" si="87"/>
        <v>1224.6</v>
      </c>
      <c r="M1861" s="2" t="str">
        <f t="shared" si="88"/>
        <v>August</v>
      </c>
      <c r="N1861" s="6">
        <f t="shared" si="89"/>
        <v>2004</v>
      </c>
    </row>
    <row r="1862" spans="1:14">
      <c r="A1862" s="2" t="s">
        <v>167</v>
      </c>
      <c r="B1862" s="3">
        <v>10287</v>
      </c>
      <c r="C1862" s="3">
        <v>20</v>
      </c>
      <c r="D1862" s="13">
        <v>67.97</v>
      </c>
      <c r="E1862" s="5">
        <v>38229</v>
      </c>
      <c r="F1862" s="2" t="s">
        <v>13</v>
      </c>
      <c r="G1862" s="2" t="s">
        <v>72</v>
      </c>
      <c r="H1862" s="3">
        <v>3</v>
      </c>
      <c r="I1862" s="6">
        <v>2004</v>
      </c>
      <c r="J1862" s="2" t="s">
        <v>15</v>
      </c>
      <c r="K1862" s="2" t="s">
        <v>168</v>
      </c>
      <c r="L1862" s="7">
        <f t="shared" si="87"/>
        <v>1359.4</v>
      </c>
      <c r="M1862" s="2" t="str">
        <f t="shared" si="88"/>
        <v>August</v>
      </c>
      <c r="N1862" s="6">
        <f t="shared" si="89"/>
        <v>2004</v>
      </c>
    </row>
    <row r="1863" spans="1:14">
      <c r="A1863" s="2" t="s">
        <v>173</v>
      </c>
      <c r="B1863" s="3">
        <v>10300</v>
      </c>
      <c r="C1863" s="3">
        <v>31</v>
      </c>
      <c r="D1863" s="13">
        <v>58.78</v>
      </c>
      <c r="E1863" s="5">
        <v>37898</v>
      </c>
      <c r="F1863" s="2" t="s">
        <v>13</v>
      </c>
      <c r="G1863" s="2" t="s">
        <v>72</v>
      </c>
      <c r="H1863" s="3">
        <v>4</v>
      </c>
      <c r="I1863" s="6">
        <v>2003</v>
      </c>
      <c r="J1863" s="2" t="s">
        <v>15</v>
      </c>
      <c r="K1863" s="2" t="s">
        <v>174</v>
      </c>
      <c r="L1863" s="7">
        <f t="shared" si="87"/>
        <v>1822.18</v>
      </c>
      <c r="M1863" s="2" t="str">
        <f t="shared" si="88"/>
        <v>October</v>
      </c>
      <c r="N1863" s="6">
        <f t="shared" si="89"/>
        <v>2003</v>
      </c>
    </row>
    <row r="1864" spans="1:14">
      <c r="A1864" s="2" t="s">
        <v>165</v>
      </c>
      <c r="B1864" s="3">
        <v>10310</v>
      </c>
      <c r="C1864" s="3">
        <v>38</v>
      </c>
      <c r="D1864" s="13">
        <v>56.94</v>
      </c>
      <c r="E1864" s="5">
        <v>38276</v>
      </c>
      <c r="F1864" s="2" t="s">
        <v>13</v>
      </c>
      <c r="G1864" s="2" t="s">
        <v>72</v>
      </c>
      <c r="H1864" s="3">
        <v>4</v>
      </c>
      <c r="I1864" s="6">
        <v>2004</v>
      </c>
      <c r="J1864" s="2" t="s">
        <v>15</v>
      </c>
      <c r="K1864" s="2" t="s">
        <v>166</v>
      </c>
      <c r="L1864" s="7">
        <f t="shared" si="87"/>
        <v>2163.72</v>
      </c>
      <c r="M1864" s="2" t="str">
        <f t="shared" si="88"/>
        <v>October</v>
      </c>
      <c r="N1864" s="6">
        <f t="shared" si="89"/>
        <v>2004</v>
      </c>
    </row>
    <row r="1865" spans="1:14">
      <c r="A1865" s="2" t="s">
        <v>73</v>
      </c>
      <c r="B1865" s="3">
        <v>10320</v>
      </c>
      <c r="C1865" s="3">
        <v>26</v>
      </c>
      <c r="D1865" s="13">
        <v>61.23</v>
      </c>
      <c r="E1865" s="5">
        <v>38294</v>
      </c>
      <c r="F1865" s="2" t="s">
        <v>13</v>
      </c>
      <c r="G1865" s="2" t="s">
        <v>72</v>
      </c>
      <c r="H1865" s="3">
        <v>4</v>
      </c>
      <c r="I1865" s="6">
        <v>2004</v>
      </c>
      <c r="J1865" s="2" t="s">
        <v>15</v>
      </c>
      <c r="K1865" s="2" t="s">
        <v>74</v>
      </c>
      <c r="L1865" s="7">
        <f t="shared" si="87"/>
        <v>1591.98</v>
      </c>
      <c r="M1865" s="2" t="str">
        <f t="shared" si="88"/>
        <v>November</v>
      </c>
      <c r="N1865" s="6">
        <f t="shared" si="89"/>
        <v>2004</v>
      </c>
    </row>
    <row r="1866" spans="1:14">
      <c r="A1866" s="2" t="s">
        <v>116</v>
      </c>
      <c r="B1866" s="3">
        <v>10331</v>
      </c>
      <c r="C1866" s="3">
        <v>25</v>
      </c>
      <c r="D1866" s="13">
        <v>100</v>
      </c>
      <c r="E1866" s="5">
        <v>38308</v>
      </c>
      <c r="F1866" s="2" t="s">
        <v>13</v>
      </c>
      <c r="G1866" s="2" t="s">
        <v>72</v>
      </c>
      <c r="H1866" s="3">
        <v>4</v>
      </c>
      <c r="I1866" s="6">
        <v>2004</v>
      </c>
      <c r="J1866" s="2" t="s">
        <v>22</v>
      </c>
      <c r="K1866" s="2" t="s">
        <v>117</v>
      </c>
      <c r="L1866" s="7">
        <f t="shared" si="87"/>
        <v>2500</v>
      </c>
      <c r="M1866" s="2" t="str">
        <f t="shared" si="88"/>
        <v>November</v>
      </c>
      <c r="N1866" s="6">
        <f t="shared" si="89"/>
        <v>2004</v>
      </c>
    </row>
    <row r="1867" spans="1:14">
      <c r="A1867" s="2" t="s">
        <v>42</v>
      </c>
      <c r="B1867" s="3">
        <v>10342</v>
      </c>
      <c r="C1867" s="3">
        <v>48</v>
      </c>
      <c r="D1867" s="13">
        <v>62.45</v>
      </c>
      <c r="E1867" s="5">
        <v>38315</v>
      </c>
      <c r="F1867" s="2" t="s">
        <v>13</v>
      </c>
      <c r="G1867" s="2" t="s">
        <v>72</v>
      </c>
      <c r="H1867" s="3">
        <v>4</v>
      </c>
      <c r="I1867" s="6">
        <v>2004</v>
      </c>
      <c r="J1867" s="2" t="s">
        <v>15</v>
      </c>
      <c r="K1867" s="2" t="s">
        <v>43</v>
      </c>
      <c r="L1867" s="7">
        <f t="shared" si="87"/>
        <v>2997.6</v>
      </c>
      <c r="M1867" s="2" t="str">
        <f t="shared" si="88"/>
        <v>November</v>
      </c>
      <c r="N1867" s="6">
        <f t="shared" si="89"/>
        <v>2004</v>
      </c>
    </row>
    <row r="1868" spans="1:14">
      <c r="A1868" s="2" t="s">
        <v>69</v>
      </c>
      <c r="B1868" s="3">
        <v>10355</v>
      </c>
      <c r="C1868" s="3">
        <v>44</v>
      </c>
      <c r="D1868" s="13">
        <v>62.45</v>
      </c>
      <c r="E1868" s="5">
        <v>38328</v>
      </c>
      <c r="F1868" s="2" t="s">
        <v>13</v>
      </c>
      <c r="G1868" s="2" t="s">
        <v>72</v>
      </c>
      <c r="H1868" s="3">
        <v>4</v>
      </c>
      <c r="I1868" s="6">
        <v>2004</v>
      </c>
      <c r="J1868" s="2" t="s">
        <v>15</v>
      </c>
      <c r="K1868" s="2" t="s">
        <v>71</v>
      </c>
      <c r="L1868" s="7">
        <f t="shared" si="87"/>
        <v>2747.8</v>
      </c>
      <c r="M1868" s="2" t="str">
        <f t="shared" si="88"/>
        <v>December</v>
      </c>
      <c r="N1868" s="6">
        <f t="shared" si="89"/>
        <v>2004</v>
      </c>
    </row>
    <row r="1869" spans="1:14">
      <c r="A1869" s="2" t="s">
        <v>175</v>
      </c>
      <c r="B1869" s="3">
        <v>10363</v>
      </c>
      <c r="C1869" s="3">
        <v>21</v>
      </c>
      <c r="D1869" s="13">
        <v>100</v>
      </c>
      <c r="E1869" s="5">
        <v>38358</v>
      </c>
      <c r="F1869" s="2" t="s">
        <v>13</v>
      </c>
      <c r="G1869" s="2" t="s">
        <v>72</v>
      </c>
      <c r="H1869" s="3">
        <v>1</v>
      </c>
      <c r="I1869" s="6">
        <v>2005</v>
      </c>
      <c r="J1869" s="2" t="s">
        <v>15</v>
      </c>
      <c r="K1869" s="2" t="s">
        <v>176</v>
      </c>
      <c r="L1869" s="7">
        <f t="shared" si="87"/>
        <v>2100</v>
      </c>
      <c r="M1869" s="2" t="str">
        <f t="shared" si="88"/>
        <v>January</v>
      </c>
      <c r="N1869" s="6">
        <f t="shared" si="89"/>
        <v>2005</v>
      </c>
    </row>
    <row r="1870" spans="1:14">
      <c r="A1870" s="2" t="s">
        <v>69</v>
      </c>
      <c r="B1870" s="3">
        <v>10378</v>
      </c>
      <c r="C1870" s="3">
        <v>46</v>
      </c>
      <c r="D1870" s="13">
        <v>41.54</v>
      </c>
      <c r="E1870" s="5">
        <v>38393</v>
      </c>
      <c r="F1870" s="2" t="s">
        <v>13</v>
      </c>
      <c r="G1870" s="2" t="s">
        <v>72</v>
      </c>
      <c r="H1870" s="3">
        <v>1</v>
      </c>
      <c r="I1870" s="6">
        <v>2005</v>
      </c>
      <c r="J1870" s="2" t="s">
        <v>15</v>
      </c>
      <c r="K1870" s="2" t="s">
        <v>71</v>
      </c>
      <c r="L1870" s="7">
        <f t="shared" si="87"/>
        <v>1910.84</v>
      </c>
      <c r="M1870" s="2" t="str">
        <f t="shared" si="88"/>
        <v>February</v>
      </c>
      <c r="N1870" s="6">
        <f t="shared" si="89"/>
        <v>2005</v>
      </c>
    </row>
    <row r="1871" spans="1:14">
      <c r="A1871" s="2" t="s">
        <v>103</v>
      </c>
      <c r="B1871" s="3">
        <v>10390</v>
      </c>
      <c r="C1871" s="3">
        <v>46</v>
      </c>
      <c r="D1871" s="13">
        <v>52.84</v>
      </c>
      <c r="E1871" s="5">
        <v>38415</v>
      </c>
      <c r="F1871" s="2" t="s">
        <v>13</v>
      </c>
      <c r="G1871" s="2" t="s">
        <v>72</v>
      </c>
      <c r="H1871" s="3">
        <v>1</v>
      </c>
      <c r="I1871" s="6">
        <v>2005</v>
      </c>
      <c r="J1871" s="2" t="s">
        <v>15</v>
      </c>
      <c r="K1871" s="2" t="s">
        <v>104</v>
      </c>
      <c r="L1871" s="7">
        <f t="shared" si="87"/>
        <v>2430.64</v>
      </c>
      <c r="M1871" s="2" t="str">
        <f t="shared" si="88"/>
        <v>March</v>
      </c>
      <c r="N1871" s="6">
        <f t="shared" si="89"/>
        <v>2005</v>
      </c>
    </row>
    <row r="1872" spans="1:14">
      <c r="A1872" s="2" t="s">
        <v>60</v>
      </c>
      <c r="B1872" s="3">
        <v>10419</v>
      </c>
      <c r="C1872" s="3">
        <v>55</v>
      </c>
      <c r="D1872" s="13">
        <v>52.66</v>
      </c>
      <c r="E1872" s="5">
        <v>38489</v>
      </c>
      <c r="F1872" s="2" t="s">
        <v>13</v>
      </c>
      <c r="G1872" s="2" t="s">
        <v>72</v>
      </c>
      <c r="H1872" s="3">
        <v>2</v>
      </c>
      <c r="I1872" s="6">
        <v>2005</v>
      </c>
      <c r="J1872" s="2" t="s">
        <v>15</v>
      </c>
      <c r="K1872" s="2" t="s">
        <v>62</v>
      </c>
      <c r="L1872" s="7">
        <f t="shared" si="87"/>
        <v>2896.3</v>
      </c>
      <c r="M1872" s="2" t="str">
        <f t="shared" si="88"/>
        <v>May</v>
      </c>
      <c r="N1872" s="6">
        <f t="shared" si="89"/>
        <v>2005</v>
      </c>
    </row>
    <row r="1873" spans="1:14">
      <c r="A1873" s="2" t="s">
        <v>203</v>
      </c>
      <c r="B1873" s="3">
        <v>10106</v>
      </c>
      <c r="C1873" s="3">
        <v>31</v>
      </c>
      <c r="D1873" s="13">
        <v>52.6</v>
      </c>
      <c r="E1873" s="5">
        <v>37669</v>
      </c>
      <c r="F1873" s="2" t="s">
        <v>13</v>
      </c>
      <c r="G1873" s="2" t="s">
        <v>202</v>
      </c>
      <c r="H1873" s="3">
        <v>1</v>
      </c>
      <c r="I1873" s="6">
        <v>2003</v>
      </c>
      <c r="J1873" s="2" t="s">
        <v>15</v>
      </c>
      <c r="K1873" s="2" t="s">
        <v>204</v>
      </c>
      <c r="L1873" s="7">
        <f t="shared" si="87"/>
        <v>1630.6</v>
      </c>
      <c r="M1873" s="2" t="str">
        <f t="shared" si="88"/>
        <v>February</v>
      </c>
      <c r="N1873" s="6">
        <f t="shared" si="89"/>
        <v>2003</v>
      </c>
    </row>
    <row r="1874" spans="1:14">
      <c r="A1874" s="2" t="s">
        <v>60</v>
      </c>
      <c r="B1874" s="3">
        <v>10119</v>
      </c>
      <c r="C1874" s="3">
        <v>20</v>
      </c>
      <c r="D1874" s="13">
        <v>72.98</v>
      </c>
      <c r="E1874" s="5">
        <v>37739</v>
      </c>
      <c r="F1874" s="2" t="s">
        <v>13</v>
      </c>
      <c r="G1874" s="2" t="s">
        <v>202</v>
      </c>
      <c r="H1874" s="3">
        <v>2</v>
      </c>
      <c r="I1874" s="6">
        <v>2003</v>
      </c>
      <c r="J1874" s="2" t="s">
        <v>15</v>
      </c>
      <c r="K1874" s="2" t="s">
        <v>62</v>
      </c>
      <c r="L1874" s="7">
        <f t="shared" si="87"/>
        <v>1459.6</v>
      </c>
      <c r="M1874" s="2" t="str">
        <f t="shared" si="88"/>
        <v>April</v>
      </c>
      <c r="N1874" s="6">
        <f t="shared" si="89"/>
        <v>2003</v>
      </c>
    </row>
    <row r="1875" spans="1:14">
      <c r="A1875" s="2" t="s">
        <v>208</v>
      </c>
      <c r="B1875" s="3">
        <v>10131</v>
      </c>
      <c r="C1875" s="3">
        <v>29</v>
      </c>
      <c r="D1875" s="13">
        <v>59.18</v>
      </c>
      <c r="E1875" s="5">
        <v>37788</v>
      </c>
      <c r="F1875" s="2" t="s">
        <v>13</v>
      </c>
      <c r="G1875" s="2" t="s">
        <v>202</v>
      </c>
      <c r="H1875" s="3">
        <v>2</v>
      </c>
      <c r="I1875" s="6">
        <v>2003</v>
      </c>
      <c r="J1875" s="2" t="s">
        <v>15</v>
      </c>
      <c r="K1875" s="2" t="s">
        <v>209</v>
      </c>
      <c r="L1875" s="7">
        <f t="shared" si="87"/>
        <v>1716.22</v>
      </c>
      <c r="M1875" s="2" t="str">
        <f t="shared" si="88"/>
        <v>June</v>
      </c>
      <c r="N1875" s="6">
        <f t="shared" si="89"/>
        <v>2003</v>
      </c>
    </row>
    <row r="1876" spans="1:14">
      <c r="A1876" s="2" t="s">
        <v>126</v>
      </c>
      <c r="B1876" s="3">
        <v>10143</v>
      </c>
      <c r="C1876" s="3">
        <v>33</v>
      </c>
      <c r="D1876" s="13">
        <v>77.59</v>
      </c>
      <c r="E1876" s="5">
        <v>37843</v>
      </c>
      <c r="F1876" s="2" t="s">
        <v>13</v>
      </c>
      <c r="G1876" s="2" t="s">
        <v>202</v>
      </c>
      <c r="H1876" s="3">
        <v>3</v>
      </c>
      <c r="I1876" s="6">
        <v>2003</v>
      </c>
      <c r="J1876" s="2" t="s">
        <v>15</v>
      </c>
      <c r="K1876" s="2" t="s">
        <v>127</v>
      </c>
      <c r="L1876" s="7">
        <f t="shared" si="87"/>
        <v>2560.47</v>
      </c>
      <c r="M1876" s="2" t="str">
        <f t="shared" si="88"/>
        <v>August</v>
      </c>
      <c r="N1876" s="6">
        <f t="shared" si="89"/>
        <v>2003</v>
      </c>
    </row>
    <row r="1877" spans="1:14">
      <c r="A1877" s="2" t="s">
        <v>54</v>
      </c>
      <c r="B1877" s="3">
        <v>10155</v>
      </c>
      <c r="C1877" s="3">
        <v>34</v>
      </c>
      <c r="D1877" s="13">
        <v>55.89</v>
      </c>
      <c r="E1877" s="5">
        <v>37900</v>
      </c>
      <c r="F1877" s="2" t="s">
        <v>13</v>
      </c>
      <c r="G1877" s="2" t="s">
        <v>202</v>
      </c>
      <c r="H1877" s="3">
        <v>4</v>
      </c>
      <c r="I1877" s="6">
        <v>2003</v>
      </c>
      <c r="J1877" s="2" t="s">
        <v>15</v>
      </c>
      <c r="K1877" s="2" t="s">
        <v>55</v>
      </c>
      <c r="L1877" s="7">
        <f t="shared" si="87"/>
        <v>1900.26</v>
      </c>
      <c r="M1877" s="2" t="str">
        <f t="shared" si="88"/>
        <v>October</v>
      </c>
      <c r="N1877" s="6">
        <f t="shared" si="89"/>
        <v>2003</v>
      </c>
    </row>
    <row r="1878" spans="1:14">
      <c r="A1878" s="2" t="s">
        <v>99</v>
      </c>
      <c r="B1878" s="3">
        <v>10167</v>
      </c>
      <c r="C1878" s="3">
        <v>32</v>
      </c>
      <c r="D1878" s="13">
        <v>63.12</v>
      </c>
      <c r="E1878" s="5">
        <v>37917</v>
      </c>
      <c r="F1878" s="2" t="s">
        <v>128</v>
      </c>
      <c r="G1878" s="2" t="s">
        <v>202</v>
      </c>
      <c r="H1878" s="3">
        <v>4</v>
      </c>
      <c r="I1878" s="6">
        <v>2003</v>
      </c>
      <c r="J1878" s="2" t="s">
        <v>15</v>
      </c>
      <c r="K1878" s="2" t="s">
        <v>100</v>
      </c>
      <c r="L1878" s="7">
        <f t="shared" si="87"/>
        <v>2019.84</v>
      </c>
      <c r="M1878" s="2" t="str">
        <f t="shared" si="88"/>
        <v>October</v>
      </c>
      <c r="N1878" s="6">
        <f t="shared" si="89"/>
        <v>2003</v>
      </c>
    </row>
    <row r="1879" spans="1:14">
      <c r="A1879" s="2" t="s">
        <v>129</v>
      </c>
      <c r="B1879" s="3">
        <v>10178</v>
      </c>
      <c r="C1879" s="3">
        <v>27</v>
      </c>
      <c r="D1879" s="13">
        <v>73.64</v>
      </c>
      <c r="E1879" s="5">
        <v>37933</v>
      </c>
      <c r="F1879" s="2" t="s">
        <v>13</v>
      </c>
      <c r="G1879" s="2" t="s">
        <v>202</v>
      </c>
      <c r="H1879" s="3">
        <v>4</v>
      </c>
      <c r="I1879" s="6">
        <v>2003</v>
      </c>
      <c r="J1879" s="2" t="s">
        <v>15</v>
      </c>
      <c r="K1879" s="2" t="s">
        <v>130</v>
      </c>
      <c r="L1879" s="7">
        <f t="shared" si="87"/>
        <v>1988.28</v>
      </c>
      <c r="M1879" s="2" t="str">
        <f t="shared" si="88"/>
        <v>November</v>
      </c>
      <c r="N1879" s="6">
        <f t="shared" si="89"/>
        <v>2003</v>
      </c>
    </row>
    <row r="1880" spans="1:14">
      <c r="A1880" s="2" t="s">
        <v>131</v>
      </c>
      <c r="B1880" s="3">
        <v>10186</v>
      </c>
      <c r="C1880" s="3">
        <v>21</v>
      </c>
      <c r="D1880" s="13">
        <v>69.04</v>
      </c>
      <c r="E1880" s="5">
        <v>37939</v>
      </c>
      <c r="F1880" s="2" t="s">
        <v>13</v>
      </c>
      <c r="G1880" s="2" t="s">
        <v>202</v>
      </c>
      <c r="H1880" s="3">
        <v>4</v>
      </c>
      <c r="I1880" s="6">
        <v>2003</v>
      </c>
      <c r="J1880" s="2" t="s">
        <v>15</v>
      </c>
      <c r="K1880" s="2" t="s">
        <v>132</v>
      </c>
      <c r="L1880" s="7">
        <f t="shared" si="87"/>
        <v>1449.84</v>
      </c>
      <c r="M1880" s="2" t="str">
        <f t="shared" si="88"/>
        <v>November</v>
      </c>
      <c r="N1880" s="6">
        <f t="shared" si="89"/>
        <v>2003</v>
      </c>
    </row>
    <row r="1881" spans="1:14">
      <c r="A1881" s="2" t="s">
        <v>161</v>
      </c>
      <c r="B1881" s="3">
        <v>10198</v>
      </c>
      <c r="C1881" s="3">
        <v>27</v>
      </c>
      <c r="D1881" s="13">
        <v>71.67</v>
      </c>
      <c r="E1881" s="5">
        <v>37952</v>
      </c>
      <c r="F1881" s="2" t="s">
        <v>13</v>
      </c>
      <c r="G1881" s="2" t="s">
        <v>202</v>
      </c>
      <c r="H1881" s="3">
        <v>4</v>
      </c>
      <c r="I1881" s="6">
        <v>2003</v>
      </c>
      <c r="J1881" s="2" t="s">
        <v>15</v>
      </c>
      <c r="K1881" s="2" t="s">
        <v>162</v>
      </c>
      <c r="L1881" s="7">
        <f t="shared" si="87"/>
        <v>1935.09</v>
      </c>
      <c r="M1881" s="2" t="str">
        <f t="shared" si="88"/>
        <v>November</v>
      </c>
      <c r="N1881" s="6">
        <f t="shared" si="89"/>
        <v>2003</v>
      </c>
    </row>
    <row r="1882" spans="1:14">
      <c r="A1882" s="2" t="s">
        <v>135</v>
      </c>
      <c r="B1882" s="3">
        <v>10209</v>
      </c>
      <c r="C1882" s="3">
        <v>36</v>
      </c>
      <c r="D1882" s="13">
        <v>77.59</v>
      </c>
      <c r="E1882" s="5">
        <v>37995</v>
      </c>
      <c r="F1882" s="2" t="s">
        <v>13</v>
      </c>
      <c r="G1882" s="2" t="s">
        <v>202</v>
      </c>
      <c r="H1882" s="3">
        <v>1</v>
      </c>
      <c r="I1882" s="6">
        <v>2004</v>
      </c>
      <c r="J1882" s="2" t="s">
        <v>15</v>
      </c>
      <c r="K1882" s="2" t="s">
        <v>136</v>
      </c>
      <c r="L1882" s="7">
        <f t="shared" si="87"/>
        <v>2793.24</v>
      </c>
      <c r="M1882" s="2" t="str">
        <f t="shared" si="88"/>
        <v>January</v>
      </c>
      <c r="N1882" s="6">
        <f t="shared" si="89"/>
        <v>2004</v>
      </c>
    </row>
    <row r="1883" spans="1:14">
      <c r="A1883" s="2" t="s">
        <v>137</v>
      </c>
      <c r="B1883" s="3">
        <v>10222</v>
      </c>
      <c r="C1883" s="3">
        <v>43</v>
      </c>
      <c r="D1883" s="13">
        <v>70.35</v>
      </c>
      <c r="E1883" s="5">
        <v>38036</v>
      </c>
      <c r="F1883" s="2" t="s">
        <v>13</v>
      </c>
      <c r="G1883" s="2" t="s">
        <v>202</v>
      </c>
      <c r="H1883" s="3">
        <v>1</v>
      </c>
      <c r="I1883" s="6">
        <v>2004</v>
      </c>
      <c r="J1883" s="2" t="s">
        <v>22</v>
      </c>
      <c r="K1883" s="2" t="s">
        <v>138</v>
      </c>
      <c r="L1883" s="7">
        <f t="shared" si="87"/>
        <v>3025.05</v>
      </c>
      <c r="M1883" s="2" t="str">
        <f t="shared" si="88"/>
        <v>February</v>
      </c>
      <c r="N1883" s="6">
        <f t="shared" si="89"/>
        <v>2004</v>
      </c>
    </row>
    <row r="1884" spans="1:14">
      <c r="A1884" s="2" t="s">
        <v>91</v>
      </c>
      <c r="B1884" s="3">
        <v>10249</v>
      </c>
      <c r="C1884" s="3">
        <v>25</v>
      </c>
      <c r="D1884" s="13">
        <v>69.7</v>
      </c>
      <c r="E1884" s="5">
        <v>38115</v>
      </c>
      <c r="F1884" s="2" t="s">
        <v>13</v>
      </c>
      <c r="G1884" s="2" t="s">
        <v>202</v>
      </c>
      <c r="H1884" s="3">
        <v>2</v>
      </c>
      <c r="I1884" s="6">
        <v>2004</v>
      </c>
      <c r="J1884" s="2" t="s">
        <v>15</v>
      </c>
      <c r="K1884" s="2" t="s">
        <v>92</v>
      </c>
      <c r="L1884" s="7">
        <f t="shared" si="87"/>
        <v>1742.5</v>
      </c>
      <c r="M1884" s="2" t="str">
        <f t="shared" si="88"/>
        <v>May</v>
      </c>
      <c r="N1884" s="6">
        <f t="shared" si="89"/>
        <v>2004</v>
      </c>
    </row>
    <row r="1885" spans="1:14">
      <c r="A1885" s="2" t="s">
        <v>69</v>
      </c>
      <c r="B1885" s="3">
        <v>10262</v>
      </c>
      <c r="C1885" s="3">
        <v>46</v>
      </c>
      <c r="D1885" s="13">
        <v>70.35</v>
      </c>
      <c r="E1885" s="5">
        <v>38162</v>
      </c>
      <c r="F1885" s="2" t="s">
        <v>128</v>
      </c>
      <c r="G1885" s="2" t="s">
        <v>202</v>
      </c>
      <c r="H1885" s="3">
        <v>2</v>
      </c>
      <c r="I1885" s="6">
        <v>2004</v>
      </c>
      <c r="J1885" s="2" t="s">
        <v>22</v>
      </c>
      <c r="K1885" s="2" t="s">
        <v>71</v>
      </c>
      <c r="L1885" s="7">
        <f t="shared" si="87"/>
        <v>3236.1</v>
      </c>
      <c r="M1885" s="2" t="str">
        <f t="shared" si="88"/>
        <v>June</v>
      </c>
      <c r="N1885" s="6">
        <f t="shared" si="89"/>
        <v>2004</v>
      </c>
    </row>
    <row r="1886" spans="1:14">
      <c r="A1886" s="2" t="s">
        <v>107</v>
      </c>
      <c r="B1886" s="3">
        <v>10274</v>
      </c>
      <c r="C1886" s="3">
        <v>24</v>
      </c>
      <c r="D1886" s="13">
        <v>72.33</v>
      </c>
      <c r="E1886" s="5">
        <v>38189</v>
      </c>
      <c r="F1886" s="2" t="s">
        <v>13</v>
      </c>
      <c r="G1886" s="2" t="s">
        <v>202</v>
      </c>
      <c r="H1886" s="3">
        <v>3</v>
      </c>
      <c r="I1886" s="6">
        <v>2004</v>
      </c>
      <c r="J1886" s="2" t="s">
        <v>15</v>
      </c>
      <c r="K1886" s="2" t="s">
        <v>108</v>
      </c>
      <c r="L1886" s="7">
        <f t="shared" si="87"/>
        <v>1735.92</v>
      </c>
      <c r="M1886" s="2" t="str">
        <f t="shared" si="88"/>
        <v>July</v>
      </c>
      <c r="N1886" s="6">
        <f t="shared" si="89"/>
        <v>2004</v>
      </c>
    </row>
    <row r="1887" spans="1:14">
      <c r="A1887" s="2" t="s">
        <v>200</v>
      </c>
      <c r="B1887" s="3">
        <v>10284</v>
      </c>
      <c r="C1887" s="3">
        <v>39</v>
      </c>
      <c r="D1887" s="13">
        <v>71.67</v>
      </c>
      <c r="E1887" s="5">
        <v>38220</v>
      </c>
      <c r="F1887" s="2" t="s">
        <v>13</v>
      </c>
      <c r="G1887" s="2" t="s">
        <v>202</v>
      </c>
      <c r="H1887" s="3">
        <v>3</v>
      </c>
      <c r="I1887" s="6">
        <v>2004</v>
      </c>
      <c r="J1887" s="2" t="s">
        <v>15</v>
      </c>
      <c r="K1887" s="2" t="s">
        <v>201</v>
      </c>
      <c r="L1887" s="7">
        <f t="shared" si="87"/>
        <v>2795.13</v>
      </c>
      <c r="M1887" s="2" t="str">
        <f t="shared" si="88"/>
        <v>August</v>
      </c>
      <c r="N1887" s="6">
        <f t="shared" si="89"/>
        <v>2004</v>
      </c>
    </row>
    <row r="1888" spans="1:14">
      <c r="A1888" s="2" t="s">
        <v>210</v>
      </c>
      <c r="B1888" s="3">
        <v>10296</v>
      </c>
      <c r="C1888" s="3">
        <v>31</v>
      </c>
      <c r="D1888" s="13">
        <v>53.92</v>
      </c>
      <c r="E1888" s="5">
        <v>38245</v>
      </c>
      <c r="F1888" s="2" t="s">
        <v>13</v>
      </c>
      <c r="G1888" s="2" t="s">
        <v>202</v>
      </c>
      <c r="H1888" s="3">
        <v>3</v>
      </c>
      <c r="I1888" s="6">
        <v>2004</v>
      </c>
      <c r="J1888" s="2" t="s">
        <v>15</v>
      </c>
      <c r="K1888" s="2" t="s">
        <v>211</v>
      </c>
      <c r="L1888" s="7">
        <f t="shared" si="87"/>
        <v>1671.52</v>
      </c>
      <c r="M1888" s="2" t="str">
        <f t="shared" si="88"/>
        <v>September</v>
      </c>
      <c r="N1888" s="6">
        <f t="shared" si="89"/>
        <v>2004</v>
      </c>
    </row>
    <row r="1889" spans="1:14">
      <c r="A1889" s="2" t="s">
        <v>83</v>
      </c>
      <c r="B1889" s="3">
        <v>10307</v>
      </c>
      <c r="C1889" s="3">
        <v>22</v>
      </c>
      <c r="D1889" s="13">
        <v>71.67</v>
      </c>
      <c r="E1889" s="5">
        <v>38274</v>
      </c>
      <c r="F1889" s="2" t="s">
        <v>13</v>
      </c>
      <c r="G1889" s="2" t="s">
        <v>202</v>
      </c>
      <c r="H1889" s="3">
        <v>4</v>
      </c>
      <c r="I1889" s="6">
        <v>2004</v>
      </c>
      <c r="J1889" s="2" t="s">
        <v>15</v>
      </c>
      <c r="K1889" s="2" t="s">
        <v>84</v>
      </c>
      <c r="L1889" s="7">
        <f t="shared" si="87"/>
        <v>1576.74</v>
      </c>
      <c r="M1889" s="2" t="str">
        <f t="shared" si="88"/>
        <v>October</v>
      </c>
      <c r="N1889" s="6">
        <f t="shared" si="89"/>
        <v>2004</v>
      </c>
    </row>
    <row r="1890" spans="1:14">
      <c r="A1890" s="2" t="s">
        <v>145</v>
      </c>
      <c r="B1890" s="3">
        <v>10316</v>
      </c>
      <c r="C1890" s="3">
        <v>47</v>
      </c>
      <c r="D1890" s="13">
        <v>76.93</v>
      </c>
      <c r="E1890" s="5">
        <v>38292</v>
      </c>
      <c r="F1890" s="2" t="s">
        <v>13</v>
      </c>
      <c r="G1890" s="2" t="s">
        <v>202</v>
      </c>
      <c r="H1890" s="3">
        <v>4</v>
      </c>
      <c r="I1890" s="6">
        <v>2004</v>
      </c>
      <c r="J1890" s="2" t="s">
        <v>22</v>
      </c>
      <c r="K1890" s="2" t="s">
        <v>146</v>
      </c>
      <c r="L1890" s="7">
        <f t="shared" si="87"/>
        <v>3615.71</v>
      </c>
      <c r="M1890" s="2" t="str">
        <f t="shared" si="88"/>
        <v>November</v>
      </c>
      <c r="N1890" s="6">
        <f t="shared" si="89"/>
        <v>2004</v>
      </c>
    </row>
    <row r="1891" spans="1:14">
      <c r="A1891" s="2" t="s">
        <v>203</v>
      </c>
      <c r="B1891" s="3">
        <v>10328</v>
      </c>
      <c r="C1891" s="3">
        <v>20</v>
      </c>
      <c r="D1891" s="13">
        <v>72.98</v>
      </c>
      <c r="E1891" s="5">
        <v>38303</v>
      </c>
      <c r="F1891" s="2" t="s">
        <v>13</v>
      </c>
      <c r="G1891" s="2" t="s">
        <v>202</v>
      </c>
      <c r="H1891" s="3">
        <v>4</v>
      </c>
      <c r="I1891" s="6">
        <v>2004</v>
      </c>
      <c r="J1891" s="2" t="s">
        <v>15</v>
      </c>
      <c r="K1891" s="2" t="s">
        <v>204</v>
      </c>
      <c r="L1891" s="7">
        <f t="shared" si="87"/>
        <v>1459.6</v>
      </c>
      <c r="M1891" s="2" t="str">
        <f t="shared" si="88"/>
        <v>November</v>
      </c>
      <c r="N1891" s="6">
        <f t="shared" si="89"/>
        <v>2004</v>
      </c>
    </row>
    <row r="1892" spans="1:14">
      <c r="A1892" s="2" t="s">
        <v>95</v>
      </c>
      <c r="B1892" s="3">
        <v>10339</v>
      </c>
      <c r="C1892" s="3">
        <v>29</v>
      </c>
      <c r="D1892" s="13">
        <v>99.69</v>
      </c>
      <c r="E1892" s="5">
        <v>38314</v>
      </c>
      <c r="F1892" s="2" t="s">
        <v>13</v>
      </c>
      <c r="G1892" s="2" t="s">
        <v>202</v>
      </c>
      <c r="H1892" s="3">
        <v>4</v>
      </c>
      <c r="I1892" s="6">
        <v>2004</v>
      </c>
      <c r="J1892" s="2" t="s">
        <v>15</v>
      </c>
      <c r="K1892" s="2" t="s">
        <v>96</v>
      </c>
      <c r="L1892" s="7">
        <f t="shared" si="87"/>
        <v>2891.01</v>
      </c>
      <c r="M1892" s="2" t="str">
        <f t="shared" si="88"/>
        <v>November</v>
      </c>
      <c r="N1892" s="6">
        <f t="shared" si="89"/>
        <v>2004</v>
      </c>
    </row>
    <row r="1893" spans="1:14">
      <c r="A1893" s="2" t="s">
        <v>124</v>
      </c>
      <c r="B1893" s="3">
        <v>10351</v>
      </c>
      <c r="C1893" s="3">
        <v>38</v>
      </c>
      <c r="D1893" s="13">
        <v>68.38</v>
      </c>
      <c r="E1893" s="5">
        <v>38324</v>
      </c>
      <c r="F1893" s="2" t="s">
        <v>13</v>
      </c>
      <c r="G1893" s="2" t="s">
        <v>202</v>
      </c>
      <c r="H1893" s="3">
        <v>4</v>
      </c>
      <c r="I1893" s="6">
        <v>2004</v>
      </c>
      <c r="J1893" s="2" t="s">
        <v>15</v>
      </c>
      <c r="K1893" s="2" t="s">
        <v>125</v>
      </c>
      <c r="L1893" s="7">
        <f t="shared" si="87"/>
        <v>2598.44</v>
      </c>
      <c r="M1893" s="2" t="str">
        <f t="shared" si="88"/>
        <v>December</v>
      </c>
      <c r="N1893" s="6">
        <f t="shared" si="89"/>
        <v>2004</v>
      </c>
    </row>
    <row r="1894" spans="1:14">
      <c r="A1894" s="2" t="s">
        <v>63</v>
      </c>
      <c r="B1894" s="3">
        <v>10361</v>
      </c>
      <c r="C1894" s="3">
        <v>34</v>
      </c>
      <c r="D1894" s="13">
        <v>100</v>
      </c>
      <c r="E1894" s="5">
        <v>38338</v>
      </c>
      <c r="F1894" s="2" t="s">
        <v>13</v>
      </c>
      <c r="G1894" s="2" t="s">
        <v>202</v>
      </c>
      <c r="H1894" s="3">
        <v>4</v>
      </c>
      <c r="I1894" s="6">
        <v>2004</v>
      </c>
      <c r="J1894" s="2" t="s">
        <v>22</v>
      </c>
      <c r="K1894" s="2" t="s">
        <v>64</v>
      </c>
      <c r="L1894" s="7">
        <f t="shared" si="87"/>
        <v>3400</v>
      </c>
      <c r="M1894" s="2" t="str">
        <f t="shared" si="88"/>
        <v>December</v>
      </c>
      <c r="N1894" s="6">
        <f t="shared" si="89"/>
        <v>2004</v>
      </c>
    </row>
    <row r="1895" spans="1:14">
      <c r="A1895" s="2" t="s">
        <v>147</v>
      </c>
      <c r="B1895" s="3">
        <v>10373</v>
      </c>
      <c r="C1895" s="3">
        <v>46</v>
      </c>
      <c r="D1895" s="13">
        <v>66</v>
      </c>
      <c r="E1895" s="5">
        <v>38383</v>
      </c>
      <c r="F1895" s="2" t="s">
        <v>13</v>
      </c>
      <c r="G1895" s="2" t="s">
        <v>202</v>
      </c>
      <c r="H1895" s="3">
        <v>1</v>
      </c>
      <c r="I1895" s="6">
        <v>2005</v>
      </c>
      <c r="J1895" s="2" t="s">
        <v>22</v>
      </c>
      <c r="K1895" s="2" t="s">
        <v>148</v>
      </c>
      <c r="L1895" s="7">
        <f t="shared" si="87"/>
        <v>3036</v>
      </c>
      <c r="M1895" s="2" t="str">
        <f t="shared" si="88"/>
        <v>January</v>
      </c>
      <c r="N1895" s="6">
        <f t="shared" si="89"/>
        <v>2005</v>
      </c>
    </row>
    <row r="1896" spans="1:14">
      <c r="A1896" s="2" t="s">
        <v>69</v>
      </c>
      <c r="B1896" s="3">
        <v>10386</v>
      </c>
      <c r="C1896" s="3">
        <v>35</v>
      </c>
      <c r="D1896" s="13">
        <v>63.76</v>
      </c>
      <c r="E1896" s="5">
        <v>38412</v>
      </c>
      <c r="F1896" s="2" t="s">
        <v>155</v>
      </c>
      <c r="G1896" s="2" t="s">
        <v>202</v>
      </c>
      <c r="H1896" s="3">
        <v>1</v>
      </c>
      <c r="I1896" s="6">
        <v>2005</v>
      </c>
      <c r="J1896" s="2" t="s">
        <v>15</v>
      </c>
      <c r="K1896" s="2" t="s">
        <v>71</v>
      </c>
      <c r="L1896" s="7">
        <f t="shared" si="87"/>
        <v>2231.6</v>
      </c>
      <c r="M1896" s="2" t="str">
        <f t="shared" si="88"/>
        <v>March</v>
      </c>
      <c r="N1896" s="6">
        <f t="shared" si="89"/>
        <v>2005</v>
      </c>
    </row>
    <row r="1897" spans="1:14">
      <c r="A1897" s="2" t="s">
        <v>18</v>
      </c>
      <c r="B1897" s="3">
        <v>10398</v>
      </c>
      <c r="C1897" s="3">
        <v>34</v>
      </c>
      <c r="D1897" s="13">
        <v>71.67</v>
      </c>
      <c r="E1897" s="5">
        <v>38441</v>
      </c>
      <c r="F1897" s="2" t="s">
        <v>13</v>
      </c>
      <c r="G1897" s="2" t="s">
        <v>202</v>
      </c>
      <c r="H1897" s="3">
        <v>1</v>
      </c>
      <c r="I1897" s="6">
        <v>2005</v>
      </c>
      <c r="J1897" s="2" t="s">
        <v>15</v>
      </c>
      <c r="K1897" s="2" t="s">
        <v>19</v>
      </c>
      <c r="L1897" s="7">
        <f t="shared" si="87"/>
        <v>2436.78</v>
      </c>
      <c r="M1897" s="2" t="str">
        <f t="shared" si="88"/>
        <v>March</v>
      </c>
      <c r="N1897" s="6">
        <f t="shared" si="89"/>
        <v>2005</v>
      </c>
    </row>
    <row r="1898" spans="1:14">
      <c r="A1898" s="2" t="s">
        <v>149</v>
      </c>
      <c r="B1898" s="3">
        <v>10400</v>
      </c>
      <c r="C1898" s="3">
        <v>38</v>
      </c>
      <c r="D1898" s="13">
        <v>57.2</v>
      </c>
      <c r="E1898" s="5">
        <v>38443</v>
      </c>
      <c r="F1898" s="2" t="s">
        <v>13</v>
      </c>
      <c r="G1898" s="2" t="s">
        <v>202</v>
      </c>
      <c r="H1898" s="3">
        <v>2</v>
      </c>
      <c r="I1898" s="6">
        <v>2005</v>
      </c>
      <c r="J1898" s="2" t="s">
        <v>15</v>
      </c>
      <c r="K1898" s="2" t="s">
        <v>150</v>
      </c>
      <c r="L1898" s="7">
        <f t="shared" si="87"/>
        <v>2173.6</v>
      </c>
      <c r="M1898" s="2" t="str">
        <f t="shared" si="88"/>
        <v>April</v>
      </c>
      <c r="N1898" s="6">
        <f t="shared" si="89"/>
        <v>2005</v>
      </c>
    </row>
    <row r="1899" spans="1:14">
      <c r="A1899" s="2" t="s">
        <v>205</v>
      </c>
      <c r="B1899" s="3">
        <v>10415</v>
      </c>
      <c r="C1899" s="3">
        <v>18</v>
      </c>
      <c r="D1899" s="13">
        <v>69.7</v>
      </c>
      <c r="E1899" s="5">
        <v>38481</v>
      </c>
      <c r="F1899" s="2" t="s">
        <v>70</v>
      </c>
      <c r="G1899" s="2" t="s">
        <v>202</v>
      </c>
      <c r="H1899" s="3">
        <v>2</v>
      </c>
      <c r="I1899" s="6">
        <v>2005</v>
      </c>
      <c r="J1899" s="2" t="s">
        <v>15</v>
      </c>
      <c r="K1899" s="2" t="s">
        <v>206</v>
      </c>
      <c r="L1899" s="7">
        <f t="shared" si="87"/>
        <v>1254.6</v>
      </c>
      <c r="M1899" s="2" t="str">
        <f t="shared" si="88"/>
        <v>May</v>
      </c>
      <c r="N1899" s="6">
        <f t="shared" si="89"/>
        <v>2005</v>
      </c>
    </row>
    <row r="1900" spans="1:14">
      <c r="A1900" s="2" t="s">
        <v>198</v>
      </c>
      <c r="B1900" s="3">
        <v>10124</v>
      </c>
      <c r="C1900" s="3">
        <v>43</v>
      </c>
      <c r="D1900" s="13">
        <v>100</v>
      </c>
      <c r="E1900" s="5">
        <v>37762</v>
      </c>
      <c r="F1900" s="2" t="s">
        <v>13</v>
      </c>
      <c r="G1900" s="2" t="s">
        <v>72</v>
      </c>
      <c r="H1900" s="3">
        <v>2</v>
      </c>
      <c r="I1900" s="6">
        <v>2003</v>
      </c>
      <c r="J1900" s="2" t="s">
        <v>22</v>
      </c>
      <c r="K1900" s="2" t="s">
        <v>199</v>
      </c>
      <c r="L1900" s="7">
        <f t="shared" si="87"/>
        <v>4300</v>
      </c>
      <c r="M1900" s="2" t="str">
        <f t="shared" si="88"/>
        <v>May</v>
      </c>
      <c r="N1900" s="6">
        <f t="shared" si="89"/>
        <v>2003</v>
      </c>
    </row>
    <row r="1901" spans="1:14">
      <c r="A1901" s="2" t="s">
        <v>185</v>
      </c>
      <c r="B1901" s="3">
        <v>10161</v>
      </c>
      <c r="C1901" s="3">
        <v>30</v>
      </c>
      <c r="D1901" s="13">
        <v>100</v>
      </c>
      <c r="E1901" s="5">
        <v>37911</v>
      </c>
      <c r="F1901" s="2" t="s">
        <v>13</v>
      </c>
      <c r="G1901" s="2" t="s">
        <v>72</v>
      </c>
      <c r="H1901" s="3">
        <v>4</v>
      </c>
      <c r="I1901" s="6">
        <v>2003</v>
      </c>
      <c r="J1901" s="2" t="s">
        <v>22</v>
      </c>
      <c r="K1901" s="2" t="s">
        <v>186</v>
      </c>
      <c r="L1901" s="7">
        <f t="shared" si="87"/>
        <v>3000</v>
      </c>
      <c r="M1901" s="2" t="str">
        <f t="shared" si="88"/>
        <v>October</v>
      </c>
      <c r="N1901" s="6">
        <f t="shared" si="89"/>
        <v>2003</v>
      </c>
    </row>
    <row r="1902" spans="1:14">
      <c r="A1902" s="2" t="s">
        <v>48</v>
      </c>
      <c r="B1902" s="3">
        <v>10172</v>
      </c>
      <c r="C1902" s="3">
        <v>22</v>
      </c>
      <c r="D1902" s="13">
        <v>98.51</v>
      </c>
      <c r="E1902" s="5">
        <v>37930</v>
      </c>
      <c r="F1902" s="2" t="s">
        <v>13</v>
      </c>
      <c r="G1902" s="2" t="s">
        <v>72</v>
      </c>
      <c r="H1902" s="3">
        <v>4</v>
      </c>
      <c r="I1902" s="6">
        <v>2003</v>
      </c>
      <c r="J1902" s="2" t="s">
        <v>15</v>
      </c>
      <c r="K1902" s="2" t="s">
        <v>49</v>
      </c>
      <c r="L1902" s="7">
        <f t="shared" si="87"/>
        <v>2167.22</v>
      </c>
      <c r="M1902" s="2" t="str">
        <f t="shared" si="88"/>
        <v>November</v>
      </c>
      <c r="N1902" s="6">
        <f t="shared" si="89"/>
        <v>2003</v>
      </c>
    </row>
    <row r="1903" spans="1:14">
      <c r="A1903" s="2" t="s">
        <v>103</v>
      </c>
      <c r="B1903" s="3">
        <v>10182</v>
      </c>
      <c r="C1903" s="3">
        <v>49</v>
      </c>
      <c r="D1903" s="13">
        <v>100</v>
      </c>
      <c r="E1903" s="5">
        <v>37937</v>
      </c>
      <c r="F1903" s="2" t="s">
        <v>13</v>
      </c>
      <c r="G1903" s="2" t="s">
        <v>72</v>
      </c>
      <c r="H1903" s="3">
        <v>4</v>
      </c>
      <c r="I1903" s="6">
        <v>2003</v>
      </c>
      <c r="J1903" s="2" t="s">
        <v>22</v>
      </c>
      <c r="K1903" s="2" t="s">
        <v>104</v>
      </c>
      <c r="L1903" s="7">
        <f t="shared" si="87"/>
        <v>4900</v>
      </c>
      <c r="M1903" s="2" t="str">
        <f t="shared" si="88"/>
        <v>November</v>
      </c>
      <c r="N1903" s="6">
        <f t="shared" si="89"/>
        <v>2003</v>
      </c>
    </row>
    <row r="1904" spans="1:14">
      <c r="A1904" s="2" t="s">
        <v>105</v>
      </c>
      <c r="B1904" s="3">
        <v>10192</v>
      </c>
      <c r="C1904" s="3">
        <v>46</v>
      </c>
      <c r="D1904" s="13">
        <v>100</v>
      </c>
      <c r="E1904" s="5">
        <v>37945</v>
      </c>
      <c r="F1904" s="2" t="s">
        <v>13</v>
      </c>
      <c r="G1904" s="2" t="s">
        <v>72</v>
      </c>
      <c r="H1904" s="3">
        <v>4</v>
      </c>
      <c r="I1904" s="6">
        <v>2003</v>
      </c>
      <c r="J1904" s="2" t="s">
        <v>22</v>
      </c>
      <c r="K1904" s="2" t="s">
        <v>106</v>
      </c>
      <c r="L1904" s="7">
        <f t="shared" si="87"/>
        <v>4600</v>
      </c>
      <c r="M1904" s="2" t="str">
        <f t="shared" si="88"/>
        <v>November</v>
      </c>
      <c r="N1904" s="6">
        <f t="shared" si="89"/>
        <v>2003</v>
      </c>
    </row>
    <row r="1905" spans="1:14">
      <c r="A1905" s="2" t="s">
        <v>177</v>
      </c>
      <c r="B1905" s="3">
        <v>10204</v>
      </c>
      <c r="C1905" s="3">
        <v>48</v>
      </c>
      <c r="D1905" s="13">
        <v>91.02</v>
      </c>
      <c r="E1905" s="5">
        <v>37957</v>
      </c>
      <c r="F1905" s="2" t="s">
        <v>13</v>
      </c>
      <c r="G1905" s="2" t="s">
        <v>72</v>
      </c>
      <c r="H1905" s="3">
        <v>4</v>
      </c>
      <c r="I1905" s="6">
        <v>2003</v>
      </c>
      <c r="J1905" s="2" t="s">
        <v>22</v>
      </c>
      <c r="K1905" s="2" t="s">
        <v>178</v>
      </c>
      <c r="L1905" s="7">
        <f t="shared" si="87"/>
        <v>4368.96</v>
      </c>
      <c r="M1905" s="2" t="str">
        <f t="shared" si="88"/>
        <v>December</v>
      </c>
      <c r="N1905" s="6">
        <f t="shared" si="89"/>
        <v>2003</v>
      </c>
    </row>
    <row r="1906" spans="1:14">
      <c r="A1906" s="2" t="s">
        <v>69</v>
      </c>
      <c r="B1906" s="3">
        <v>10212</v>
      </c>
      <c r="C1906" s="3">
        <v>46</v>
      </c>
      <c r="D1906" s="13">
        <v>87.81</v>
      </c>
      <c r="E1906" s="5">
        <v>38002</v>
      </c>
      <c r="F1906" s="2" t="s">
        <v>13</v>
      </c>
      <c r="G1906" s="2" t="s">
        <v>72</v>
      </c>
      <c r="H1906" s="3">
        <v>1</v>
      </c>
      <c r="I1906" s="6">
        <v>2004</v>
      </c>
      <c r="J1906" s="2" t="s">
        <v>22</v>
      </c>
      <c r="K1906" s="2" t="s">
        <v>71</v>
      </c>
      <c r="L1906" s="7">
        <f t="shared" si="87"/>
        <v>4039.26</v>
      </c>
      <c r="M1906" s="2" t="str">
        <f t="shared" si="88"/>
        <v>January</v>
      </c>
      <c r="N1906" s="6">
        <f t="shared" si="89"/>
        <v>2004</v>
      </c>
    </row>
    <row r="1907" spans="1:14">
      <c r="A1907" s="2" t="s">
        <v>137</v>
      </c>
      <c r="B1907" s="3">
        <v>10226</v>
      </c>
      <c r="C1907" s="3">
        <v>48</v>
      </c>
      <c r="D1907" s="13">
        <v>92.09</v>
      </c>
      <c r="E1907" s="5">
        <v>38043</v>
      </c>
      <c r="F1907" s="2" t="s">
        <v>13</v>
      </c>
      <c r="G1907" s="2" t="s">
        <v>72</v>
      </c>
      <c r="H1907" s="3">
        <v>1</v>
      </c>
      <c r="I1907" s="6">
        <v>2004</v>
      </c>
      <c r="J1907" s="2" t="s">
        <v>22</v>
      </c>
      <c r="K1907" s="2" t="s">
        <v>138</v>
      </c>
      <c r="L1907" s="7">
        <f t="shared" si="87"/>
        <v>4420.32</v>
      </c>
      <c r="M1907" s="2" t="str">
        <f t="shared" si="88"/>
        <v>February</v>
      </c>
      <c r="N1907" s="6">
        <f t="shared" si="89"/>
        <v>2004</v>
      </c>
    </row>
    <row r="1908" spans="1:14">
      <c r="A1908" s="2" t="s">
        <v>196</v>
      </c>
      <c r="B1908" s="3">
        <v>10241</v>
      </c>
      <c r="C1908" s="3">
        <v>27</v>
      </c>
      <c r="D1908" s="13">
        <v>86.73</v>
      </c>
      <c r="E1908" s="5">
        <v>38090</v>
      </c>
      <c r="F1908" s="2" t="s">
        <v>13</v>
      </c>
      <c r="G1908" s="2" t="s">
        <v>72</v>
      </c>
      <c r="H1908" s="3">
        <v>2</v>
      </c>
      <c r="I1908" s="6">
        <v>2004</v>
      </c>
      <c r="J1908" s="2" t="s">
        <v>15</v>
      </c>
      <c r="K1908" s="2" t="s">
        <v>197</v>
      </c>
      <c r="L1908" s="7">
        <f t="shared" si="87"/>
        <v>2341.71</v>
      </c>
      <c r="M1908" s="2" t="str">
        <f t="shared" si="88"/>
        <v>April</v>
      </c>
      <c r="N1908" s="6">
        <f t="shared" si="89"/>
        <v>2004</v>
      </c>
    </row>
    <row r="1909" spans="1:14">
      <c r="A1909" s="2" t="s">
        <v>159</v>
      </c>
      <c r="B1909" s="3">
        <v>10288</v>
      </c>
      <c r="C1909" s="3">
        <v>41</v>
      </c>
      <c r="D1909" s="13">
        <v>100</v>
      </c>
      <c r="E1909" s="5">
        <v>38231</v>
      </c>
      <c r="F1909" s="2" t="s">
        <v>13</v>
      </c>
      <c r="G1909" s="2" t="s">
        <v>72</v>
      </c>
      <c r="H1909" s="3">
        <v>3</v>
      </c>
      <c r="I1909" s="6">
        <v>2004</v>
      </c>
      <c r="J1909" s="2" t="s">
        <v>22</v>
      </c>
      <c r="K1909" s="2" t="s">
        <v>160</v>
      </c>
      <c r="L1909" s="7">
        <f t="shared" si="87"/>
        <v>4100</v>
      </c>
      <c r="M1909" s="2" t="str">
        <f t="shared" si="88"/>
        <v>September</v>
      </c>
      <c r="N1909" s="6">
        <f t="shared" si="89"/>
        <v>2004</v>
      </c>
    </row>
    <row r="1910" spans="1:14">
      <c r="A1910" s="2" t="s">
        <v>200</v>
      </c>
      <c r="B1910" s="3">
        <v>10301</v>
      </c>
      <c r="C1910" s="3">
        <v>22</v>
      </c>
      <c r="D1910" s="13">
        <v>96.37</v>
      </c>
      <c r="E1910" s="5">
        <v>37899</v>
      </c>
      <c r="F1910" s="2" t="s">
        <v>13</v>
      </c>
      <c r="G1910" s="2" t="s">
        <v>72</v>
      </c>
      <c r="H1910" s="3">
        <v>4</v>
      </c>
      <c r="I1910" s="6">
        <v>2003</v>
      </c>
      <c r="J1910" s="2" t="s">
        <v>15</v>
      </c>
      <c r="K1910" s="2" t="s">
        <v>201</v>
      </c>
      <c r="L1910" s="7">
        <f t="shared" si="87"/>
        <v>2120.14</v>
      </c>
      <c r="M1910" s="2" t="str">
        <f t="shared" si="88"/>
        <v>October</v>
      </c>
      <c r="N1910" s="6">
        <f t="shared" si="89"/>
        <v>2003</v>
      </c>
    </row>
    <row r="1911" spans="1:14">
      <c r="A1911" s="2" t="s">
        <v>69</v>
      </c>
      <c r="B1911" s="3">
        <v>10311</v>
      </c>
      <c r="C1911" s="3">
        <v>46</v>
      </c>
      <c r="D1911" s="13">
        <v>92.09</v>
      </c>
      <c r="E1911" s="5">
        <v>38276</v>
      </c>
      <c r="F1911" s="2" t="s">
        <v>13</v>
      </c>
      <c r="G1911" s="2" t="s">
        <v>72</v>
      </c>
      <c r="H1911" s="3">
        <v>4</v>
      </c>
      <c r="I1911" s="6">
        <v>2004</v>
      </c>
      <c r="J1911" s="2" t="s">
        <v>22</v>
      </c>
      <c r="K1911" s="2" t="s">
        <v>71</v>
      </c>
      <c r="L1911" s="7">
        <f t="shared" si="87"/>
        <v>4236.14</v>
      </c>
      <c r="M1911" s="2" t="str">
        <f t="shared" si="88"/>
        <v>October</v>
      </c>
      <c r="N1911" s="6">
        <f t="shared" si="89"/>
        <v>2004</v>
      </c>
    </row>
    <row r="1912" spans="1:14">
      <c r="A1912" s="2" t="s">
        <v>65</v>
      </c>
      <c r="B1912" s="3">
        <v>10321</v>
      </c>
      <c r="C1912" s="3">
        <v>21</v>
      </c>
      <c r="D1912" s="13">
        <v>89.95</v>
      </c>
      <c r="E1912" s="5">
        <v>38295</v>
      </c>
      <c r="F1912" s="2" t="s">
        <v>13</v>
      </c>
      <c r="G1912" s="2" t="s">
        <v>72</v>
      </c>
      <c r="H1912" s="3">
        <v>4</v>
      </c>
      <c r="I1912" s="6">
        <v>2004</v>
      </c>
      <c r="J1912" s="2" t="s">
        <v>15</v>
      </c>
      <c r="K1912" s="2" t="s">
        <v>66</v>
      </c>
      <c r="L1912" s="7">
        <f t="shared" si="87"/>
        <v>1888.95</v>
      </c>
      <c r="M1912" s="2" t="str">
        <f t="shared" si="88"/>
        <v>November</v>
      </c>
      <c r="N1912" s="6">
        <f t="shared" si="89"/>
        <v>2004</v>
      </c>
    </row>
    <row r="1913" spans="1:14">
      <c r="A1913" s="2" t="s">
        <v>183</v>
      </c>
      <c r="B1913" s="3">
        <v>10332</v>
      </c>
      <c r="C1913" s="3">
        <v>31</v>
      </c>
      <c r="D1913" s="13">
        <v>37.18</v>
      </c>
      <c r="E1913" s="5">
        <v>38308</v>
      </c>
      <c r="F1913" s="2" t="s">
        <v>13</v>
      </c>
      <c r="G1913" s="2" t="s">
        <v>72</v>
      </c>
      <c r="H1913" s="3">
        <v>4</v>
      </c>
      <c r="I1913" s="6">
        <v>2004</v>
      </c>
      <c r="J1913" s="2" t="s">
        <v>15</v>
      </c>
      <c r="K1913" s="2" t="s">
        <v>184</v>
      </c>
      <c r="L1913" s="7">
        <f t="shared" si="87"/>
        <v>1152.58</v>
      </c>
      <c r="M1913" s="2" t="str">
        <f t="shared" si="88"/>
        <v>November</v>
      </c>
      <c r="N1913" s="6">
        <f t="shared" si="89"/>
        <v>2004</v>
      </c>
    </row>
    <row r="1914" spans="1:14">
      <c r="A1914" s="2" t="s">
        <v>198</v>
      </c>
      <c r="B1914" s="3">
        <v>10346</v>
      </c>
      <c r="C1914" s="3">
        <v>26</v>
      </c>
      <c r="D1914" s="13">
        <v>95.88</v>
      </c>
      <c r="E1914" s="5">
        <v>38320</v>
      </c>
      <c r="F1914" s="2" t="s">
        <v>13</v>
      </c>
      <c r="G1914" s="2" t="s">
        <v>72</v>
      </c>
      <c r="H1914" s="3">
        <v>4</v>
      </c>
      <c r="I1914" s="6">
        <v>2004</v>
      </c>
      <c r="J1914" s="2" t="s">
        <v>15</v>
      </c>
      <c r="K1914" s="2" t="s">
        <v>199</v>
      </c>
      <c r="L1914" s="7">
        <f t="shared" si="87"/>
        <v>2492.88</v>
      </c>
      <c r="M1914" s="2" t="str">
        <f t="shared" si="88"/>
        <v>November</v>
      </c>
      <c r="N1914" s="6">
        <f t="shared" si="89"/>
        <v>2004</v>
      </c>
    </row>
    <row r="1915" spans="1:14">
      <c r="A1915" s="2" t="s">
        <v>103</v>
      </c>
      <c r="B1915" s="3">
        <v>10368</v>
      </c>
      <c r="C1915" s="3">
        <v>20</v>
      </c>
      <c r="D1915" s="13">
        <v>99.58</v>
      </c>
      <c r="E1915" s="5">
        <v>38371</v>
      </c>
      <c r="F1915" s="2" t="s">
        <v>13</v>
      </c>
      <c r="G1915" s="2" t="s">
        <v>72</v>
      </c>
      <c r="H1915" s="3">
        <v>1</v>
      </c>
      <c r="I1915" s="6">
        <v>2005</v>
      </c>
      <c r="J1915" s="2" t="s">
        <v>15</v>
      </c>
      <c r="K1915" s="2" t="s">
        <v>104</v>
      </c>
      <c r="L1915" s="7">
        <f t="shared" si="87"/>
        <v>1991.6</v>
      </c>
      <c r="M1915" s="2" t="str">
        <f t="shared" si="88"/>
        <v>January</v>
      </c>
      <c r="N1915" s="6">
        <f t="shared" si="89"/>
        <v>2005</v>
      </c>
    </row>
    <row r="1916" spans="1:14">
      <c r="A1916" s="2" t="s">
        <v>149</v>
      </c>
      <c r="B1916" s="3">
        <v>10407</v>
      </c>
      <c r="C1916" s="3">
        <v>43</v>
      </c>
      <c r="D1916" s="13">
        <v>86.73</v>
      </c>
      <c r="E1916" s="5">
        <v>38464</v>
      </c>
      <c r="F1916" s="2" t="s">
        <v>151</v>
      </c>
      <c r="G1916" s="2" t="s">
        <v>72</v>
      </c>
      <c r="H1916" s="3">
        <v>2</v>
      </c>
      <c r="I1916" s="6">
        <v>2005</v>
      </c>
      <c r="J1916" s="2" t="s">
        <v>22</v>
      </c>
      <c r="K1916" s="2" t="s">
        <v>150</v>
      </c>
      <c r="L1916" s="7">
        <f t="shared" si="87"/>
        <v>3729.39</v>
      </c>
      <c r="M1916" s="2" t="str">
        <f t="shared" si="88"/>
        <v>April</v>
      </c>
      <c r="N1916" s="6">
        <f t="shared" si="89"/>
        <v>2005</v>
      </c>
    </row>
    <row r="1917" spans="1:14">
      <c r="A1917" s="2" t="s">
        <v>63</v>
      </c>
      <c r="B1917" s="3">
        <v>10420</v>
      </c>
      <c r="C1917" s="3">
        <v>26</v>
      </c>
      <c r="D1917" s="13">
        <v>100</v>
      </c>
      <c r="E1917" s="5">
        <v>38501</v>
      </c>
      <c r="F1917" s="2" t="s">
        <v>113</v>
      </c>
      <c r="G1917" s="2" t="s">
        <v>72</v>
      </c>
      <c r="H1917" s="3">
        <v>2</v>
      </c>
      <c r="I1917" s="6">
        <v>2005</v>
      </c>
      <c r="J1917" s="2" t="s">
        <v>15</v>
      </c>
      <c r="K1917" s="2" t="s">
        <v>64</v>
      </c>
      <c r="L1917" s="7">
        <f t="shared" si="87"/>
        <v>2600</v>
      </c>
      <c r="M1917" s="2" t="str">
        <f t="shared" si="88"/>
        <v>May</v>
      </c>
      <c r="N1917" s="6">
        <f t="shared" si="89"/>
        <v>2005</v>
      </c>
    </row>
    <row r="1918" spans="1:14">
      <c r="A1918" s="2" t="s">
        <v>122</v>
      </c>
      <c r="B1918" s="3">
        <v>10105</v>
      </c>
      <c r="C1918" s="3">
        <v>50</v>
      </c>
      <c r="D1918" s="13">
        <v>79.67</v>
      </c>
      <c r="E1918" s="5">
        <v>37663</v>
      </c>
      <c r="F1918" s="2" t="s">
        <v>13</v>
      </c>
      <c r="G1918" s="2" t="s">
        <v>202</v>
      </c>
      <c r="H1918" s="3">
        <v>1</v>
      </c>
      <c r="I1918" s="6">
        <v>2003</v>
      </c>
      <c r="J1918" s="2" t="s">
        <v>22</v>
      </c>
      <c r="K1918" s="2" t="s">
        <v>123</v>
      </c>
      <c r="L1918" s="7">
        <f t="shared" si="87"/>
        <v>3983.5</v>
      </c>
      <c r="M1918" s="2" t="str">
        <f t="shared" si="88"/>
        <v>February</v>
      </c>
      <c r="N1918" s="6">
        <f t="shared" si="89"/>
        <v>2003</v>
      </c>
    </row>
    <row r="1919" spans="1:14">
      <c r="A1919" s="2" t="s">
        <v>60</v>
      </c>
      <c r="B1919" s="3">
        <v>10119</v>
      </c>
      <c r="C1919" s="3">
        <v>35</v>
      </c>
      <c r="D1919" s="13">
        <v>90.57</v>
      </c>
      <c r="E1919" s="5">
        <v>37739</v>
      </c>
      <c r="F1919" s="2" t="s">
        <v>13</v>
      </c>
      <c r="G1919" s="2" t="s">
        <v>202</v>
      </c>
      <c r="H1919" s="3">
        <v>2</v>
      </c>
      <c r="I1919" s="6">
        <v>2003</v>
      </c>
      <c r="J1919" s="2" t="s">
        <v>22</v>
      </c>
      <c r="K1919" s="2" t="s">
        <v>62</v>
      </c>
      <c r="L1919" s="7">
        <f t="shared" si="87"/>
        <v>3169.95</v>
      </c>
      <c r="M1919" s="2" t="str">
        <f t="shared" si="88"/>
        <v>April</v>
      </c>
      <c r="N1919" s="6">
        <f t="shared" si="89"/>
        <v>2003</v>
      </c>
    </row>
    <row r="1920" spans="1:14">
      <c r="A1920" s="2" t="s">
        <v>124</v>
      </c>
      <c r="B1920" s="3">
        <v>10129</v>
      </c>
      <c r="C1920" s="3">
        <v>50</v>
      </c>
      <c r="D1920" s="13">
        <v>77.99</v>
      </c>
      <c r="E1920" s="5">
        <v>37784</v>
      </c>
      <c r="F1920" s="2" t="s">
        <v>13</v>
      </c>
      <c r="G1920" s="2" t="s">
        <v>202</v>
      </c>
      <c r="H1920" s="3">
        <v>2</v>
      </c>
      <c r="I1920" s="6">
        <v>2003</v>
      </c>
      <c r="J1920" s="2" t="s">
        <v>22</v>
      </c>
      <c r="K1920" s="2" t="s">
        <v>125</v>
      </c>
      <c r="L1920" s="7">
        <f t="shared" si="87"/>
        <v>3899.5</v>
      </c>
      <c r="M1920" s="2" t="str">
        <f t="shared" si="88"/>
        <v>June</v>
      </c>
      <c r="N1920" s="6">
        <f t="shared" si="89"/>
        <v>2003</v>
      </c>
    </row>
    <row r="1921" spans="1:14">
      <c r="A1921" s="2" t="s">
        <v>126</v>
      </c>
      <c r="B1921" s="3">
        <v>10143</v>
      </c>
      <c r="C1921" s="3">
        <v>23</v>
      </c>
      <c r="D1921" s="13">
        <v>80.51</v>
      </c>
      <c r="E1921" s="5">
        <v>37843</v>
      </c>
      <c r="F1921" s="2" t="s">
        <v>13</v>
      </c>
      <c r="G1921" s="2" t="s">
        <v>202</v>
      </c>
      <c r="H1921" s="3">
        <v>3</v>
      </c>
      <c r="I1921" s="6">
        <v>2003</v>
      </c>
      <c r="J1921" s="2" t="s">
        <v>15</v>
      </c>
      <c r="K1921" s="2" t="s">
        <v>127</v>
      </c>
      <c r="L1921" s="7">
        <f t="shared" si="87"/>
        <v>1851.73</v>
      </c>
      <c r="M1921" s="2" t="str">
        <f t="shared" si="88"/>
        <v>August</v>
      </c>
      <c r="N1921" s="6">
        <f t="shared" si="89"/>
        <v>2003</v>
      </c>
    </row>
    <row r="1922" spans="1:14">
      <c r="A1922" s="2" t="s">
        <v>54</v>
      </c>
      <c r="B1922" s="3">
        <v>10155</v>
      </c>
      <c r="C1922" s="3">
        <v>37</v>
      </c>
      <c r="D1922" s="13">
        <v>67.93</v>
      </c>
      <c r="E1922" s="5">
        <v>37900</v>
      </c>
      <c r="F1922" s="2" t="s">
        <v>13</v>
      </c>
      <c r="G1922" s="2" t="s">
        <v>202</v>
      </c>
      <c r="H1922" s="3">
        <v>4</v>
      </c>
      <c r="I1922" s="6">
        <v>2003</v>
      </c>
      <c r="J1922" s="2" t="s">
        <v>15</v>
      </c>
      <c r="K1922" s="2" t="s">
        <v>55</v>
      </c>
      <c r="L1922" s="7">
        <f t="shared" ref="L1922:L1985" si="90">PRODUCT(C1922,D1922)</f>
        <v>2513.41</v>
      </c>
      <c r="M1922" s="2" t="str">
        <f t="shared" ref="M1922:M1985" si="91">TEXT(E1922,"MMMM")</f>
        <v>October</v>
      </c>
      <c r="N1922" s="6">
        <f t="shared" ref="N1922:N1985" si="92">YEAR(E1922)</f>
        <v>2003</v>
      </c>
    </row>
    <row r="1923" spans="1:14">
      <c r="A1923" s="2" t="s">
        <v>99</v>
      </c>
      <c r="B1923" s="3">
        <v>10167</v>
      </c>
      <c r="C1923" s="3">
        <v>29</v>
      </c>
      <c r="D1923" s="13">
        <v>83.86</v>
      </c>
      <c r="E1923" s="5">
        <v>37917</v>
      </c>
      <c r="F1923" s="2" t="s">
        <v>128</v>
      </c>
      <c r="G1923" s="2" t="s">
        <v>202</v>
      </c>
      <c r="H1923" s="3">
        <v>4</v>
      </c>
      <c r="I1923" s="6">
        <v>2003</v>
      </c>
      <c r="J1923" s="2" t="s">
        <v>15</v>
      </c>
      <c r="K1923" s="2" t="s">
        <v>100</v>
      </c>
      <c r="L1923" s="7">
        <f t="shared" si="90"/>
        <v>2431.94</v>
      </c>
      <c r="M1923" s="2" t="str">
        <f t="shared" si="91"/>
        <v>October</v>
      </c>
      <c r="N1923" s="6">
        <f t="shared" si="92"/>
        <v>2003</v>
      </c>
    </row>
    <row r="1924" spans="1:14">
      <c r="A1924" s="2" t="s">
        <v>129</v>
      </c>
      <c r="B1924" s="3">
        <v>10178</v>
      </c>
      <c r="C1924" s="3">
        <v>21</v>
      </c>
      <c r="D1924" s="13">
        <v>72.12</v>
      </c>
      <c r="E1924" s="5">
        <v>37933</v>
      </c>
      <c r="F1924" s="2" t="s">
        <v>13</v>
      </c>
      <c r="G1924" s="2" t="s">
        <v>202</v>
      </c>
      <c r="H1924" s="3">
        <v>4</v>
      </c>
      <c r="I1924" s="6">
        <v>2003</v>
      </c>
      <c r="J1924" s="2" t="s">
        <v>15</v>
      </c>
      <c r="K1924" s="2" t="s">
        <v>130</v>
      </c>
      <c r="L1924" s="7">
        <f t="shared" si="90"/>
        <v>1514.52</v>
      </c>
      <c r="M1924" s="2" t="str">
        <f t="shared" si="91"/>
        <v>November</v>
      </c>
      <c r="N1924" s="6">
        <f t="shared" si="92"/>
        <v>2003</v>
      </c>
    </row>
    <row r="1925" spans="1:14">
      <c r="A1925" s="2" t="s">
        <v>131</v>
      </c>
      <c r="B1925" s="3">
        <v>10186</v>
      </c>
      <c r="C1925" s="3">
        <v>36</v>
      </c>
      <c r="D1925" s="13">
        <v>85.54</v>
      </c>
      <c r="E1925" s="5">
        <v>37939</v>
      </c>
      <c r="F1925" s="2" t="s">
        <v>13</v>
      </c>
      <c r="G1925" s="2" t="s">
        <v>202</v>
      </c>
      <c r="H1925" s="3">
        <v>4</v>
      </c>
      <c r="I1925" s="6">
        <v>2003</v>
      </c>
      <c r="J1925" s="2" t="s">
        <v>22</v>
      </c>
      <c r="K1925" s="2" t="s">
        <v>132</v>
      </c>
      <c r="L1925" s="7">
        <f t="shared" si="90"/>
        <v>3079.44</v>
      </c>
      <c r="M1925" s="2" t="str">
        <f t="shared" si="91"/>
        <v>November</v>
      </c>
      <c r="N1925" s="6">
        <f t="shared" si="92"/>
        <v>2003</v>
      </c>
    </row>
    <row r="1926" spans="1:14">
      <c r="A1926" s="2" t="s">
        <v>133</v>
      </c>
      <c r="B1926" s="3">
        <v>10197</v>
      </c>
      <c r="C1926" s="3">
        <v>22</v>
      </c>
      <c r="D1926" s="13">
        <v>86.38</v>
      </c>
      <c r="E1926" s="5">
        <v>37951</v>
      </c>
      <c r="F1926" s="2" t="s">
        <v>13</v>
      </c>
      <c r="G1926" s="2" t="s">
        <v>202</v>
      </c>
      <c r="H1926" s="3">
        <v>4</v>
      </c>
      <c r="I1926" s="6">
        <v>2003</v>
      </c>
      <c r="J1926" s="2" t="s">
        <v>15</v>
      </c>
      <c r="K1926" s="2" t="s">
        <v>134</v>
      </c>
      <c r="L1926" s="7">
        <f t="shared" si="90"/>
        <v>1900.36</v>
      </c>
      <c r="M1926" s="2" t="str">
        <f t="shared" si="91"/>
        <v>November</v>
      </c>
      <c r="N1926" s="6">
        <f t="shared" si="92"/>
        <v>2003</v>
      </c>
    </row>
    <row r="1927" spans="1:14">
      <c r="A1927" s="2" t="s">
        <v>135</v>
      </c>
      <c r="B1927" s="3">
        <v>10209</v>
      </c>
      <c r="C1927" s="3">
        <v>22</v>
      </c>
      <c r="D1927" s="13">
        <v>89.73</v>
      </c>
      <c r="E1927" s="5">
        <v>37995</v>
      </c>
      <c r="F1927" s="2" t="s">
        <v>13</v>
      </c>
      <c r="G1927" s="2" t="s">
        <v>202</v>
      </c>
      <c r="H1927" s="3">
        <v>1</v>
      </c>
      <c r="I1927" s="6">
        <v>2004</v>
      </c>
      <c r="J1927" s="2" t="s">
        <v>15</v>
      </c>
      <c r="K1927" s="2" t="s">
        <v>136</v>
      </c>
      <c r="L1927" s="7">
        <f t="shared" si="90"/>
        <v>1974.06</v>
      </c>
      <c r="M1927" s="2" t="str">
        <f t="shared" si="91"/>
        <v>January</v>
      </c>
      <c r="N1927" s="6">
        <f t="shared" si="92"/>
        <v>2004</v>
      </c>
    </row>
    <row r="1928" spans="1:14">
      <c r="A1928" s="2" t="s">
        <v>137</v>
      </c>
      <c r="B1928" s="3">
        <v>10222</v>
      </c>
      <c r="C1928" s="3">
        <v>46</v>
      </c>
      <c r="D1928" s="13">
        <v>80.51</v>
      </c>
      <c r="E1928" s="5">
        <v>38036</v>
      </c>
      <c r="F1928" s="2" t="s">
        <v>13</v>
      </c>
      <c r="G1928" s="2" t="s">
        <v>202</v>
      </c>
      <c r="H1928" s="3">
        <v>1</v>
      </c>
      <c r="I1928" s="6">
        <v>2004</v>
      </c>
      <c r="J1928" s="2" t="s">
        <v>22</v>
      </c>
      <c r="K1928" s="2" t="s">
        <v>138</v>
      </c>
      <c r="L1928" s="7">
        <f t="shared" si="90"/>
        <v>3703.46</v>
      </c>
      <c r="M1928" s="2" t="str">
        <f t="shared" si="91"/>
        <v>February</v>
      </c>
      <c r="N1928" s="6">
        <f t="shared" si="92"/>
        <v>2004</v>
      </c>
    </row>
    <row r="1929" spans="1:14">
      <c r="A1929" s="2" t="s">
        <v>12</v>
      </c>
      <c r="B1929" s="3">
        <v>10248</v>
      </c>
      <c r="C1929" s="3">
        <v>23</v>
      </c>
      <c r="D1929" s="13">
        <v>76.31</v>
      </c>
      <c r="E1929" s="5">
        <v>38114</v>
      </c>
      <c r="F1929" s="2" t="s">
        <v>128</v>
      </c>
      <c r="G1929" s="2" t="s">
        <v>202</v>
      </c>
      <c r="H1929" s="3">
        <v>2</v>
      </c>
      <c r="I1929" s="6">
        <v>2004</v>
      </c>
      <c r="J1929" s="2" t="s">
        <v>15</v>
      </c>
      <c r="K1929" s="2" t="s">
        <v>16</v>
      </c>
      <c r="L1929" s="7">
        <f t="shared" si="90"/>
        <v>1755.13</v>
      </c>
      <c r="M1929" s="2" t="str">
        <f t="shared" si="91"/>
        <v>May</v>
      </c>
      <c r="N1929" s="6">
        <f t="shared" si="92"/>
        <v>2004</v>
      </c>
    </row>
    <row r="1930" spans="1:14">
      <c r="A1930" s="2" t="s">
        <v>69</v>
      </c>
      <c r="B1930" s="3">
        <v>10262</v>
      </c>
      <c r="C1930" s="3">
        <v>49</v>
      </c>
      <c r="D1930" s="13">
        <v>87.21</v>
      </c>
      <c r="E1930" s="5">
        <v>38162</v>
      </c>
      <c r="F1930" s="2" t="s">
        <v>128</v>
      </c>
      <c r="G1930" s="2" t="s">
        <v>202</v>
      </c>
      <c r="H1930" s="3">
        <v>2</v>
      </c>
      <c r="I1930" s="6">
        <v>2004</v>
      </c>
      <c r="J1930" s="2" t="s">
        <v>22</v>
      </c>
      <c r="K1930" s="2" t="s">
        <v>71</v>
      </c>
      <c r="L1930" s="7">
        <f t="shared" si="90"/>
        <v>4273.29</v>
      </c>
      <c r="M1930" s="2" t="str">
        <f t="shared" si="91"/>
        <v>June</v>
      </c>
      <c r="N1930" s="6">
        <f t="shared" si="92"/>
        <v>2004</v>
      </c>
    </row>
    <row r="1931" spans="1:14">
      <c r="A1931" s="2" t="s">
        <v>139</v>
      </c>
      <c r="B1931" s="3">
        <v>10273</v>
      </c>
      <c r="C1931" s="3">
        <v>48</v>
      </c>
      <c r="D1931" s="13">
        <v>83.02</v>
      </c>
      <c r="E1931" s="5">
        <v>38189</v>
      </c>
      <c r="F1931" s="2" t="s">
        <v>13</v>
      </c>
      <c r="G1931" s="2" t="s">
        <v>202</v>
      </c>
      <c r="H1931" s="3">
        <v>3</v>
      </c>
      <c r="I1931" s="6">
        <v>2004</v>
      </c>
      <c r="J1931" s="2" t="s">
        <v>22</v>
      </c>
      <c r="K1931" s="2" t="s">
        <v>140</v>
      </c>
      <c r="L1931" s="7">
        <f t="shared" si="90"/>
        <v>3984.96</v>
      </c>
      <c r="M1931" s="2" t="str">
        <f t="shared" si="91"/>
        <v>July</v>
      </c>
      <c r="N1931" s="6">
        <f t="shared" si="92"/>
        <v>2004</v>
      </c>
    </row>
    <row r="1932" spans="1:14">
      <c r="A1932" s="2" t="s">
        <v>141</v>
      </c>
      <c r="B1932" s="3">
        <v>10283</v>
      </c>
      <c r="C1932" s="3">
        <v>33</v>
      </c>
      <c r="D1932" s="13">
        <v>72.96</v>
      </c>
      <c r="E1932" s="5">
        <v>38219</v>
      </c>
      <c r="F1932" s="2" t="s">
        <v>13</v>
      </c>
      <c r="G1932" s="2" t="s">
        <v>202</v>
      </c>
      <c r="H1932" s="3">
        <v>3</v>
      </c>
      <c r="I1932" s="6">
        <v>2004</v>
      </c>
      <c r="J1932" s="2" t="s">
        <v>15</v>
      </c>
      <c r="K1932" s="2" t="s">
        <v>142</v>
      </c>
      <c r="L1932" s="7">
        <f t="shared" si="90"/>
        <v>2407.68</v>
      </c>
      <c r="M1932" s="2" t="str">
        <f t="shared" si="91"/>
        <v>August</v>
      </c>
      <c r="N1932" s="6">
        <f t="shared" si="92"/>
        <v>2004</v>
      </c>
    </row>
    <row r="1933" spans="1:14">
      <c r="A1933" s="2" t="s">
        <v>210</v>
      </c>
      <c r="B1933" s="3">
        <v>10296</v>
      </c>
      <c r="C1933" s="3">
        <v>22</v>
      </c>
      <c r="D1933" s="13">
        <v>77.15</v>
      </c>
      <c r="E1933" s="5">
        <v>38245</v>
      </c>
      <c r="F1933" s="2" t="s">
        <v>13</v>
      </c>
      <c r="G1933" s="2" t="s">
        <v>202</v>
      </c>
      <c r="H1933" s="3">
        <v>3</v>
      </c>
      <c r="I1933" s="6">
        <v>2004</v>
      </c>
      <c r="J1933" s="2" t="s">
        <v>15</v>
      </c>
      <c r="K1933" s="2" t="s">
        <v>211</v>
      </c>
      <c r="L1933" s="7">
        <f t="shared" si="90"/>
        <v>1697.3</v>
      </c>
      <c r="M1933" s="2" t="str">
        <f t="shared" si="91"/>
        <v>September</v>
      </c>
      <c r="N1933" s="6">
        <f t="shared" si="92"/>
        <v>2004</v>
      </c>
    </row>
    <row r="1934" spans="1:14">
      <c r="A1934" s="2" t="s">
        <v>83</v>
      </c>
      <c r="B1934" s="3">
        <v>10307</v>
      </c>
      <c r="C1934" s="3">
        <v>22</v>
      </c>
      <c r="D1934" s="13">
        <v>91.41</v>
      </c>
      <c r="E1934" s="5">
        <v>38274</v>
      </c>
      <c r="F1934" s="2" t="s">
        <v>13</v>
      </c>
      <c r="G1934" s="2" t="s">
        <v>202</v>
      </c>
      <c r="H1934" s="3">
        <v>4</v>
      </c>
      <c r="I1934" s="6">
        <v>2004</v>
      </c>
      <c r="J1934" s="2" t="s">
        <v>15</v>
      </c>
      <c r="K1934" s="2" t="s">
        <v>84</v>
      </c>
      <c r="L1934" s="7">
        <f t="shared" si="90"/>
        <v>2011.02</v>
      </c>
      <c r="M1934" s="2" t="str">
        <f t="shared" si="91"/>
        <v>October</v>
      </c>
      <c r="N1934" s="6">
        <f t="shared" si="92"/>
        <v>2004</v>
      </c>
    </row>
    <row r="1935" spans="1:14">
      <c r="A1935" s="2" t="s">
        <v>145</v>
      </c>
      <c r="B1935" s="3">
        <v>10316</v>
      </c>
      <c r="C1935" s="3">
        <v>25</v>
      </c>
      <c r="D1935" s="13">
        <v>92.25</v>
      </c>
      <c r="E1935" s="5">
        <v>38292</v>
      </c>
      <c r="F1935" s="2" t="s">
        <v>13</v>
      </c>
      <c r="G1935" s="2" t="s">
        <v>202</v>
      </c>
      <c r="H1935" s="3">
        <v>4</v>
      </c>
      <c r="I1935" s="6">
        <v>2004</v>
      </c>
      <c r="J1935" s="2" t="s">
        <v>15</v>
      </c>
      <c r="K1935" s="2" t="s">
        <v>146</v>
      </c>
      <c r="L1935" s="7">
        <f t="shared" si="90"/>
        <v>2306.25</v>
      </c>
      <c r="M1935" s="2" t="str">
        <f t="shared" si="91"/>
        <v>November</v>
      </c>
      <c r="N1935" s="6">
        <f t="shared" si="92"/>
        <v>2004</v>
      </c>
    </row>
    <row r="1936" spans="1:14">
      <c r="A1936" s="2" t="s">
        <v>73</v>
      </c>
      <c r="B1936" s="3">
        <v>10326</v>
      </c>
      <c r="C1936" s="3">
        <v>20</v>
      </c>
      <c r="D1936" s="13">
        <v>92.25</v>
      </c>
      <c r="E1936" s="5">
        <v>38300</v>
      </c>
      <c r="F1936" s="2" t="s">
        <v>13</v>
      </c>
      <c r="G1936" s="2" t="s">
        <v>202</v>
      </c>
      <c r="H1936" s="3">
        <v>4</v>
      </c>
      <c r="I1936" s="6">
        <v>2004</v>
      </c>
      <c r="J1936" s="2" t="s">
        <v>15</v>
      </c>
      <c r="K1936" s="2" t="s">
        <v>74</v>
      </c>
      <c r="L1936" s="7">
        <f t="shared" si="90"/>
        <v>1845</v>
      </c>
      <c r="M1936" s="2" t="str">
        <f t="shared" si="91"/>
        <v>November</v>
      </c>
      <c r="N1936" s="6">
        <f t="shared" si="92"/>
        <v>2004</v>
      </c>
    </row>
    <row r="1937" spans="1:14">
      <c r="A1937" s="2" t="s">
        <v>95</v>
      </c>
      <c r="B1937" s="3">
        <v>10339</v>
      </c>
      <c r="C1937" s="3">
        <v>42</v>
      </c>
      <c r="D1937" s="13">
        <v>59.36</v>
      </c>
      <c r="E1937" s="5">
        <v>38314</v>
      </c>
      <c r="F1937" s="2" t="s">
        <v>13</v>
      </c>
      <c r="G1937" s="2" t="s">
        <v>202</v>
      </c>
      <c r="H1937" s="3">
        <v>4</v>
      </c>
      <c r="I1937" s="6">
        <v>2004</v>
      </c>
      <c r="J1937" s="2" t="s">
        <v>15</v>
      </c>
      <c r="K1937" s="2" t="s">
        <v>96</v>
      </c>
      <c r="L1937" s="7">
        <f t="shared" si="90"/>
        <v>2493.12</v>
      </c>
      <c r="M1937" s="2" t="str">
        <f t="shared" si="91"/>
        <v>November</v>
      </c>
      <c r="N1937" s="6">
        <f t="shared" si="92"/>
        <v>2004</v>
      </c>
    </row>
    <row r="1938" spans="1:14">
      <c r="A1938" s="2" t="s">
        <v>69</v>
      </c>
      <c r="B1938" s="3">
        <v>10350</v>
      </c>
      <c r="C1938" s="3">
        <v>25</v>
      </c>
      <c r="D1938" s="13">
        <v>60.34</v>
      </c>
      <c r="E1938" s="5">
        <v>38323</v>
      </c>
      <c r="F1938" s="2" t="s">
        <v>13</v>
      </c>
      <c r="G1938" s="2" t="s">
        <v>202</v>
      </c>
      <c r="H1938" s="3">
        <v>4</v>
      </c>
      <c r="I1938" s="6">
        <v>2004</v>
      </c>
      <c r="J1938" s="2" t="s">
        <v>15</v>
      </c>
      <c r="K1938" s="2" t="s">
        <v>71</v>
      </c>
      <c r="L1938" s="7">
        <f t="shared" si="90"/>
        <v>1508.5</v>
      </c>
      <c r="M1938" s="2" t="str">
        <f t="shared" si="91"/>
        <v>December</v>
      </c>
      <c r="N1938" s="6">
        <f t="shared" si="92"/>
        <v>2004</v>
      </c>
    </row>
    <row r="1939" spans="1:14">
      <c r="A1939" s="2" t="s">
        <v>147</v>
      </c>
      <c r="B1939" s="3">
        <v>10373</v>
      </c>
      <c r="C1939" s="3">
        <v>23</v>
      </c>
      <c r="D1939" s="13">
        <v>100</v>
      </c>
      <c r="E1939" s="5">
        <v>38383</v>
      </c>
      <c r="F1939" s="2" t="s">
        <v>13</v>
      </c>
      <c r="G1939" s="2" t="s">
        <v>202</v>
      </c>
      <c r="H1939" s="3">
        <v>1</v>
      </c>
      <c r="I1939" s="6">
        <v>2005</v>
      </c>
      <c r="J1939" s="2" t="s">
        <v>15</v>
      </c>
      <c r="K1939" s="2" t="s">
        <v>148</v>
      </c>
      <c r="L1939" s="7">
        <f t="shared" si="90"/>
        <v>2300</v>
      </c>
      <c r="M1939" s="2" t="str">
        <f t="shared" si="91"/>
        <v>January</v>
      </c>
      <c r="N1939" s="6">
        <f t="shared" si="92"/>
        <v>2005</v>
      </c>
    </row>
    <row r="1940" spans="1:14">
      <c r="A1940" s="2" t="s">
        <v>103</v>
      </c>
      <c r="B1940" s="3">
        <v>10385</v>
      </c>
      <c r="C1940" s="3">
        <v>37</v>
      </c>
      <c r="D1940" s="13">
        <v>85.54</v>
      </c>
      <c r="E1940" s="5">
        <v>38411</v>
      </c>
      <c r="F1940" s="2" t="s">
        <v>13</v>
      </c>
      <c r="G1940" s="2" t="s">
        <v>202</v>
      </c>
      <c r="H1940" s="3">
        <v>1</v>
      </c>
      <c r="I1940" s="6">
        <v>2005</v>
      </c>
      <c r="J1940" s="2" t="s">
        <v>22</v>
      </c>
      <c r="K1940" s="2" t="s">
        <v>104</v>
      </c>
      <c r="L1940" s="7">
        <f t="shared" si="90"/>
        <v>3164.98</v>
      </c>
      <c r="M1940" s="2" t="str">
        <f t="shared" si="91"/>
        <v>February</v>
      </c>
      <c r="N1940" s="6">
        <f t="shared" si="92"/>
        <v>2005</v>
      </c>
    </row>
    <row r="1941" spans="1:14">
      <c r="A1941" s="2" t="s">
        <v>103</v>
      </c>
      <c r="B1941" s="3">
        <v>10396</v>
      </c>
      <c r="C1941" s="3">
        <v>37</v>
      </c>
      <c r="D1941" s="13">
        <v>90.57</v>
      </c>
      <c r="E1941" s="5">
        <v>38434</v>
      </c>
      <c r="F1941" s="2" t="s">
        <v>13</v>
      </c>
      <c r="G1941" s="2" t="s">
        <v>202</v>
      </c>
      <c r="H1941" s="3">
        <v>1</v>
      </c>
      <c r="I1941" s="6">
        <v>2005</v>
      </c>
      <c r="J1941" s="2" t="s">
        <v>22</v>
      </c>
      <c r="K1941" s="2" t="s">
        <v>104</v>
      </c>
      <c r="L1941" s="7">
        <f t="shared" si="90"/>
        <v>3351.09</v>
      </c>
      <c r="M1941" s="2" t="str">
        <f t="shared" si="91"/>
        <v>March</v>
      </c>
      <c r="N1941" s="6">
        <f t="shared" si="92"/>
        <v>2005</v>
      </c>
    </row>
    <row r="1942" spans="1:14">
      <c r="A1942" s="2" t="s">
        <v>149</v>
      </c>
      <c r="B1942" s="3">
        <v>10400</v>
      </c>
      <c r="C1942" s="3">
        <v>42</v>
      </c>
      <c r="D1942" s="13">
        <v>72.96</v>
      </c>
      <c r="E1942" s="5">
        <v>38443</v>
      </c>
      <c r="F1942" s="2" t="s">
        <v>13</v>
      </c>
      <c r="G1942" s="2" t="s">
        <v>202</v>
      </c>
      <c r="H1942" s="3">
        <v>2</v>
      </c>
      <c r="I1942" s="6">
        <v>2005</v>
      </c>
      <c r="J1942" s="2" t="s">
        <v>22</v>
      </c>
      <c r="K1942" s="2" t="s">
        <v>150</v>
      </c>
      <c r="L1942" s="7">
        <f t="shared" si="90"/>
        <v>3064.32</v>
      </c>
      <c r="M1942" s="2" t="str">
        <f t="shared" si="91"/>
        <v>April</v>
      </c>
      <c r="N1942" s="6">
        <f t="shared" si="92"/>
        <v>2005</v>
      </c>
    </row>
    <row r="1943" spans="1:14">
      <c r="A1943" s="2" t="s">
        <v>143</v>
      </c>
      <c r="B1943" s="3">
        <v>10414</v>
      </c>
      <c r="C1943" s="3">
        <v>51</v>
      </c>
      <c r="D1943" s="13">
        <v>76.31</v>
      </c>
      <c r="E1943" s="5">
        <v>38478</v>
      </c>
      <c r="F1943" s="2" t="s">
        <v>151</v>
      </c>
      <c r="G1943" s="2" t="s">
        <v>202</v>
      </c>
      <c r="H1943" s="3">
        <v>2</v>
      </c>
      <c r="I1943" s="6">
        <v>2005</v>
      </c>
      <c r="J1943" s="2" t="s">
        <v>22</v>
      </c>
      <c r="K1943" s="2" t="s">
        <v>144</v>
      </c>
      <c r="L1943" s="7">
        <f t="shared" si="90"/>
        <v>3891.81</v>
      </c>
      <c r="M1943" s="2" t="str">
        <f t="shared" si="91"/>
        <v>May</v>
      </c>
      <c r="N1943" s="6">
        <f t="shared" si="92"/>
        <v>2005</v>
      </c>
    </row>
    <row r="1944" spans="1:14">
      <c r="A1944" s="2" t="s">
        <v>161</v>
      </c>
      <c r="B1944" s="3">
        <v>10108</v>
      </c>
      <c r="C1944" s="3">
        <v>40</v>
      </c>
      <c r="D1944" s="13">
        <v>100</v>
      </c>
      <c r="E1944" s="5">
        <v>37683</v>
      </c>
      <c r="F1944" s="2" t="s">
        <v>13</v>
      </c>
      <c r="G1944" s="2" t="s">
        <v>72</v>
      </c>
      <c r="H1944" s="3">
        <v>1</v>
      </c>
      <c r="I1944" s="6">
        <v>2003</v>
      </c>
      <c r="J1944" s="2" t="s">
        <v>22</v>
      </c>
      <c r="K1944" s="2" t="s">
        <v>162</v>
      </c>
      <c r="L1944" s="7">
        <f t="shared" si="90"/>
        <v>4000</v>
      </c>
      <c r="M1944" s="2" t="str">
        <f t="shared" si="91"/>
        <v>March</v>
      </c>
      <c r="N1944" s="6">
        <f t="shared" si="92"/>
        <v>2003</v>
      </c>
    </row>
    <row r="1945" spans="1:14">
      <c r="A1945" s="2" t="s">
        <v>163</v>
      </c>
      <c r="B1945" s="3">
        <v>10122</v>
      </c>
      <c r="C1945" s="3">
        <v>43</v>
      </c>
      <c r="D1945" s="13">
        <v>100</v>
      </c>
      <c r="E1945" s="5">
        <v>37749</v>
      </c>
      <c r="F1945" s="2" t="s">
        <v>13</v>
      </c>
      <c r="G1945" s="2" t="s">
        <v>72</v>
      </c>
      <c r="H1945" s="3">
        <v>2</v>
      </c>
      <c r="I1945" s="6">
        <v>2003</v>
      </c>
      <c r="J1945" s="2" t="s">
        <v>22</v>
      </c>
      <c r="K1945" s="2" t="s">
        <v>164</v>
      </c>
      <c r="L1945" s="7">
        <f t="shared" si="90"/>
        <v>4300</v>
      </c>
      <c r="M1945" s="2" t="str">
        <f t="shared" si="91"/>
        <v>May</v>
      </c>
      <c r="N1945" s="6">
        <f t="shared" si="92"/>
        <v>2003</v>
      </c>
    </row>
    <row r="1946" spans="1:14">
      <c r="A1946" s="2" t="s">
        <v>103</v>
      </c>
      <c r="B1946" s="3">
        <v>10135</v>
      </c>
      <c r="C1946" s="3">
        <v>47</v>
      </c>
      <c r="D1946" s="13">
        <v>100</v>
      </c>
      <c r="E1946" s="5">
        <v>37804</v>
      </c>
      <c r="F1946" s="2" t="s">
        <v>13</v>
      </c>
      <c r="G1946" s="2" t="s">
        <v>72</v>
      </c>
      <c r="H1946" s="3">
        <v>3</v>
      </c>
      <c r="I1946" s="6">
        <v>2003</v>
      </c>
      <c r="J1946" s="2" t="s">
        <v>22</v>
      </c>
      <c r="K1946" s="2" t="s">
        <v>104</v>
      </c>
      <c r="L1946" s="7">
        <f t="shared" si="90"/>
        <v>4700</v>
      </c>
      <c r="M1946" s="2" t="str">
        <f t="shared" si="91"/>
        <v>July</v>
      </c>
      <c r="N1946" s="6">
        <f t="shared" si="92"/>
        <v>2003</v>
      </c>
    </row>
    <row r="1947" spans="1:14">
      <c r="A1947" s="2" t="s">
        <v>107</v>
      </c>
      <c r="B1947" s="3">
        <v>10147</v>
      </c>
      <c r="C1947" s="3">
        <v>23</v>
      </c>
      <c r="D1947" s="13">
        <v>100</v>
      </c>
      <c r="E1947" s="5">
        <v>37869</v>
      </c>
      <c r="F1947" s="2" t="s">
        <v>13</v>
      </c>
      <c r="G1947" s="2" t="s">
        <v>72</v>
      </c>
      <c r="H1947" s="3">
        <v>3</v>
      </c>
      <c r="I1947" s="6">
        <v>2003</v>
      </c>
      <c r="J1947" s="2" t="s">
        <v>15</v>
      </c>
      <c r="K1947" s="2" t="s">
        <v>108</v>
      </c>
      <c r="L1947" s="7">
        <f t="shared" si="90"/>
        <v>2300</v>
      </c>
      <c r="M1947" s="2" t="str">
        <f t="shared" si="91"/>
        <v>September</v>
      </c>
      <c r="N1947" s="6">
        <f t="shared" si="92"/>
        <v>2003</v>
      </c>
    </row>
    <row r="1948" spans="1:14">
      <c r="A1948" s="2" t="s">
        <v>135</v>
      </c>
      <c r="B1948" s="3">
        <v>10160</v>
      </c>
      <c r="C1948" s="3">
        <v>35</v>
      </c>
      <c r="D1948" s="13">
        <v>100</v>
      </c>
      <c r="E1948" s="5">
        <v>37905</v>
      </c>
      <c r="F1948" s="2" t="s">
        <v>13</v>
      </c>
      <c r="G1948" s="2" t="s">
        <v>72</v>
      </c>
      <c r="H1948" s="3">
        <v>4</v>
      </c>
      <c r="I1948" s="6">
        <v>2003</v>
      </c>
      <c r="J1948" s="2" t="s">
        <v>22</v>
      </c>
      <c r="K1948" s="2" t="s">
        <v>136</v>
      </c>
      <c r="L1948" s="7">
        <f t="shared" si="90"/>
        <v>3500</v>
      </c>
      <c r="M1948" s="2" t="str">
        <f t="shared" si="91"/>
        <v>October</v>
      </c>
      <c r="N1948" s="6">
        <f t="shared" si="92"/>
        <v>2003</v>
      </c>
    </row>
    <row r="1949" spans="1:14">
      <c r="A1949" s="2" t="s">
        <v>154</v>
      </c>
      <c r="B1949" s="3">
        <v>10170</v>
      </c>
      <c r="C1949" s="3">
        <v>34</v>
      </c>
      <c r="D1949" s="13">
        <v>100</v>
      </c>
      <c r="E1949" s="5">
        <v>37929</v>
      </c>
      <c r="F1949" s="2" t="s">
        <v>13</v>
      </c>
      <c r="G1949" s="2" t="s">
        <v>72</v>
      </c>
      <c r="H1949" s="3">
        <v>4</v>
      </c>
      <c r="I1949" s="6">
        <v>2003</v>
      </c>
      <c r="J1949" s="2" t="s">
        <v>22</v>
      </c>
      <c r="K1949" s="2" t="s">
        <v>156</v>
      </c>
      <c r="L1949" s="7">
        <f t="shared" si="90"/>
        <v>3400</v>
      </c>
      <c r="M1949" s="2" t="str">
        <f t="shared" si="91"/>
        <v>November</v>
      </c>
      <c r="N1949" s="6">
        <f t="shared" si="92"/>
        <v>2003</v>
      </c>
    </row>
    <row r="1950" spans="1:14">
      <c r="A1950" s="2" t="s">
        <v>36</v>
      </c>
      <c r="B1950" s="3">
        <v>10181</v>
      </c>
      <c r="C1950" s="3">
        <v>25</v>
      </c>
      <c r="D1950" s="13">
        <v>100</v>
      </c>
      <c r="E1950" s="5">
        <v>37937</v>
      </c>
      <c r="F1950" s="2" t="s">
        <v>13</v>
      </c>
      <c r="G1950" s="2" t="s">
        <v>72</v>
      </c>
      <c r="H1950" s="3">
        <v>4</v>
      </c>
      <c r="I1950" s="6">
        <v>2003</v>
      </c>
      <c r="J1950" s="2" t="s">
        <v>22</v>
      </c>
      <c r="K1950" s="2" t="s">
        <v>37</v>
      </c>
      <c r="L1950" s="7">
        <f t="shared" si="90"/>
        <v>2500</v>
      </c>
      <c r="M1950" s="2" t="str">
        <f t="shared" si="91"/>
        <v>November</v>
      </c>
      <c r="N1950" s="6">
        <f t="shared" si="92"/>
        <v>2003</v>
      </c>
    </row>
    <row r="1951" spans="1:14">
      <c r="A1951" s="2" t="s">
        <v>69</v>
      </c>
      <c r="B1951" s="3">
        <v>10212</v>
      </c>
      <c r="C1951" s="3">
        <v>49</v>
      </c>
      <c r="D1951" s="13">
        <v>100</v>
      </c>
      <c r="E1951" s="5">
        <v>38002</v>
      </c>
      <c r="F1951" s="2" t="s">
        <v>13</v>
      </c>
      <c r="G1951" s="2" t="s">
        <v>72</v>
      </c>
      <c r="H1951" s="3">
        <v>1</v>
      </c>
      <c r="I1951" s="6">
        <v>2004</v>
      </c>
      <c r="J1951" s="2" t="s">
        <v>22</v>
      </c>
      <c r="K1951" s="2" t="s">
        <v>71</v>
      </c>
      <c r="L1951" s="7">
        <f t="shared" si="90"/>
        <v>4900</v>
      </c>
      <c r="M1951" s="2" t="str">
        <f t="shared" si="91"/>
        <v>January</v>
      </c>
      <c r="N1951" s="6">
        <f t="shared" si="92"/>
        <v>2004</v>
      </c>
    </row>
    <row r="1952" spans="1:14">
      <c r="A1952" s="2" t="s">
        <v>167</v>
      </c>
      <c r="B1952" s="3">
        <v>10225</v>
      </c>
      <c r="C1952" s="3">
        <v>40</v>
      </c>
      <c r="D1952" s="13">
        <v>100</v>
      </c>
      <c r="E1952" s="5">
        <v>38039</v>
      </c>
      <c r="F1952" s="2" t="s">
        <v>13</v>
      </c>
      <c r="G1952" s="2" t="s">
        <v>72</v>
      </c>
      <c r="H1952" s="3">
        <v>1</v>
      </c>
      <c r="I1952" s="6">
        <v>2004</v>
      </c>
      <c r="J1952" s="2" t="s">
        <v>22</v>
      </c>
      <c r="K1952" s="2" t="s">
        <v>168</v>
      </c>
      <c r="L1952" s="7">
        <f t="shared" si="90"/>
        <v>4000</v>
      </c>
      <c r="M1952" s="2" t="str">
        <f t="shared" si="91"/>
        <v>February</v>
      </c>
      <c r="N1952" s="6">
        <f t="shared" si="92"/>
        <v>2004</v>
      </c>
    </row>
    <row r="1953" spans="1:14">
      <c r="A1953" s="2" t="s">
        <v>147</v>
      </c>
      <c r="B1953" s="3">
        <v>10239</v>
      </c>
      <c r="C1953" s="3">
        <v>29</v>
      </c>
      <c r="D1953" s="13">
        <v>100</v>
      </c>
      <c r="E1953" s="5">
        <v>38089</v>
      </c>
      <c r="F1953" s="2" t="s">
        <v>13</v>
      </c>
      <c r="G1953" s="2" t="s">
        <v>72</v>
      </c>
      <c r="H1953" s="3">
        <v>2</v>
      </c>
      <c r="I1953" s="6">
        <v>2004</v>
      </c>
      <c r="J1953" s="2" t="s">
        <v>22</v>
      </c>
      <c r="K1953" s="2" t="s">
        <v>148</v>
      </c>
      <c r="L1953" s="7">
        <f t="shared" si="90"/>
        <v>2900</v>
      </c>
      <c r="M1953" s="2" t="str">
        <f t="shared" si="91"/>
        <v>April</v>
      </c>
      <c r="N1953" s="6">
        <f t="shared" si="92"/>
        <v>2004</v>
      </c>
    </row>
    <row r="1954" spans="1:14">
      <c r="A1954" s="2" t="s">
        <v>67</v>
      </c>
      <c r="B1954" s="3">
        <v>10253</v>
      </c>
      <c r="C1954" s="3">
        <v>39</v>
      </c>
      <c r="D1954" s="13">
        <v>100</v>
      </c>
      <c r="E1954" s="5">
        <v>38139</v>
      </c>
      <c r="F1954" s="2" t="s">
        <v>128</v>
      </c>
      <c r="G1954" s="2" t="s">
        <v>72</v>
      </c>
      <c r="H1954" s="3">
        <v>2</v>
      </c>
      <c r="I1954" s="6">
        <v>2004</v>
      </c>
      <c r="J1954" s="2" t="s">
        <v>22</v>
      </c>
      <c r="K1954" s="2" t="s">
        <v>68</v>
      </c>
      <c r="L1954" s="7">
        <f t="shared" si="90"/>
        <v>3900</v>
      </c>
      <c r="M1954" s="2" t="str">
        <f t="shared" si="91"/>
        <v>June</v>
      </c>
      <c r="N1954" s="6">
        <f t="shared" si="92"/>
        <v>2004</v>
      </c>
    </row>
    <row r="1955" spans="1:14">
      <c r="A1955" s="2" t="s">
        <v>169</v>
      </c>
      <c r="B1955" s="3">
        <v>10266</v>
      </c>
      <c r="C1955" s="3">
        <v>24</v>
      </c>
      <c r="D1955" s="13">
        <v>100</v>
      </c>
      <c r="E1955" s="5">
        <v>38174</v>
      </c>
      <c r="F1955" s="2" t="s">
        <v>13</v>
      </c>
      <c r="G1955" s="2" t="s">
        <v>72</v>
      </c>
      <c r="H1955" s="3">
        <v>3</v>
      </c>
      <c r="I1955" s="6">
        <v>2004</v>
      </c>
      <c r="J1955" s="2" t="s">
        <v>15</v>
      </c>
      <c r="K1955" s="2" t="s">
        <v>170</v>
      </c>
      <c r="L1955" s="7">
        <f t="shared" si="90"/>
        <v>2400</v>
      </c>
      <c r="M1955" s="2" t="str">
        <f t="shared" si="91"/>
        <v>July</v>
      </c>
      <c r="N1955" s="6">
        <f t="shared" si="92"/>
        <v>2004</v>
      </c>
    </row>
    <row r="1956" spans="1:14">
      <c r="A1956" s="2" t="s">
        <v>198</v>
      </c>
      <c r="B1956" s="3">
        <v>10278</v>
      </c>
      <c r="C1956" s="3">
        <v>25</v>
      </c>
      <c r="D1956" s="13">
        <v>100</v>
      </c>
      <c r="E1956" s="5">
        <v>38205</v>
      </c>
      <c r="F1956" s="2" t="s">
        <v>13</v>
      </c>
      <c r="G1956" s="2" t="s">
        <v>72</v>
      </c>
      <c r="H1956" s="3">
        <v>3</v>
      </c>
      <c r="I1956" s="6">
        <v>2004</v>
      </c>
      <c r="J1956" s="2" t="s">
        <v>22</v>
      </c>
      <c r="K1956" s="2" t="s">
        <v>199</v>
      </c>
      <c r="L1956" s="7">
        <f t="shared" si="90"/>
        <v>2500</v>
      </c>
      <c r="M1956" s="2" t="str">
        <f t="shared" si="91"/>
        <v>August</v>
      </c>
      <c r="N1956" s="6">
        <f t="shared" si="92"/>
        <v>2004</v>
      </c>
    </row>
    <row r="1957" spans="1:14">
      <c r="A1957" s="2" t="s">
        <v>200</v>
      </c>
      <c r="B1957" s="3">
        <v>10301</v>
      </c>
      <c r="C1957" s="3">
        <v>50</v>
      </c>
      <c r="D1957" s="13">
        <v>100</v>
      </c>
      <c r="E1957" s="5">
        <v>37899</v>
      </c>
      <c r="F1957" s="2" t="s">
        <v>13</v>
      </c>
      <c r="G1957" s="2" t="s">
        <v>72</v>
      </c>
      <c r="H1957" s="3">
        <v>4</v>
      </c>
      <c r="I1957" s="6">
        <v>2003</v>
      </c>
      <c r="J1957" s="2" t="s">
        <v>61</v>
      </c>
      <c r="K1957" s="2" t="s">
        <v>201</v>
      </c>
      <c r="L1957" s="7">
        <f t="shared" si="90"/>
        <v>5000</v>
      </c>
      <c r="M1957" s="2" t="str">
        <f t="shared" si="91"/>
        <v>October</v>
      </c>
      <c r="N1957" s="6">
        <f t="shared" si="92"/>
        <v>2003</v>
      </c>
    </row>
    <row r="1958" spans="1:14">
      <c r="A1958" s="2" t="s">
        <v>165</v>
      </c>
      <c r="B1958" s="3">
        <v>10310</v>
      </c>
      <c r="C1958" s="3">
        <v>45</v>
      </c>
      <c r="D1958" s="13">
        <v>100</v>
      </c>
      <c r="E1958" s="5">
        <v>38276</v>
      </c>
      <c r="F1958" s="2" t="s">
        <v>13</v>
      </c>
      <c r="G1958" s="2" t="s">
        <v>72</v>
      </c>
      <c r="H1958" s="3">
        <v>4</v>
      </c>
      <c r="I1958" s="6">
        <v>2004</v>
      </c>
      <c r="J1958" s="2" t="s">
        <v>22</v>
      </c>
      <c r="K1958" s="2" t="s">
        <v>166</v>
      </c>
      <c r="L1958" s="7">
        <f t="shared" si="90"/>
        <v>4500</v>
      </c>
      <c r="M1958" s="2" t="str">
        <f t="shared" si="91"/>
        <v>October</v>
      </c>
      <c r="N1958" s="6">
        <f t="shared" si="92"/>
        <v>2004</v>
      </c>
    </row>
    <row r="1959" spans="1:14">
      <c r="A1959" s="2" t="s">
        <v>65</v>
      </c>
      <c r="B1959" s="3">
        <v>10321</v>
      </c>
      <c r="C1959" s="3">
        <v>26</v>
      </c>
      <c r="D1959" s="13">
        <v>100</v>
      </c>
      <c r="E1959" s="5">
        <v>38295</v>
      </c>
      <c r="F1959" s="2" t="s">
        <v>13</v>
      </c>
      <c r="G1959" s="2" t="s">
        <v>72</v>
      </c>
      <c r="H1959" s="3">
        <v>4</v>
      </c>
      <c r="I1959" s="6">
        <v>2004</v>
      </c>
      <c r="J1959" s="2" t="s">
        <v>22</v>
      </c>
      <c r="K1959" s="2" t="s">
        <v>66</v>
      </c>
      <c r="L1959" s="7">
        <f t="shared" si="90"/>
        <v>2600</v>
      </c>
      <c r="M1959" s="2" t="str">
        <f t="shared" si="91"/>
        <v>November</v>
      </c>
      <c r="N1959" s="6">
        <f t="shared" si="92"/>
        <v>2004</v>
      </c>
    </row>
    <row r="1960" spans="1:14">
      <c r="A1960" s="2" t="s">
        <v>116</v>
      </c>
      <c r="B1960" s="3">
        <v>10331</v>
      </c>
      <c r="C1960" s="3">
        <v>21</v>
      </c>
      <c r="D1960" s="13">
        <v>100</v>
      </c>
      <c r="E1960" s="5">
        <v>38308</v>
      </c>
      <c r="F1960" s="2" t="s">
        <v>13</v>
      </c>
      <c r="G1960" s="2" t="s">
        <v>72</v>
      </c>
      <c r="H1960" s="3">
        <v>4</v>
      </c>
      <c r="I1960" s="6">
        <v>2004</v>
      </c>
      <c r="J1960" s="2" t="s">
        <v>22</v>
      </c>
      <c r="K1960" s="2" t="s">
        <v>117</v>
      </c>
      <c r="L1960" s="7">
        <f t="shared" si="90"/>
        <v>2100</v>
      </c>
      <c r="M1960" s="2" t="str">
        <f t="shared" si="91"/>
        <v>November</v>
      </c>
      <c r="N1960" s="6">
        <f t="shared" si="92"/>
        <v>2004</v>
      </c>
    </row>
    <row r="1961" spans="1:14">
      <c r="A1961" s="2" t="s">
        <v>42</v>
      </c>
      <c r="B1961" s="3">
        <v>10342</v>
      </c>
      <c r="C1961" s="3">
        <v>42</v>
      </c>
      <c r="D1961" s="13">
        <v>100</v>
      </c>
      <c r="E1961" s="5">
        <v>38315</v>
      </c>
      <c r="F1961" s="2" t="s">
        <v>13</v>
      </c>
      <c r="G1961" s="2" t="s">
        <v>72</v>
      </c>
      <c r="H1961" s="3">
        <v>4</v>
      </c>
      <c r="I1961" s="6">
        <v>2004</v>
      </c>
      <c r="J1961" s="2" t="s">
        <v>22</v>
      </c>
      <c r="K1961" s="2" t="s">
        <v>43</v>
      </c>
      <c r="L1961" s="7">
        <f t="shared" si="90"/>
        <v>4200</v>
      </c>
      <c r="M1961" s="2" t="str">
        <f t="shared" si="91"/>
        <v>November</v>
      </c>
      <c r="N1961" s="6">
        <f t="shared" si="92"/>
        <v>2004</v>
      </c>
    </row>
    <row r="1962" spans="1:14">
      <c r="A1962" s="2" t="s">
        <v>69</v>
      </c>
      <c r="B1962" s="3">
        <v>10355</v>
      </c>
      <c r="C1962" s="3">
        <v>32</v>
      </c>
      <c r="D1962" s="13">
        <v>100</v>
      </c>
      <c r="E1962" s="5">
        <v>38328</v>
      </c>
      <c r="F1962" s="2" t="s">
        <v>13</v>
      </c>
      <c r="G1962" s="2" t="s">
        <v>72</v>
      </c>
      <c r="H1962" s="3">
        <v>4</v>
      </c>
      <c r="I1962" s="6">
        <v>2004</v>
      </c>
      <c r="J1962" s="2" t="s">
        <v>22</v>
      </c>
      <c r="K1962" s="2" t="s">
        <v>71</v>
      </c>
      <c r="L1962" s="7">
        <f t="shared" si="90"/>
        <v>3200</v>
      </c>
      <c r="M1962" s="2" t="str">
        <f t="shared" si="91"/>
        <v>December</v>
      </c>
      <c r="N1962" s="6">
        <f t="shared" si="92"/>
        <v>2004</v>
      </c>
    </row>
    <row r="1963" spans="1:14">
      <c r="A1963" s="2" t="s">
        <v>175</v>
      </c>
      <c r="B1963" s="3">
        <v>10363</v>
      </c>
      <c r="C1963" s="3">
        <v>31</v>
      </c>
      <c r="D1963" s="13">
        <v>94.58</v>
      </c>
      <c r="E1963" s="5">
        <v>38358</v>
      </c>
      <c r="F1963" s="2" t="s">
        <v>13</v>
      </c>
      <c r="G1963" s="2" t="s">
        <v>72</v>
      </c>
      <c r="H1963" s="3">
        <v>1</v>
      </c>
      <c r="I1963" s="6">
        <v>2005</v>
      </c>
      <c r="J1963" s="2" t="s">
        <v>15</v>
      </c>
      <c r="K1963" s="2" t="s">
        <v>176</v>
      </c>
      <c r="L1963" s="7">
        <f t="shared" si="90"/>
        <v>2931.98</v>
      </c>
      <c r="M1963" s="2" t="str">
        <f t="shared" si="91"/>
        <v>January</v>
      </c>
      <c r="N1963" s="6">
        <f t="shared" si="92"/>
        <v>2005</v>
      </c>
    </row>
    <row r="1964" spans="1:14">
      <c r="A1964" s="2" t="s">
        <v>69</v>
      </c>
      <c r="B1964" s="3">
        <v>10378</v>
      </c>
      <c r="C1964" s="3">
        <v>33</v>
      </c>
      <c r="D1964" s="13">
        <v>53.27</v>
      </c>
      <c r="E1964" s="5">
        <v>38393</v>
      </c>
      <c r="F1964" s="2" t="s">
        <v>13</v>
      </c>
      <c r="G1964" s="2" t="s">
        <v>72</v>
      </c>
      <c r="H1964" s="3">
        <v>1</v>
      </c>
      <c r="I1964" s="6">
        <v>2005</v>
      </c>
      <c r="J1964" s="2" t="s">
        <v>15</v>
      </c>
      <c r="K1964" s="2" t="s">
        <v>71</v>
      </c>
      <c r="L1964" s="7">
        <f t="shared" si="90"/>
        <v>1757.91</v>
      </c>
      <c r="M1964" s="2" t="str">
        <f t="shared" si="91"/>
        <v>February</v>
      </c>
      <c r="N1964" s="6">
        <f t="shared" si="92"/>
        <v>2005</v>
      </c>
    </row>
    <row r="1965" spans="1:14">
      <c r="A1965" s="2" t="s">
        <v>103</v>
      </c>
      <c r="B1965" s="3">
        <v>10390</v>
      </c>
      <c r="C1965" s="3">
        <v>45</v>
      </c>
      <c r="D1965" s="13">
        <v>100</v>
      </c>
      <c r="E1965" s="5">
        <v>38415</v>
      </c>
      <c r="F1965" s="2" t="s">
        <v>13</v>
      </c>
      <c r="G1965" s="2" t="s">
        <v>72</v>
      </c>
      <c r="H1965" s="3">
        <v>1</v>
      </c>
      <c r="I1965" s="6">
        <v>2005</v>
      </c>
      <c r="J1965" s="2" t="s">
        <v>22</v>
      </c>
      <c r="K1965" s="2" t="s">
        <v>104</v>
      </c>
      <c r="L1965" s="7">
        <f t="shared" si="90"/>
        <v>4500</v>
      </c>
      <c r="M1965" s="2" t="str">
        <f t="shared" si="91"/>
        <v>March</v>
      </c>
      <c r="N1965" s="6">
        <f t="shared" si="92"/>
        <v>2005</v>
      </c>
    </row>
    <row r="1966" spans="1:14">
      <c r="A1966" s="2" t="s">
        <v>196</v>
      </c>
      <c r="B1966" s="3">
        <v>10405</v>
      </c>
      <c r="C1966" s="3">
        <v>76</v>
      </c>
      <c r="D1966" s="13">
        <v>100</v>
      </c>
      <c r="E1966" s="5">
        <v>38456</v>
      </c>
      <c r="F1966" s="2" t="s">
        <v>13</v>
      </c>
      <c r="G1966" s="2" t="s">
        <v>72</v>
      </c>
      <c r="H1966" s="3">
        <v>2</v>
      </c>
      <c r="I1966" s="6">
        <v>2005</v>
      </c>
      <c r="J1966" s="2" t="s">
        <v>61</v>
      </c>
      <c r="K1966" s="2" t="s">
        <v>197</v>
      </c>
      <c r="L1966" s="7">
        <f t="shared" si="90"/>
        <v>7600</v>
      </c>
      <c r="M1966" s="2" t="str">
        <f t="shared" si="91"/>
        <v>April</v>
      </c>
      <c r="N1966" s="6">
        <f t="shared" si="92"/>
        <v>2005</v>
      </c>
    </row>
    <row r="1967" spans="1:14">
      <c r="A1967" s="2" t="s">
        <v>60</v>
      </c>
      <c r="B1967" s="3">
        <v>10419</v>
      </c>
      <c r="C1967" s="3">
        <v>70</v>
      </c>
      <c r="D1967" s="13">
        <v>100</v>
      </c>
      <c r="E1967" s="5">
        <v>38489</v>
      </c>
      <c r="F1967" s="2" t="s">
        <v>13</v>
      </c>
      <c r="G1967" s="2" t="s">
        <v>72</v>
      </c>
      <c r="H1967" s="3">
        <v>2</v>
      </c>
      <c r="I1967" s="6">
        <v>2005</v>
      </c>
      <c r="J1967" s="2" t="s">
        <v>61</v>
      </c>
      <c r="K1967" s="2" t="s">
        <v>62</v>
      </c>
      <c r="L1967" s="7">
        <f t="shared" si="90"/>
        <v>7000</v>
      </c>
      <c r="M1967" s="2" t="str">
        <f t="shared" si="91"/>
        <v>May</v>
      </c>
      <c r="N1967" s="6">
        <f t="shared" si="92"/>
        <v>2005</v>
      </c>
    </row>
    <row r="1968" spans="1:14">
      <c r="A1968" s="2" t="s">
        <v>203</v>
      </c>
      <c r="B1968" s="3">
        <v>10106</v>
      </c>
      <c r="C1968" s="3">
        <v>50</v>
      </c>
      <c r="D1968" s="13">
        <v>64.83</v>
      </c>
      <c r="E1968" s="5">
        <v>37669</v>
      </c>
      <c r="F1968" s="2" t="s">
        <v>13</v>
      </c>
      <c r="G1968" s="2" t="s">
        <v>207</v>
      </c>
      <c r="H1968" s="3">
        <v>1</v>
      </c>
      <c r="I1968" s="6">
        <v>2003</v>
      </c>
      <c r="J1968" s="2" t="s">
        <v>22</v>
      </c>
      <c r="K1968" s="2" t="s">
        <v>204</v>
      </c>
      <c r="L1968" s="7">
        <f t="shared" si="90"/>
        <v>3241.5</v>
      </c>
      <c r="M1968" s="2" t="str">
        <f t="shared" si="91"/>
        <v>February</v>
      </c>
      <c r="N1968" s="6">
        <f t="shared" si="92"/>
        <v>2003</v>
      </c>
    </row>
    <row r="1969" spans="1:14">
      <c r="A1969" s="2" t="s">
        <v>60</v>
      </c>
      <c r="B1969" s="3">
        <v>10119</v>
      </c>
      <c r="C1969" s="3">
        <v>28</v>
      </c>
      <c r="D1969" s="13">
        <v>70.29</v>
      </c>
      <c r="E1969" s="5">
        <v>37739</v>
      </c>
      <c r="F1969" s="2" t="s">
        <v>13</v>
      </c>
      <c r="G1969" s="2" t="s">
        <v>207</v>
      </c>
      <c r="H1969" s="3">
        <v>2</v>
      </c>
      <c r="I1969" s="6">
        <v>2003</v>
      </c>
      <c r="J1969" s="2" t="s">
        <v>15</v>
      </c>
      <c r="K1969" s="2" t="s">
        <v>62</v>
      </c>
      <c r="L1969" s="7">
        <f t="shared" si="90"/>
        <v>1968.12</v>
      </c>
      <c r="M1969" s="2" t="str">
        <f t="shared" si="91"/>
        <v>April</v>
      </c>
      <c r="N1969" s="6">
        <f t="shared" si="92"/>
        <v>2003</v>
      </c>
    </row>
    <row r="1970" spans="1:14">
      <c r="A1970" s="2" t="s">
        <v>208</v>
      </c>
      <c r="B1970" s="3">
        <v>10131</v>
      </c>
      <c r="C1970" s="3">
        <v>50</v>
      </c>
      <c r="D1970" s="13">
        <v>81.89</v>
      </c>
      <c r="E1970" s="5">
        <v>37788</v>
      </c>
      <c r="F1970" s="2" t="s">
        <v>13</v>
      </c>
      <c r="G1970" s="2" t="s">
        <v>207</v>
      </c>
      <c r="H1970" s="3">
        <v>2</v>
      </c>
      <c r="I1970" s="6">
        <v>2003</v>
      </c>
      <c r="J1970" s="2" t="s">
        <v>22</v>
      </c>
      <c r="K1970" s="2" t="s">
        <v>209</v>
      </c>
      <c r="L1970" s="7">
        <f t="shared" si="90"/>
        <v>4094.5</v>
      </c>
      <c r="M1970" s="2" t="str">
        <f t="shared" si="91"/>
        <v>June</v>
      </c>
      <c r="N1970" s="6">
        <f t="shared" si="92"/>
        <v>2003</v>
      </c>
    </row>
    <row r="1971" spans="1:14">
      <c r="A1971" s="2" t="s">
        <v>126</v>
      </c>
      <c r="B1971" s="3">
        <v>10143</v>
      </c>
      <c r="C1971" s="3">
        <v>28</v>
      </c>
      <c r="D1971" s="13">
        <v>66.19</v>
      </c>
      <c r="E1971" s="5">
        <v>37843</v>
      </c>
      <c r="F1971" s="2" t="s">
        <v>13</v>
      </c>
      <c r="G1971" s="2" t="s">
        <v>207</v>
      </c>
      <c r="H1971" s="3">
        <v>3</v>
      </c>
      <c r="I1971" s="6">
        <v>2003</v>
      </c>
      <c r="J1971" s="2" t="s">
        <v>15</v>
      </c>
      <c r="K1971" s="2" t="s">
        <v>127</v>
      </c>
      <c r="L1971" s="7">
        <f t="shared" si="90"/>
        <v>1853.32</v>
      </c>
      <c r="M1971" s="2" t="str">
        <f t="shared" si="91"/>
        <v>August</v>
      </c>
      <c r="N1971" s="6">
        <f t="shared" si="92"/>
        <v>2003</v>
      </c>
    </row>
    <row r="1972" spans="1:14">
      <c r="A1972" s="2" t="s">
        <v>54</v>
      </c>
      <c r="B1972" s="3">
        <v>10155</v>
      </c>
      <c r="C1972" s="3">
        <v>44</v>
      </c>
      <c r="D1972" s="13">
        <v>77.11</v>
      </c>
      <c r="E1972" s="5">
        <v>37900</v>
      </c>
      <c r="F1972" s="2" t="s">
        <v>13</v>
      </c>
      <c r="G1972" s="2" t="s">
        <v>207</v>
      </c>
      <c r="H1972" s="3">
        <v>4</v>
      </c>
      <c r="I1972" s="6">
        <v>2003</v>
      </c>
      <c r="J1972" s="2" t="s">
        <v>22</v>
      </c>
      <c r="K1972" s="2" t="s">
        <v>55</v>
      </c>
      <c r="L1972" s="7">
        <f t="shared" si="90"/>
        <v>3392.84</v>
      </c>
      <c r="M1972" s="2" t="str">
        <f t="shared" si="91"/>
        <v>October</v>
      </c>
      <c r="N1972" s="6">
        <f t="shared" si="92"/>
        <v>2003</v>
      </c>
    </row>
    <row r="1973" spans="1:14">
      <c r="A1973" s="2" t="s">
        <v>31</v>
      </c>
      <c r="B1973" s="3">
        <v>10168</v>
      </c>
      <c r="C1973" s="3">
        <v>27</v>
      </c>
      <c r="D1973" s="13">
        <v>73.02</v>
      </c>
      <c r="E1973" s="5">
        <v>37922</v>
      </c>
      <c r="F1973" s="2" t="s">
        <v>13</v>
      </c>
      <c r="G1973" s="2" t="s">
        <v>207</v>
      </c>
      <c r="H1973" s="3">
        <v>4</v>
      </c>
      <c r="I1973" s="6">
        <v>2003</v>
      </c>
      <c r="J1973" s="2" t="s">
        <v>15</v>
      </c>
      <c r="K1973" s="2" t="s">
        <v>32</v>
      </c>
      <c r="L1973" s="7">
        <f t="shared" si="90"/>
        <v>1971.54</v>
      </c>
      <c r="M1973" s="2" t="str">
        <f t="shared" si="91"/>
        <v>October</v>
      </c>
      <c r="N1973" s="6">
        <f t="shared" si="92"/>
        <v>2003</v>
      </c>
    </row>
    <row r="1974" spans="1:14">
      <c r="A1974" s="2" t="s">
        <v>129</v>
      </c>
      <c r="B1974" s="3">
        <v>10178</v>
      </c>
      <c r="C1974" s="3">
        <v>30</v>
      </c>
      <c r="D1974" s="13">
        <v>72.33</v>
      </c>
      <c r="E1974" s="5">
        <v>37933</v>
      </c>
      <c r="F1974" s="2" t="s">
        <v>13</v>
      </c>
      <c r="G1974" s="2" t="s">
        <v>207</v>
      </c>
      <c r="H1974" s="3">
        <v>4</v>
      </c>
      <c r="I1974" s="6">
        <v>2003</v>
      </c>
      <c r="J1974" s="2" t="s">
        <v>15</v>
      </c>
      <c r="K1974" s="2" t="s">
        <v>130</v>
      </c>
      <c r="L1974" s="7">
        <f t="shared" si="90"/>
        <v>2169.9</v>
      </c>
      <c r="M1974" s="2" t="str">
        <f t="shared" si="91"/>
        <v>November</v>
      </c>
      <c r="N1974" s="6">
        <f t="shared" si="92"/>
        <v>2003</v>
      </c>
    </row>
    <row r="1975" spans="1:14">
      <c r="A1975" s="2" t="s">
        <v>161</v>
      </c>
      <c r="B1975" s="3">
        <v>10198</v>
      </c>
      <c r="C1975" s="3">
        <v>43</v>
      </c>
      <c r="D1975" s="13">
        <v>66.19</v>
      </c>
      <c r="E1975" s="5">
        <v>37952</v>
      </c>
      <c r="F1975" s="2" t="s">
        <v>13</v>
      </c>
      <c r="G1975" s="2" t="s">
        <v>207</v>
      </c>
      <c r="H1975" s="3">
        <v>4</v>
      </c>
      <c r="I1975" s="6">
        <v>2003</v>
      </c>
      <c r="J1975" s="2" t="s">
        <v>15</v>
      </c>
      <c r="K1975" s="2" t="s">
        <v>162</v>
      </c>
      <c r="L1975" s="7">
        <f t="shared" si="90"/>
        <v>2846.17</v>
      </c>
      <c r="M1975" s="2" t="str">
        <f t="shared" si="91"/>
        <v>November</v>
      </c>
      <c r="N1975" s="6">
        <f t="shared" si="92"/>
        <v>2003</v>
      </c>
    </row>
    <row r="1976" spans="1:14">
      <c r="A1976" s="2" t="s">
        <v>114</v>
      </c>
      <c r="B1976" s="3">
        <v>10210</v>
      </c>
      <c r="C1976" s="3">
        <v>29</v>
      </c>
      <c r="D1976" s="13">
        <v>69.6</v>
      </c>
      <c r="E1976" s="5">
        <v>37998</v>
      </c>
      <c r="F1976" s="2" t="s">
        <v>13</v>
      </c>
      <c r="G1976" s="2" t="s">
        <v>207</v>
      </c>
      <c r="H1976" s="3">
        <v>1</v>
      </c>
      <c r="I1976" s="6">
        <v>2004</v>
      </c>
      <c r="J1976" s="2" t="s">
        <v>15</v>
      </c>
      <c r="K1976" s="2" t="s">
        <v>115</v>
      </c>
      <c r="L1976" s="7">
        <f t="shared" si="90"/>
        <v>2018.4</v>
      </c>
      <c r="M1976" s="2" t="str">
        <f t="shared" si="91"/>
        <v>January</v>
      </c>
      <c r="N1976" s="6">
        <f t="shared" si="92"/>
        <v>2004</v>
      </c>
    </row>
    <row r="1977" spans="1:14">
      <c r="A1977" s="2" t="s">
        <v>137</v>
      </c>
      <c r="B1977" s="3">
        <v>10222</v>
      </c>
      <c r="C1977" s="3">
        <v>48</v>
      </c>
      <c r="D1977" s="13">
        <v>56.64</v>
      </c>
      <c r="E1977" s="5">
        <v>38036</v>
      </c>
      <c r="F1977" s="2" t="s">
        <v>13</v>
      </c>
      <c r="G1977" s="2" t="s">
        <v>207</v>
      </c>
      <c r="H1977" s="3">
        <v>1</v>
      </c>
      <c r="I1977" s="6">
        <v>2004</v>
      </c>
      <c r="J1977" s="2" t="s">
        <v>15</v>
      </c>
      <c r="K1977" s="2" t="s">
        <v>138</v>
      </c>
      <c r="L1977" s="7">
        <f t="shared" si="90"/>
        <v>2718.72</v>
      </c>
      <c r="M1977" s="2" t="str">
        <f t="shared" si="91"/>
        <v>February</v>
      </c>
      <c r="N1977" s="6">
        <f t="shared" si="92"/>
        <v>2004</v>
      </c>
    </row>
    <row r="1978" spans="1:14">
      <c r="A1978" s="2" t="s">
        <v>141</v>
      </c>
      <c r="B1978" s="3">
        <v>10235</v>
      </c>
      <c r="C1978" s="3">
        <v>33</v>
      </c>
      <c r="D1978" s="13">
        <v>60.05</v>
      </c>
      <c r="E1978" s="5">
        <v>38079</v>
      </c>
      <c r="F1978" s="2" t="s">
        <v>13</v>
      </c>
      <c r="G1978" s="2" t="s">
        <v>207</v>
      </c>
      <c r="H1978" s="3">
        <v>2</v>
      </c>
      <c r="I1978" s="6">
        <v>2004</v>
      </c>
      <c r="J1978" s="2" t="s">
        <v>15</v>
      </c>
      <c r="K1978" s="2" t="s">
        <v>142</v>
      </c>
      <c r="L1978" s="7">
        <f t="shared" si="90"/>
        <v>1981.65</v>
      </c>
      <c r="M1978" s="2" t="str">
        <f t="shared" si="91"/>
        <v>April</v>
      </c>
      <c r="N1978" s="6">
        <f t="shared" si="92"/>
        <v>2004</v>
      </c>
    </row>
    <row r="1979" spans="1:14">
      <c r="A1979" s="2" t="s">
        <v>149</v>
      </c>
      <c r="B1979" s="3">
        <v>10250</v>
      </c>
      <c r="C1979" s="3">
        <v>40</v>
      </c>
      <c r="D1979" s="13">
        <v>75.06</v>
      </c>
      <c r="E1979" s="5">
        <v>38118</v>
      </c>
      <c r="F1979" s="2" t="s">
        <v>13</v>
      </c>
      <c r="G1979" s="2" t="s">
        <v>207</v>
      </c>
      <c r="H1979" s="3">
        <v>2</v>
      </c>
      <c r="I1979" s="6">
        <v>2004</v>
      </c>
      <c r="J1979" s="2" t="s">
        <v>22</v>
      </c>
      <c r="K1979" s="2" t="s">
        <v>150</v>
      </c>
      <c r="L1979" s="7">
        <f t="shared" si="90"/>
        <v>3002.4</v>
      </c>
      <c r="M1979" s="2" t="str">
        <f t="shared" si="91"/>
        <v>May</v>
      </c>
      <c r="N1979" s="6">
        <f t="shared" si="92"/>
        <v>2004</v>
      </c>
    </row>
    <row r="1980" spans="1:14">
      <c r="A1980" s="2" t="s">
        <v>69</v>
      </c>
      <c r="B1980" s="3">
        <v>10262</v>
      </c>
      <c r="C1980" s="3">
        <v>48</v>
      </c>
      <c r="D1980" s="13">
        <v>61.42</v>
      </c>
      <c r="E1980" s="5">
        <v>38162</v>
      </c>
      <c r="F1980" s="2" t="s">
        <v>128</v>
      </c>
      <c r="G1980" s="2" t="s">
        <v>207</v>
      </c>
      <c r="H1980" s="3">
        <v>2</v>
      </c>
      <c r="I1980" s="6">
        <v>2004</v>
      </c>
      <c r="J1980" s="2" t="s">
        <v>15</v>
      </c>
      <c r="K1980" s="2" t="s">
        <v>71</v>
      </c>
      <c r="L1980" s="7">
        <f t="shared" si="90"/>
        <v>2948.16</v>
      </c>
      <c r="M1980" s="2" t="str">
        <f t="shared" si="91"/>
        <v>June</v>
      </c>
      <c r="N1980" s="6">
        <f t="shared" si="92"/>
        <v>2004</v>
      </c>
    </row>
    <row r="1981" spans="1:14">
      <c r="A1981" s="2" t="s">
        <v>50</v>
      </c>
      <c r="B1981" s="3">
        <v>10275</v>
      </c>
      <c r="C1981" s="3">
        <v>41</v>
      </c>
      <c r="D1981" s="13">
        <v>81.89</v>
      </c>
      <c r="E1981" s="5">
        <v>38191</v>
      </c>
      <c r="F1981" s="2" t="s">
        <v>13</v>
      </c>
      <c r="G1981" s="2" t="s">
        <v>207</v>
      </c>
      <c r="H1981" s="3">
        <v>3</v>
      </c>
      <c r="I1981" s="6">
        <v>2004</v>
      </c>
      <c r="J1981" s="2" t="s">
        <v>22</v>
      </c>
      <c r="K1981" s="2" t="s">
        <v>51</v>
      </c>
      <c r="L1981" s="7">
        <f t="shared" si="90"/>
        <v>3357.49</v>
      </c>
      <c r="M1981" s="2" t="str">
        <f t="shared" si="91"/>
        <v>July</v>
      </c>
      <c r="N1981" s="6">
        <f t="shared" si="92"/>
        <v>2004</v>
      </c>
    </row>
    <row r="1982" spans="1:14">
      <c r="A1982" s="2" t="s">
        <v>200</v>
      </c>
      <c r="B1982" s="3">
        <v>10284</v>
      </c>
      <c r="C1982" s="3">
        <v>21</v>
      </c>
      <c r="D1982" s="13">
        <v>55.96</v>
      </c>
      <c r="E1982" s="5">
        <v>38220</v>
      </c>
      <c r="F1982" s="2" t="s">
        <v>13</v>
      </c>
      <c r="G1982" s="2" t="s">
        <v>207</v>
      </c>
      <c r="H1982" s="3">
        <v>3</v>
      </c>
      <c r="I1982" s="6">
        <v>2004</v>
      </c>
      <c r="J1982" s="2" t="s">
        <v>15</v>
      </c>
      <c r="K1982" s="2" t="s">
        <v>201</v>
      </c>
      <c r="L1982" s="7">
        <f t="shared" si="90"/>
        <v>1175.16</v>
      </c>
      <c r="M1982" s="2" t="str">
        <f t="shared" si="91"/>
        <v>August</v>
      </c>
      <c r="N1982" s="6">
        <f t="shared" si="92"/>
        <v>2004</v>
      </c>
    </row>
    <row r="1983" spans="1:14">
      <c r="A1983" s="2" t="s">
        <v>210</v>
      </c>
      <c r="B1983" s="3">
        <v>10296</v>
      </c>
      <c r="C1983" s="3">
        <v>32</v>
      </c>
      <c r="D1983" s="13">
        <v>71.65</v>
      </c>
      <c r="E1983" s="5">
        <v>38245</v>
      </c>
      <c r="F1983" s="2" t="s">
        <v>13</v>
      </c>
      <c r="G1983" s="2" t="s">
        <v>207</v>
      </c>
      <c r="H1983" s="3">
        <v>3</v>
      </c>
      <c r="I1983" s="6">
        <v>2004</v>
      </c>
      <c r="J1983" s="2" t="s">
        <v>15</v>
      </c>
      <c r="K1983" s="2" t="s">
        <v>211</v>
      </c>
      <c r="L1983" s="7">
        <f t="shared" si="90"/>
        <v>2292.8</v>
      </c>
      <c r="M1983" s="2" t="str">
        <f t="shared" si="91"/>
        <v>September</v>
      </c>
      <c r="N1983" s="6">
        <f t="shared" si="92"/>
        <v>2004</v>
      </c>
    </row>
    <row r="1984" spans="1:14">
      <c r="A1984" s="2" t="s">
        <v>120</v>
      </c>
      <c r="B1984" s="3">
        <v>10308</v>
      </c>
      <c r="C1984" s="3">
        <v>43</v>
      </c>
      <c r="D1984" s="13">
        <v>76.43</v>
      </c>
      <c r="E1984" s="5">
        <v>38275</v>
      </c>
      <c r="F1984" s="2" t="s">
        <v>13</v>
      </c>
      <c r="G1984" s="2" t="s">
        <v>207</v>
      </c>
      <c r="H1984" s="3">
        <v>4</v>
      </c>
      <c r="I1984" s="6">
        <v>2004</v>
      </c>
      <c r="J1984" s="2" t="s">
        <v>22</v>
      </c>
      <c r="K1984" s="2" t="s">
        <v>121</v>
      </c>
      <c r="L1984" s="7">
        <f t="shared" si="90"/>
        <v>3286.49</v>
      </c>
      <c r="M1984" s="2" t="str">
        <f t="shared" si="91"/>
        <v>October</v>
      </c>
      <c r="N1984" s="6">
        <f t="shared" si="92"/>
        <v>2004</v>
      </c>
    </row>
    <row r="1985" spans="1:14">
      <c r="A1985" s="2" t="s">
        <v>145</v>
      </c>
      <c r="B1985" s="3">
        <v>10316</v>
      </c>
      <c r="C1985" s="3">
        <v>30</v>
      </c>
      <c r="D1985" s="13">
        <v>77.79</v>
      </c>
      <c r="E1985" s="5">
        <v>38292</v>
      </c>
      <c r="F1985" s="2" t="s">
        <v>13</v>
      </c>
      <c r="G1985" s="2" t="s">
        <v>207</v>
      </c>
      <c r="H1985" s="3">
        <v>4</v>
      </c>
      <c r="I1985" s="6">
        <v>2004</v>
      </c>
      <c r="J1985" s="2" t="s">
        <v>15</v>
      </c>
      <c r="K1985" s="2" t="s">
        <v>146</v>
      </c>
      <c r="L1985" s="7">
        <f t="shared" si="90"/>
        <v>2333.7</v>
      </c>
      <c r="M1985" s="2" t="str">
        <f t="shared" si="91"/>
        <v>November</v>
      </c>
      <c r="N1985" s="6">
        <f t="shared" si="92"/>
        <v>2004</v>
      </c>
    </row>
    <row r="1986" spans="1:14">
      <c r="A1986" s="2" t="s">
        <v>203</v>
      </c>
      <c r="B1986" s="3">
        <v>10328</v>
      </c>
      <c r="C1986" s="3">
        <v>35</v>
      </c>
      <c r="D1986" s="13">
        <v>76.43</v>
      </c>
      <c r="E1986" s="5">
        <v>38303</v>
      </c>
      <c r="F1986" s="2" t="s">
        <v>13</v>
      </c>
      <c r="G1986" s="2" t="s">
        <v>207</v>
      </c>
      <c r="H1986" s="3">
        <v>4</v>
      </c>
      <c r="I1986" s="6">
        <v>2004</v>
      </c>
      <c r="J1986" s="2" t="s">
        <v>15</v>
      </c>
      <c r="K1986" s="2" t="s">
        <v>204</v>
      </c>
      <c r="L1986" s="7">
        <f t="shared" ref="L1986:L2049" si="93">PRODUCT(C1986,D1986)</f>
        <v>2675.05</v>
      </c>
      <c r="M1986" s="2" t="str">
        <f t="shared" ref="M1986:M2049" si="94">TEXT(E1986,"MMMM")</f>
        <v>November</v>
      </c>
      <c r="N1986" s="6">
        <f t="shared" ref="N1986:N2049" si="95">YEAR(E1986)</f>
        <v>2004</v>
      </c>
    </row>
    <row r="1987" spans="1:14">
      <c r="A1987" s="2" t="s">
        <v>95</v>
      </c>
      <c r="B1987" s="3">
        <v>10339</v>
      </c>
      <c r="C1987" s="3">
        <v>45</v>
      </c>
      <c r="D1987" s="13">
        <v>96.92</v>
      </c>
      <c r="E1987" s="5">
        <v>38314</v>
      </c>
      <c r="F1987" s="2" t="s">
        <v>13</v>
      </c>
      <c r="G1987" s="2" t="s">
        <v>207</v>
      </c>
      <c r="H1987" s="3">
        <v>4</v>
      </c>
      <c r="I1987" s="6">
        <v>2004</v>
      </c>
      <c r="J1987" s="2" t="s">
        <v>22</v>
      </c>
      <c r="K1987" s="2" t="s">
        <v>96</v>
      </c>
      <c r="L1987" s="7">
        <f t="shared" si="93"/>
        <v>4361.4</v>
      </c>
      <c r="M1987" s="2" t="str">
        <f t="shared" si="94"/>
        <v>November</v>
      </c>
      <c r="N1987" s="6">
        <f t="shared" si="95"/>
        <v>2004</v>
      </c>
    </row>
    <row r="1988" spans="1:14">
      <c r="A1988" s="2" t="s">
        <v>124</v>
      </c>
      <c r="B1988" s="3">
        <v>10351</v>
      </c>
      <c r="C1988" s="3">
        <v>34</v>
      </c>
      <c r="D1988" s="13">
        <v>59.37</v>
      </c>
      <c r="E1988" s="5">
        <v>38324</v>
      </c>
      <c r="F1988" s="2" t="s">
        <v>13</v>
      </c>
      <c r="G1988" s="2" t="s">
        <v>207</v>
      </c>
      <c r="H1988" s="3">
        <v>4</v>
      </c>
      <c r="I1988" s="6">
        <v>2004</v>
      </c>
      <c r="J1988" s="2" t="s">
        <v>15</v>
      </c>
      <c r="K1988" s="2" t="s">
        <v>125</v>
      </c>
      <c r="L1988" s="7">
        <f t="shared" si="93"/>
        <v>2018.58</v>
      </c>
      <c r="M1988" s="2" t="str">
        <f t="shared" si="94"/>
        <v>December</v>
      </c>
      <c r="N1988" s="6">
        <f t="shared" si="95"/>
        <v>2004</v>
      </c>
    </row>
    <row r="1989" spans="1:14">
      <c r="A1989" s="2" t="s">
        <v>63</v>
      </c>
      <c r="B1989" s="3">
        <v>10361</v>
      </c>
      <c r="C1989" s="3">
        <v>26</v>
      </c>
      <c r="D1989" s="13">
        <v>100</v>
      </c>
      <c r="E1989" s="5">
        <v>38338</v>
      </c>
      <c r="F1989" s="2" t="s">
        <v>13</v>
      </c>
      <c r="G1989" s="2" t="s">
        <v>207</v>
      </c>
      <c r="H1989" s="3">
        <v>4</v>
      </c>
      <c r="I1989" s="6">
        <v>2004</v>
      </c>
      <c r="J1989" s="2" t="s">
        <v>22</v>
      </c>
      <c r="K1989" s="2" t="s">
        <v>64</v>
      </c>
      <c r="L1989" s="7">
        <f t="shared" si="93"/>
        <v>2600</v>
      </c>
      <c r="M1989" s="2" t="str">
        <f t="shared" si="94"/>
        <v>December</v>
      </c>
      <c r="N1989" s="6">
        <f t="shared" si="95"/>
        <v>2004</v>
      </c>
    </row>
    <row r="1990" spans="1:14">
      <c r="A1990" s="2" t="s">
        <v>147</v>
      </c>
      <c r="B1990" s="3">
        <v>10373</v>
      </c>
      <c r="C1990" s="3">
        <v>39</v>
      </c>
      <c r="D1990" s="13">
        <v>73</v>
      </c>
      <c r="E1990" s="5">
        <v>38383</v>
      </c>
      <c r="F1990" s="2" t="s">
        <v>13</v>
      </c>
      <c r="G1990" s="2" t="s">
        <v>207</v>
      </c>
      <c r="H1990" s="3">
        <v>1</v>
      </c>
      <c r="I1990" s="6">
        <v>2005</v>
      </c>
      <c r="J1990" s="2" t="s">
        <v>15</v>
      </c>
      <c r="K1990" s="2" t="s">
        <v>148</v>
      </c>
      <c r="L1990" s="7">
        <f t="shared" si="93"/>
        <v>2847</v>
      </c>
      <c r="M1990" s="2" t="str">
        <f t="shared" si="94"/>
        <v>January</v>
      </c>
      <c r="N1990" s="6">
        <f t="shared" si="95"/>
        <v>2005</v>
      </c>
    </row>
    <row r="1991" spans="1:14">
      <c r="A1991" s="2" t="s">
        <v>69</v>
      </c>
      <c r="B1991" s="3">
        <v>10386</v>
      </c>
      <c r="C1991" s="3">
        <v>41</v>
      </c>
      <c r="D1991" s="13">
        <v>73.32</v>
      </c>
      <c r="E1991" s="5">
        <v>38412</v>
      </c>
      <c r="F1991" s="2" t="s">
        <v>155</v>
      </c>
      <c r="G1991" s="2" t="s">
        <v>207</v>
      </c>
      <c r="H1991" s="3">
        <v>1</v>
      </c>
      <c r="I1991" s="6">
        <v>2005</v>
      </c>
      <c r="J1991" s="2" t="s">
        <v>22</v>
      </c>
      <c r="K1991" s="2" t="s">
        <v>71</v>
      </c>
      <c r="L1991" s="7">
        <f t="shared" si="93"/>
        <v>3006.12</v>
      </c>
      <c r="M1991" s="2" t="str">
        <f t="shared" si="94"/>
        <v>March</v>
      </c>
      <c r="N1991" s="6">
        <f t="shared" si="95"/>
        <v>2005</v>
      </c>
    </row>
    <row r="1992" spans="1:14">
      <c r="A1992" s="2" t="s">
        <v>18</v>
      </c>
      <c r="B1992" s="3">
        <v>10398</v>
      </c>
      <c r="C1992" s="3">
        <v>41</v>
      </c>
      <c r="D1992" s="13">
        <v>68.24</v>
      </c>
      <c r="E1992" s="5">
        <v>38441</v>
      </c>
      <c r="F1992" s="2" t="s">
        <v>13</v>
      </c>
      <c r="G1992" s="2" t="s">
        <v>207</v>
      </c>
      <c r="H1992" s="3">
        <v>1</v>
      </c>
      <c r="I1992" s="6">
        <v>2005</v>
      </c>
      <c r="J1992" s="2" t="s">
        <v>15</v>
      </c>
      <c r="K1992" s="2" t="s">
        <v>19</v>
      </c>
      <c r="L1992" s="7">
        <f t="shared" si="93"/>
        <v>2797.84</v>
      </c>
      <c r="M1992" s="2" t="str">
        <f t="shared" si="94"/>
        <v>March</v>
      </c>
      <c r="N1992" s="6">
        <f t="shared" si="95"/>
        <v>2005</v>
      </c>
    </row>
    <row r="1993" spans="1:14">
      <c r="A1993" s="2" t="s">
        <v>46</v>
      </c>
      <c r="B1993" s="3">
        <v>10401</v>
      </c>
      <c r="C1993" s="3">
        <v>64</v>
      </c>
      <c r="D1993" s="13">
        <v>60.05</v>
      </c>
      <c r="E1993" s="5">
        <v>38445</v>
      </c>
      <c r="F1993" s="2" t="s">
        <v>151</v>
      </c>
      <c r="G1993" s="2" t="s">
        <v>207</v>
      </c>
      <c r="H1993" s="3">
        <v>2</v>
      </c>
      <c r="I1993" s="6">
        <v>2005</v>
      </c>
      <c r="J1993" s="2" t="s">
        <v>22</v>
      </c>
      <c r="K1993" s="2" t="s">
        <v>47</v>
      </c>
      <c r="L1993" s="7">
        <f t="shared" si="93"/>
        <v>3843.2</v>
      </c>
      <c r="M1993" s="2" t="str">
        <f t="shared" si="94"/>
        <v>April</v>
      </c>
      <c r="N1993" s="6">
        <f t="shared" si="95"/>
        <v>2005</v>
      </c>
    </row>
    <row r="1994" spans="1:14">
      <c r="A1994" s="2" t="s">
        <v>169</v>
      </c>
      <c r="B1994" s="3">
        <v>10416</v>
      </c>
      <c r="C1994" s="3">
        <v>18</v>
      </c>
      <c r="D1994" s="13">
        <v>75.06</v>
      </c>
      <c r="E1994" s="5">
        <v>38482</v>
      </c>
      <c r="F1994" s="2" t="s">
        <v>13</v>
      </c>
      <c r="G1994" s="2" t="s">
        <v>207</v>
      </c>
      <c r="H1994" s="3">
        <v>2</v>
      </c>
      <c r="I1994" s="6">
        <v>2005</v>
      </c>
      <c r="J1994" s="2" t="s">
        <v>15</v>
      </c>
      <c r="K1994" s="2" t="s">
        <v>170</v>
      </c>
      <c r="L1994" s="7">
        <f t="shared" si="93"/>
        <v>1351.08</v>
      </c>
      <c r="M1994" s="2" t="str">
        <f t="shared" si="94"/>
        <v>May</v>
      </c>
      <c r="N1994" s="6">
        <f t="shared" si="95"/>
        <v>2005</v>
      </c>
    </row>
    <row r="1995" spans="1:14">
      <c r="A1995" s="2" t="s">
        <v>105</v>
      </c>
      <c r="B1995" s="3">
        <v>10100</v>
      </c>
      <c r="C1995" s="3">
        <v>49</v>
      </c>
      <c r="D1995" s="13">
        <v>34.47</v>
      </c>
      <c r="E1995" s="5">
        <v>37627</v>
      </c>
      <c r="F1995" s="2" t="s">
        <v>13</v>
      </c>
      <c r="G1995" s="2" t="s">
        <v>202</v>
      </c>
      <c r="H1995" s="3">
        <v>1</v>
      </c>
      <c r="I1995" s="6">
        <v>2003</v>
      </c>
      <c r="J1995" s="2" t="s">
        <v>15</v>
      </c>
      <c r="K1995" s="2" t="s">
        <v>106</v>
      </c>
      <c r="L1995" s="7">
        <f t="shared" si="93"/>
        <v>1689.03</v>
      </c>
      <c r="M1995" s="2" t="str">
        <f t="shared" si="94"/>
        <v>January</v>
      </c>
      <c r="N1995" s="6">
        <f t="shared" si="95"/>
        <v>2003</v>
      </c>
    </row>
    <row r="1996" spans="1:14">
      <c r="A1996" s="2" t="s">
        <v>183</v>
      </c>
      <c r="B1996" s="3">
        <v>10110</v>
      </c>
      <c r="C1996" s="3">
        <v>48</v>
      </c>
      <c r="D1996" s="13">
        <v>34.47</v>
      </c>
      <c r="E1996" s="5">
        <v>37698</v>
      </c>
      <c r="F1996" s="2" t="s">
        <v>13</v>
      </c>
      <c r="G1996" s="2" t="s">
        <v>202</v>
      </c>
      <c r="H1996" s="3">
        <v>1</v>
      </c>
      <c r="I1996" s="6">
        <v>2003</v>
      </c>
      <c r="J1996" s="2" t="s">
        <v>15</v>
      </c>
      <c r="K1996" s="2" t="s">
        <v>184</v>
      </c>
      <c r="L1996" s="7">
        <f t="shared" si="93"/>
        <v>1654.56</v>
      </c>
      <c r="M1996" s="2" t="str">
        <f t="shared" si="94"/>
        <v>March</v>
      </c>
      <c r="N1996" s="6">
        <f t="shared" si="95"/>
        <v>2003</v>
      </c>
    </row>
    <row r="1997" spans="1:14">
      <c r="A1997" s="2" t="s">
        <v>198</v>
      </c>
      <c r="B1997" s="3">
        <v>10124</v>
      </c>
      <c r="C1997" s="3">
        <v>46</v>
      </c>
      <c r="D1997" s="13">
        <v>33.23</v>
      </c>
      <c r="E1997" s="5">
        <v>37762</v>
      </c>
      <c r="F1997" s="2" t="s">
        <v>13</v>
      </c>
      <c r="G1997" s="2" t="s">
        <v>202</v>
      </c>
      <c r="H1997" s="3">
        <v>2</v>
      </c>
      <c r="I1997" s="6">
        <v>2003</v>
      </c>
      <c r="J1997" s="2" t="s">
        <v>15</v>
      </c>
      <c r="K1997" s="2" t="s">
        <v>199</v>
      </c>
      <c r="L1997" s="7">
        <f t="shared" si="93"/>
        <v>1528.58</v>
      </c>
      <c r="M1997" s="2" t="str">
        <f t="shared" si="94"/>
        <v>May</v>
      </c>
      <c r="N1997" s="6">
        <f t="shared" si="95"/>
        <v>2003</v>
      </c>
    </row>
    <row r="1998" spans="1:14">
      <c r="A1998" s="2" t="s">
        <v>194</v>
      </c>
      <c r="B1998" s="3">
        <v>10149</v>
      </c>
      <c r="C1998" s="3">
        <v>26</v>
      </c>
      <c r="D1998" s="13">
        <v>38.98</v>
      </c>
      <c r="E1998" s="5">
        <v>37876</v>
      </c>
      <c r="F1998" s="2" t="s">
        <v>13</v>
      </c>
      <c r="G1998" s="2" t="s">
        <v>202</v>
      </c>
      <c r="H1998" s="3">
        <v>3</v>
      </c>
      <c r="I1998" s="6">
        <v>2003</v>
      </c>
      <c r="J1998" s="2" t="s">
        <v>15</v>
      </c>
      <c r="K1998" s="2" t="s">
        <v>195</v>
      </c>
      <c r="L1998" s="7">
        <f t="shared" si="93"/>
        <v>1013.48</v>
      </c>
      <c r="M1998" s="2" t="str">
        <f t="shared" si="94"/>
        <v>September</v>
      </c>
      <c r="N1998" s="6">
        <f t="shared" si="95"/>
        <v>2003</v>
      </c>
    </row>
    <row r="1999" spans="1:14">
      <c r="A1999" s="2" t="s">
        <v>28</v>
      </c>
      <c r="B1999" s="3">
        <v>10162</v>
      </c>
      <c r="C1999" s="3">
        <v>37</v>
      </c>
      <c r="D1999" s="13">
        <v>38.98</v>
      </c>
      <c r="E1999" s="5">
        <v>37912</v>
      </c>
      <c r="F1999" s="2" t="s">
        <v>13</v>
      </c>
      <c r="G1999" s="2" t="s">
        <v>202</v>
      </c>
      <c r="H1999" s="3">
        <v>4</v>
      </c>
      <c r="I1999" s="6">
        <v>2003</v>
      </c>
      <c r="J1999" s="2" t="s">
        <v>15</v>
      </c>
      <c r="K1999" s="2" t="s">
        <v>29</v>
      </c>
      <c r="L1999" s="7">
        <f t="shared" si="93"/>
        <v>1442.26</v>
      </c>
      <c r="M1999" s="2" t="str">
        <f t="shared" si="94"/>
        <v>October</v>
      </c>
      <c r="N1999" s="6">
        <f t="shared" si="95"/>
        <v>2003</v>
      </c>
    </row>
    <row r="2000" spans="1:14">
      <c r="A2000" s="2" t="s">
        <v>203</v>
      </c>
      <c r="B2000" s="3">
        <v>10173</v>
      </c>
      <c r="C2000" s="3">
        <v>35</v>
      </c>
      <c r="D2000" s="13">
        <v>33.23</v>
      </c>
      <c r="E2000" s="5">
        <v>37930</v>
      </c>
      <c r="F2000" s="2" t="s">
        <v>13</v>
      </c>
      <c r="G2000" s="2" t="s">
        <v>202</v>
      </c>
      <c r="H2000" s="3">
        <v>4</v>
      </c>
      <c r="I2000" s="6">
        <v>2003</v>
      </c>
      <c r="J2000" s="2" t="s">
        <v>15</v>
      </c>
      <c r="K2000" s="2" t="s">
        <v>204</v>
      </c>
      <c r="L2000" s="7">
        <f t="shared" si="93"/>
        <v>1163.05</v>
      </c>
      <c r="M2000" s="2" t="str">
        <f t="shared" si="94"/>
        <v>November</v>
      </c>
      <c r="N2000" s="6">
        <f t="shared" si="95"/>
        <v>2003</v>
      </c>
    </row>
    <row r="2001" spans="1:14">
      <c r="A2001" s="2" t="s">
        <v>103</v>
      </c>
      <c r="B2001" s="3">
        <v>10182</v>
      </c>
      <c r="C2001" s="3">
        <v>23</v>
      </c>
      <c r="D2001" s="13">
        <v>42.26</v>
      </c>
      <c r="E2001" s="5">
        <v>37937</v>
      </c>
      <c r="F2001" s="2" t="s">
        <v>13</v>
      </c>
      <c r="G2001" s="2" t="s">
        <v>202</v>
      </c>
      <c r="H2001" s="3">
        <v>4</v>
      </c>
      <c r="I2001" s="6">
        <v>2003</v>
      </c>
      <c r="J2001" s="2" t="s">
        <v>15</v>
      </c>
      <c r="K2001" s="2" t="s">
        <v>104</v>
      </c>
      <c r="L2001" s="7">
        <f t="shared" si="93"/>
        <v>971.98</v>
      </c>
      <c r="M2001" s="2" t="str">
        <f t="shared" si="94"/>
        <v>November</v>
      </c>
      <c r="N2001" s="6">
        <f t="shared" si="95"/>
        <v>2003</v>
      </c>
    </row>
    <row r="2002" spans="1:14">
      <c r="A2002" s="2" t="s">
        <v>205</v>
      </c>
      <c r="B2002" s="3">
        <v>10193</v>
      </c>
      <c r="C2002" s="3">
        <v>22</v>
      </c>
      <c r="D2002" s="13">
        <v>41.03</v>
      </c>
      <c r="E2002" s="5">
        <v>37946</v>
      </c>
      <c r="F2002" s="2" t="s">
        <v>13</v>
      </c>
      <c r="G2002" s="2" t="s">
        <v>202</v>
      </c>
      <c r="H2002" s="3">
        <v>4</v>
      </c>
      <c r="I2002" s="6">
        <v>2003</v>
      </c>
      <c r="J2002" s="2" t="s">
        <v>15</v>
      </c>
      <c r="K2002" s="2" t="s">
        <v>206</v>
      </c>
      <c r="L2002" s="7">
        <f t="shared" si="93"/>
        <v>902.66</v>
      </c>
      <c r="M2002" s="2" t="str">
        <f t="shared" si="94"/>
        <v>November</v>
      </c>
      <c r="N2002" s="6">
        <f t="shared" si="95"/>
        <v>2003</v>
      </c>
    </row>
    <row r="2003" spans="1:14">
      <c r="A2003" s="2" t="s">
        <v>177</v>
      </c>
      <c r="B2003" s="3">
        <v>10204</v>
      </c>
      <c r="C2003" s="3">
        <v>39</v>
      </c>
      <c r="D2003" s="13">
        <v>33.23</v>
      </c>
      <c r="E2003" s="5">
        <v>37957</v>
      </c>
      <c r="F2003" s="2" t="s">
        <v>13</v>
      </c>
      <c r="G2003" s="2" t="s">
        <v>202</v>
      </c>
      <c r="H2003" s="3">
        <v>4</v>
      </c>
      <c r="I2003" s="6">
        <v>2003</v>
      </c>
      <c r="J2003" s="2" t="s">
        <v>15</v>
      </c>
      <c r="K2003" s="2" t="s">
        <v>178</v>
      </c>
      <c r="L2003" s="7">
        <f t="shared" si="93"/>
        <v>1295.97</v>
      </c>
      <c r="M2003" s="2" t="str">
        <f t="shared" si="94"/>
        <v>December</v>
      </c>
      <c r="N2003" s="6">
        <f t="shared" si="95"/>
        <v>2003</v>
      </c>
    </row>
    <row r="2004" spans="1:14">
      <c r="A2004" s="2" t="s">
        <v>75</v>
      </c>
      <c r="B2004" s="3">
        <v>10214</v>
      </c>
      <c r="C2004" s="3">
        <v>44</v>
      </c>
      <c r="D2004" s="13">
        <v>34.88</v>
      </c>
      <c r="E2004" s="5">
        <v>38012</v>
      </c>
      <c r="F2004" s="2" t="s">
        <v>13</v>
      </c>
      <c r="G2004" s="2" t="s">
        <v>202</v>
      </c>
      <c r="H2004" s="3">
        <v>1</v>
      </c>
      <c r="I2004" s="6">
        <v>2004</v>
      </c>
      <c r="J2004" s="2" t="s">
        <v>15</v>
      </c>
      <c r="K2004" s="2" t="s">
        <v>76</v>
      </c>
      <c r="L2004" s="7">
        <f t="shared" si="93"/>
        <v>1534.72</v>
      </c>
      <c r="M2004" s="2" t="str">
        <f t="shared" si="94"/>
        <v>January</v>
      </c>
      <c r="N2004" s="6">
        <f t="shared" si="95"/>
        <v>2004</v>
      </c>
    </row>
    <row r="2005" spans="1:14">
      <c r="A2005" s="2" t="s">
        <v>85</v>
      </c>
      <c r="B2005" s="3">
        <v>10227</v>
      </c>
      <c r="C2005" s="3">
        <v>27</v>
      </c>
      <c r="D2005" s="13">
        <v>43.9</v>
      </c>
      <c r="E2005" s="5">
        <v>38048</v>
      </c>
      <c r="F2005" s="2" t="s">
        <v>13</v>
      </c>
      <c r="G2005" s="2" t="s">
        <v>202</v>
      </c>
      <c r="H2005" s="3">
        <v>1</v>
      </c>
      <c r="I2005" s="6">
        <v>2004</v>
      </c>
      <c r="J2005" s="2" t="s">
        <v>15</v>
      </c>
      <c r="K2005" s="2" t="s">
        <v>86</v>
      </c>
      <c r="L2005" s="7">
        <f t="shared" si="93"/>
        <v>1185.3</v>
      </c>
      <c r="M2005" s="2" t="str">
        <f t="shared" si="94"/>
        <v>March</v>
      </c>
      <c r="N2005" s="6">
        <f t="shared" si="95"/>
        <v>2004</v>
      </c>
    </row>
    <row r="2006" spans="1:14">
      <c r="A2006" s="2" t="s">
        <v>188</v>
      </c>
      <c r="B2006" s="3">
        <v>10242</v>
      </c>
      <c r="C2006" s="3">
        <v>46</v>
      </c>
      <c r="D2006" s="13">
        <v>36.93</v>
      </c>
      <c r="E2006" s="5">
        <v>38097</v>
      </c>
      <c r="F2006" s="2" t="s">
        <v>13</v>
      </c>
      <c r="G2006" s="2" t="s">
        <v>202</v>
      </c>
      <c r="H2006" s="3">
        <v>2</v>
      </c>
      <c r="I2006" s="6">
        <v>2004</v>
      </c>
      <c r="J2006" s="2" t="s">
        <v>15</v>
      </c>
      <c r="K2006" s="2" t="s">
        <v>189</v>
      </c>
      <c r="L2006" s="7">
        <f t="shared" si="93"/>
        <v>1698.78</v>
      </c>
      <c r="M2006" s="2" t="str">
        <f t="shared" si="94"/>
        <v>April</v>
      </c>
      <c r="N2006" s="6">
        <f t="shared" si="95"/>
        <v>2004</v>
      </c>
    </row>
    <row r="2007" spans="1:14">
      <c r="A2007" s="2" t="s">
        <v>97</v>
      </c>
      <c r="B2007" s="3">
        <v>10280</v>
      </c>
      <c r="C2007" s="3">
        <v>33</v>
      </c>
      <c r="D2007" s="13">
        <v>41.85</v>
      </c>
      <c r="E2007" s="5">
        <v>38216</v>
      </c>
      <c r="F2007" s="2" t="s">
        <v>13</v>
      </c>
      <c r="G2007" s="2" t="s">
        <v>202</v>
      </c>
      <c r="H2007" s="3">
        <v>3</v>
      </c>
      <c r="I2007" s="6">
        <v>2004</v>
      </c>
      <c r="J2007" s="2" t="s">
        <v>15</v>
      </c>
      <c r="K2007" s="2" t="s">
        <v>98</v>
      </c>
      <c r="L2007" s="7">
        <f t="shared" si="93"/>
        <v>1381.05</v>
      </c>
      <c r="M2007" s="2" t="str">
        <f t="shared" si="94"/>
        <v>August</v>
      </c>
      <c r="N2007" s="6">
        <f t="shared" si="95"/>
        <v>2004</v>
      </c>
    </row>
    <row r="2008" spans="1:14">
      <c r="A2008" s="2" t="s">
        <v>159</v>
      </c>
      <c r="B2008" s="3">
        <v>10288</v>
      </c>
      <c r="C2008" s="3">
        <v>33</v>
      </c>
      <c r="D2008" s="13">
        <v>40.62</v>
      </c>
      <c r="E2008" s="5">
        <v>38231</v>
      </c>
      <c r="F2008" s="2" t="s">
        <v>13</v>
      </c>
      <c r="G2008" s="2" t="s">
        <v>202</v>
      </c>
      <c r="H2008" s="3">
        <v>3</v>
      </c>
      <c r="I2008" s="6">
        <v>2004</v>
      </c>
      <c r="J2008" s="2" t="s">
        <v>15</v>
      </c>
      <c r="K2008" s="2" t="s">
        <v>160</v>
      </c>
      <c r="L2008" s="7">
        <f t="shared" si="93"/>
        <v>1340.46</v>
      </c>
      <c r="M2008" s="2" t="str">
        <f t="shared" si="94"/>
        <v>September</v>
      </c>
      <c r="N2008" s="6">
        <f t="shared" si="95"/>
        <v>2004</v>
      </c>
    </row>
    <row r="2009" spans="1:14">
      <c r="A2009" s="2" t="s">
        <v>192</v>
      </c>
      <c r="B2009" s="3">
        <v>10303</v>
      </c>
      <c r="C2009" s="3">
        <v>24</v>
      </c>
      <c r="D2009" s="13">
        <v>40.21</v>
      </c>
      <c r="E2009" s="5">
        <v>38266</v>
      </c>
      <c r="F2009" s="2" t="s">
        <v>13</v>
      </c>
      <c r="G2009" s="2" t="s">
        <v>202</v>
      </c>
      <c r="H2009" s="3">
        <v>4</v>
      </c>
      <c r="I2009" s="6">
        <v>2004</v>
      </c>
      <c r="J2009" s="2" t="s">
        <v>15</v>
      </c>
      <c r="K2009" s="2" t="s">
        <v>193</v>
      </c>
      <c r="L2009" s="7">
        <f t="shared" si="93"/>
        <v>965.04</v>
      </c>
      <c r="M2009" s="2" t="str">
        <f t="shared" si="94"/>
        <v>October</v>
      </c>
      <c r="N2009" s="6">
        <f t="shared" si="95"/>
        <v>2004</v>
      </c>
    </row>
    <row r="2010" spans="1:14">
      <c r="A2010" s="2" t="s">
        <v>103</v>
      </c>
      <c r="B2010" s="3">
        <v>10312</v>
      </c>
      <c r="C2010" s="3">
        <v>31</v>
      </c>
      <c r="D2010" s="13">
        <v>35.29</v>
      </c>
      <c r="E2010" s="5">
        <v>38281</v>
      </c>
      <c r="F2010" s="2" t="s">
        <v>13</v>
      </c>
      <c r="G2010" s="2" t="s">
        <v>202</v>
      </c>
      <c r="H2010" s="3">
        <v>4</v>
      </c>
      <c r="I2010" s="6">
        <v>2004</v>
      </c>
      <c r="J2010" s="2" t="s">
        <v>15</v>
      </c>
      <c r="K2010" s="2" t="s">
        <v>104</v>
      </c>
      <c r="L2010" s="7">
        <f t="shared" si="93"/>
        <v>1093.99</v>
      </c>
      <c r="M2010" s="2" t="str">
        <f t="shared" si="94"/>
        <v>October</v>
      </c>
      <c r="N2010" s="6">
        <f t="shared" si="95"/>
        <v>2004</v>
      </c>
    </row>
    <row r="2011" spans="1:14">
      <c r="A2011" s="2" t="s">
        <v>183</v>
      </c>
      <c r="B2011" s="3">
        <v>10332</v>
      </c>
      <c r="C2011" s="3">
        <v>41</v>
      </c>
      <c r="D2011" s="13">
        <v>77.24</v>
      </c>
      <c r="E2011" s="5">
        <v>38308</v>
      </c>
      <c r="F2011" s="2" t="s">
        <v>13</v>
      </c>
      <c r="G2011" s="2" t="s">
        <v>202</v>
      </c>
      <c r="H2011" s="3">
        <v>4</v>
      </c>
      <c r="I2011" s="6">
        <v>2004</v>
      </c>
      <c r="J2011" s="2" t="s">
        <v>22</v>
      </c>
      <c r="K2011" s="2" t="s">
        <v>184</v>
      </c>
      <c r="L2011" s="7">
        <f t="shared" si="93"/>
        <v>3166.84</v>
      </c>
      <c r="M2011" s="2" t="str">
        <f t="shared" si="94"/>
        <v>November</v>
      </c>
      <c r="N2011" s="6">
        <f t="shared" si="95"/>
        <v>2004</v>
      </c>
    </row>
    <row r="2012" spans="1:14">
      <c r="A2012" s="2" t="s">
        <v>198</v>
      </c>
      <c r="B2012" s="3">
        <v>10346</v>
      </c>
      <c r="C2012" s="3">
        <v>22</v>
      </c>
      <c r="D2012" s="13">
        <v>97.44</v>
      </c>
      <c r="E2012" s="5">
        <v>38320</v>
      </c>
      <c r="F2012" s="2" t="s">
        <v>13</v>
      </c>
      <c r="G2012" s="2" t="s">
        <v>202</v>
      </c>
      <c r="H2012" s="3">
        <v>4</v>
      </c>
      <c r="I2012" s="6">
        <v>2004</v>
      </c>
      <c r="J2012" s="2" t="s">
        <v>15</v>
      </c>
      <c r="K2012" s="2" t="s">
        <v>199</v>
      </c>
      <c r="L2012" s="7">
        <f t="shared" si="93"/>
        <v>2143.68</v>
      </c>
      <c r="M2012" s="2" t="str">
        <f t="shared" si="94"/>
        <v>November</v>
      </c>
      <c r="N2012" s="6">
        <f t="shared" si="95"/>
        <v>2004</v>
      </c>
    </row>
    <row r="2013" spans="1:14">
      <c r="A2013" s="2" t="s">
        <v>103</v>
      </c>
      <c r="B2013" s="3">
        <v>10368</v>
      </c>
      <c r="C2013" s="3">
        <v>46</v>
      </c>
      <c r="D2013" s="13">
        <v>37.34</v>
      </c>
      <c r="E2013" s="5">
        <v>38371</v>
      </c>
      <c r="F2013" s="2" t="s">
        <v>13</v>
      </c>
      <c r="G2013" s="2" t="s">
        <v>202</v>
      </c>
      <c r="H2013" s="3">
        <v>1</v>
      </c>
      <c r="I2013" s="6">
        <v>2005</v>
      </c>
      <c r="J2013" s="2" t="s">
        <v>15</v>
      </c>
      <c r="K2013" s="2" t="s">
        <v>104</v>
      </c>
      <c r="L2013" s="7">
        <f t="shared" si="93"/>
        <v>1717.64</v>
      </c>
      <c r="M2013" s="2" t="str">
        <f t="shared" si="94"/>
        <v>January</v>
      </c>
      <c r="N2013" s="6">
        <f t="shared" si="95"/>
        <v>2005</v>
      </c>
    </row>
    <row r="2014" spans="1:14">
      <c r="A2014" s="2" t="s">
        <v>69</v>
      </c>
      <c r="B2014" s="3">
        <v>10380</v>
      </c>
      <c r="C2014" s="3">
        <v>43</v>
      </c>
      <c r="D2014" s="13">
        <v>95.03</v>
      </c>
      <c r="E2014" s="5">
        <v>38399</v>
      </c>
      <c r="F2014" s="2" t="s">
        <v>13</v>
      </c>
      <c r="G2014" s="2" t="s">
        <v>202</v>
      </c>
      <c r="H2014" s="3">
        <v>1</v>
      </c>
      <c r="I2014" s="6">
        <v>2005</v>
      </c>
      <c r="J2014" s="2" t="s">
        <v>22</v>
      </c>
      <c r="K2014" s="2" t="s">
        <v>71</v>
      </c>
      <c r="L2014" s="7">
        <f t="shared" si="93"/>
        <v>4086.29</v>
      </c>
      <c r="M2014" s="2" t="str">
        <f t="shared" si="94"/>
        <v>February</v>
      </c>
      <c r="N2014" s="6">
        <f t="shared" si="95"/>
        <v>2005</v>
      </c>
    </row>
    <row r="2015" spans="1:14">
      <c r="A2015" s="2" t="s">
        <v>95</v>
      </c>
      <c r="B2015" s="3">
        <v>10408</v>
      </c>
      <c r="C2015" s="3">
        <v>15</v>
      </c>
      <c r="D2015" s="13">
        <v>36.93</v>
      </c>
      <c r="E2015" s="5">
        <v>38464</v>
      </c>
      <c r="F2015" s="2" t="s">
        <v>13</v>
      </c>
      <c r="G2015" s="2" t="s">
        <v>202</v>
      </c>
      <c r="H2015" s="3">
        <v>2</v>
      </c>
      <c r="I2015" s="6">
        <v>2005</v>
      </c>
      <c r="J2015" s="2" t="s">
        <v>15</v>
      </c>
      <c r="K2015" s="2" t="s">
        <v>96</v>
      </c>
      <c r="L2015" s="7">
        <f t="shared" si="93"/>
        <v>553.95</v>
      </c>
      <c r="M2015" s="2" t="str">
        <f t="shared" si="94"/>
        <v>April</v>
      </c>
      <c r="N2015" s="6">
        <f t="shared" si="95"/>
        <v>2005</v>
      </c>
    </row>
    <row r="2016" spans="1:14">
      <c r="A2016" s="2" t="s">
        <v>63</v>
      </c>
      <c r="B2016" s="3">
        <v>10420</v>
      </c>
      <c r="C2016" s="3">
        <v>15</v>
      </c>
      <c r="D2016" s="13">
        <v>43.49</v>
      </c>
      <c r="E2016" s="5">
        <v>38501</v>
      </c>
      <c r="F2016" s="2" t="s">
        <v>113</v>
      </c>
      <c r="G2016" s="2" t="s">
        <v>202</v>
      </c>
      <c r="H2016" s="3">
        <v>2</v>
      </c>
      <c r="I2016" s="6">
        <v>2005</v>
      </c>
      <c r="J2016" s="2" t="s">
        <v>15</v>
      </c>
      <c r="K2016" s="2" t="s">
        <v>64</v>
      </c>
      <c r="L2016" s="7">
        <f t="shared" si="93"/>
        <v>652.35</v>
      </c>
      <c r="M2016" s="2" t="str">
        <f t="shared" si="94"/>
        <v>May</v>
      </c>
      <c r="N2016" s="6">
        <f t="shared" si="95"/>
        <v>2005</v>
      </c>
    </row>
    <row r="2017" spans="1:14">
      <c r="A2017" s="2" t="s">
        <v>69</v>
      </c>
      <c r="B2017" s="3">
        <v>10104</v>
      </c>
      <c r="C2017" s="3">
        <v>26</v>
      </c>
      <c r="D2017" s="13">
        <v>100</v>
      </c>
      <c r="E2017" s="5">
        <v>37652</v>
      </c>
      <c r="F2017" s="2" t="s">
        <v>13</v>
      </c>
      <c r="G2017" s="2" t="s">
        <v>72</v>
      </c>
      <c r="H2017" s="3">
        <v>1</v>
      </c>
      <c r="I2017" s="6">
        <v>2003</v>
      </c>
      <c r="J2017" s="2" t="s">
        <v>15</v>
      </c>
      <c r="K2017" s="2" t="s">
        <v>71</v>
      </c>
      <c r="L2017" s="7">
        <f t="shared" si="93"/>
        <v>2600</v>
      </c>
      <c r="M2017" s="2" t="str">
        <f t="shared" si="94"/>
        <v>January</v>
      </c>
      <c r="N2017" s="6">
        <f t="shared" si="95"/>
        <v>2003</v>
      </c>
    </row>
    <row r="2018" spans="1:14">
      <c r="A2018" s="2" t="s">
        <v>79</v>
      </c>
      <c r="B2018" s="3">
        <v>10115</v>
      </c>
      <c r="C2018" s="3">
        <v>44</v>
      </c>
      <c r="D2018" s="13">
        <v>100</v>
      </c>
      <c r="E2018" s="5">
        <v>37715</v>
      </c>
      <c r="F2018" s="2" t="s">
        <v>13</v>
      </c>
      <c r="G2018" s="2" t="s">
        <v>72</v>
      </c>
      <c r="H2018" s="3">
        <v>2</v>
      </c>
      <c r="I2018" s="6">
        <v>2003</v>
      </c>
      <c r="J2018" s="2" t="s">
        <v>22</v>
      </c>
      <c r="K2018" s="2" t="s">
        <v>80</v>
      </c>
      <c r="L2018" s="7">
        <f t="shared" si="93"/>
        <v>4400</v>
      </c>
      <c r="M2018" s="2" t="str">
        <f t="shared" si="94"/>
        <v>April</v>
      </c>
      <c r="N2018" s="6">
        <f t="shared" si="95"/>
        <v>2003</v>
      </c>
    </row>
    <row r="2019" spans="1:14">
      <c r="A2019" s="2" t="s">
        <v>177</v>
      </c>
      <c r="B2019" s="3">
        <v>10127</v>
      </c>
      <c r="C2019" s="3">
        <v>20</v>
      </c>
      <c r="D2019" s="13">
        <v>96.99</v>
      </c>
      <c r="E2019" s="5">
        <v>37775</v>
      </c>
      <c r="F2019" s="2" t="s">
        <v>13</v>
      </c>
      <c r="G2019" s="2" t="s">
        <v>72</v>
      </c>
      <c r="H2019" s="3">
        <v>2</v>
      </c>
      <c r="I2019" s="6">
        <v>2003</v>
      </c>
      <c r="J2019" s="2" t="s">
        <v>15</v>
      </c>
      <c r="K2019" s="2" t="s">
        <v>178</v>
      </c>
      <c r="L2019" s="7">
        <f t="shared" si="93"/>
        <v>1939.8</v>
      </c>
      <c r="M2019" s="2" t="str">
        <f t="shared" si="94"/>
        <v>June</v>
      </c>
      <c r="N2019" s="6">
        <f t="shared" si="95"/>
        <v>2003</v>
      </c>
    </row>
    <row r="2020" spans="1:14">
      <c r="A2020" s="2" t="s">
        <v>175</v>
      </c>
      <c r="B2020" s="3">
        <v>10141</v>
      </c>
      <c r="C2020" s="3">
        <v>40</v>
      </c>
      <c r="D2020" s="13">
        <v>94.62</v>
      </c>
      <c r="E2020" s="5">
        <v>37834</v>
      </c>
      <c r="F2020" s="2" t="s">
        <v>13</v>
      </c>
      <c r="G2020" s="2" t="s">
        <v>72</v>
      </c>
      <c r="H2020" s="3">
        <v>3</v>
      </c>
      <c r="I2020" s="6">
        <v>2003</v>
      </c>
      <c r="J2020" s="2" t="s">
        <v>22</v>
      </c>
      <c r="K2020" s="2" t="s">
        <v>176</v>
      </c>
      <c r="L2020" s="7">
        <f t="shared" si="93"/>
        <v>3784.8</v>
      </c>
      <c r="M2020" s="2" t="str">
        <f t="shared" si="94"/>
        <v>August</v>
      </c>
      <c r="N2020" s="6">
        <f t="shared" si="95"/>
        <v>2003</v>
      </c>
    </row>
    <row r="2021" spans="1:14">
      <c r="A2021" s="2" t="s">
        <v>81</v>
      </c>
      <c r="B2021" s="3">
        <v>10152</v>
      </c>
      <c r="C2021" s="3">
        <v>23</v>
      </c>
      <c r="D2021" s="13">
        <v>100</v>
      </c>
      <c r="E2021" s="5">
        <v>37889</v>
      </c>
      <c r="F2021" s="2" t="s">
        <v>13</v>
      </c>
      <c r="G2021" s="2" t="s">
        <v>72</v>
      </c>
      <c r="H2021" s="3">
        <v>3</v>
      </c>
      <c r="I2021" s="6">
        <v>2003</v>
      </c>
      <c r="J2021" s="2" t="s">
        <v>15</v>
      </c>
      <c r="K2021" s="2" t="s">
        <v>82</v>
      </c>
      <c r="L2021" s="7">
        <f t="shared" si="93"/>
        <v>2300</v>
      </c>
      <c r="M2021" s="2" t="str">
        <f t="shared" si="94"/>
        <v>September</v>
      </c>
      <c r="N2021" s="6">
        <f t="shared" si="95"/>
        <v>2003</v>
      </c>
    </row>
    <row r="2022" spans="1:14">
      <c r="A2022" s="2" t="s">
        <v>77</v>
      </c>
      <c r="B2022" s="3">
        <v>10165</v>
      </c>
      <c r="C2022" s="3">
        <v>24</v>
      </c>
      <c r="D2022" s="13">
        <v>99.36</v>
      </c>
      <c r="E2022" s="5">
        <v>37916</v>
      </c>
      <c r="F2022" s="2" t="s">
        <v>13</v>
      </c>
      <c r="G2022" s="2" t="s">
        <v>72</v>
      </c>
      <c r="H2022" s="3">
        <v>4</v>
      </c>
      <c r="I2022" s="6">
        <v>2003</v>
      </c>
      <c r="J2022" s="2" t="s">
        <v>15</v>
      </c>
      <c r="K2022" s="2" t="s">
        <v>78</v>
      </c>
      <c r="L2022" s="7">
        <f t="shared" si="93"/>
        <v>2384.64</v>
      </c>
      <c r="M2022" s="2" t="str">
        <f t="shared" si="94"/>
        <v>October</v>
      </c>
      <c r="N2022" s="6">
        <f t="shared" si="95"/>
        <v>2003</v>
      </c>
    </row>
    <row r="2023" spans="1:14">
      <c r="A2023" s="2" t="s">
        <v>169</v>
      </c>
      <c r="B2023" s="3">
        <v>10176</v>
      </c>
      <c r="C2023" s="3">
        <v>29</v>
      </c>
      <c r="D2023" s="13">
        <v>100</v>
      </c>
      <c r="E2023" s="5">
        <v>37931</v>
      </c>
      <c r="F2023" s="2" t="s">
        <v>13</v>
      </c>
      <c r="G2023" s="2" t="s">
        <v>72</v>
      </c>
      <c r="H2023" s="3">
        <v>4</v>
      </c>
      <c r="I2023" s="6">
        <v>2003</v>
      </c>
      <c r="J2023" s="2" t="s">
        <v>15</v>
      </c>
      <c r="K2023" s="2" t="s">
        <v>170</v>
      </c>
      <c r="L2023" s="7">
        <f t="shared" si="93"/>
        <v>2900</v>
      </c>
      <c r="M2023" s="2" t="str">
        <f t="shared" si="94"/>
        <v>November</v>
      </c>
      <c r="N2023" s="6">
        <f t="shared" si="95"/>
        <v>2003</v>
      </c>
    </row>
    <row r="2024" spans="1:14">
      <c r="A2024" s="2" t="s">
        <v>192</v>
      </c>
      <c r="B2024" s="3">
        <v>10184</v>
      </c>
      <c r="C2024" s="3">
        <v>49</v>
      </c>
      <c r="D2024" s="13">
        <v>100</v>
      </c>
      <c r="E2024" s="5">
        <v>37939</v>
      </c>
      <c r="F2024" s="2" t="s">
        <v>13</v>
      </c>
      <c r="G2024" s="2" t="s">
        <v>72</v>
      </c>
      <c r="H2024" s="3">
        <v>4</v>
      </c>
      <c r="I2024" s="6">
        <v>2003</v>
      </c>
      <c r="J2024" s="2" t="s">
        <v>22</v>
      </c>
      <c r="K2024" s="2" t="s">
        <v>193</v>
      </c>
      <c r="L2024" s="7">
        <f t="shared" si="93"/>
        <v>4900</v>
      </c>
      <c r="M2024" s="2" t="str">
        <f t="shared" si="94"/>
        <v>November</v>
      </c>
      <c r="N2024" s="6">
        <f t="shared" si="95"/>
        <v>2003</v>
      </c>
    </row>
    <row r="2025" spans="1:14">
      <c r="A2025" s="2" t="s">
        <v>120</v>
      </c>
      <c r="B2025" s="3">
        <v>10195</v>
      </c>
      <c r="C2025" s="3">
        <v>34</v>
      </c>
      <c r="D2025" s="13">
        <v>100</v>
      </c>
      <c r="E2025" s="5">
        <v>37950</v>
      </c>
      <c r="F2025" s="2" t="s">
        <v>13</v>
      </c>
      <c r="G2025" s="2" t="s">
        <v>72</v>
      </c>
      <c r="H2025" s="3">
        <v>4</v>
      </c>
      <c r="I2025" s="6">
        <v>2003</v>
      </c>
      <c r="J2025" s="2" t="s">
        <v>22</v>
      </c>
      <c r="K2025" s="2" t="s">
        <v>121</v>
      </c>
      <c r="L2025" s="7">
        <f t="shared" si="93"/>
        <v>3400</v>
      </c>
      <c r="M2025" s="2" t="str">
        <f t="shared" si="94"/>
        <v>November</v>
      </c>
      <c r="N2025" s="6">
        <f t="shared" si="95"/>
        <v>2003</v>
      </c>
    </row>
    <row r="2026" spans="1:14">
      <c r="A2026" s="2" t="s">
        <v>157</v>
      </c>
      <c r="B2026" s="3">
        <v>10207</v>
      </c>
      <c r="C2026" s="3">
        <v>28</v>
      </c>
      <c r="D2026" s="13">
        <v>100</v>
      </c>
      <c r="E2026" s="5">
        <v>37964</v>
      </c>
      <c r="F2026" s="2" t="s">
        <v>13</v>
      </c>
      <c r="G2026" s="2" t="s">
        <v>72</v>
      </c>
      <c r="H2026" s="3">
        <v>4</v>
      </c>
      <c r="I2026" s="6">
        <v>2003</v>
      </c>
      <c r="J2026" s="2" t="s">
        <v>15</v>
      </c>
      <c r="K2026" s="2" t="s">
        <v>158</v>
      </c>
      <c r="L2026" s="7">
        <f t="shared" si="93"/>
        <v>2800</v>
      </c>
      <c r="M2026" s="2" t="str">
        <f t="shared" si="94"/>
        <v>December</v>
      </c>
      <c r="N2026" s="6">
        <f t="shared" si="95"/>
        <v>2003</v>
      </c>
    </row>
    <row r="2027" spans="1:14">
      <c r="A2027" s="2" t="s">
        <v>179</v>
      </c>
      <c r="B2027" s="3">
        <v>10220</v>
      </c>
      <c r="C2027" s="3">
        <v>37</v>
      </c>
      <c r="D2027" s="13">
        <v>100</v>
      </c>
      <c r="E2027" s="5">
        <v>38029</v>
      </c>
      <c r="F2027" s="2" t="s">
        <v>13</v>
      </c>
      <c r="G2027" s="2" t="s">
        <v>72</v>
      </c>
      <c r="H2027" s="3">
        <v>1</v>
      </c>
      <c r="I2027" s="6">
        <v>2004</v>
      </c>
      <c r="J2027" s="2" t="s">
        <v>22</v>
      </c>
      <c r="K2027" s="2" t="s">
        <v>180</v>
      </c>
      <c r="L2027" s="7">
        <f t="shared" si="93"/>
        <v>3700</v>
      </c>
      <c r="M2027" s="2" t="str">
        <f t="shared" si="94"/>
        <v>February</v>
      </c>
      <c r="N2027" s="6">
        <f t="shared" si="95"/>
        <v>2004</v>
      </c>
    </row>
    <row r="2028" spans="1:14">
      <c r="A2028" s="2" t="s">
        <v>173</v>
      </c>
      <c r="B2028" s="3">
        <v>10230</v>
      </c>
      <c r="C2028" s="3">
        <v>45</v>
      </c>
      <c r="D2028" s="13">
        <v>100</v>
      </c>
      <c r="E2028" s="5">
        <v>38061</v>
      </c>
      <c r="F2028" s="2" t="s">
        <v>13</v>
      </c>
      <c r="G2028" s="2" t="s">
        <v>72</v>
      </c>
      <c r="H2028" s="3">
        <v>1</v>
      </c>
      <c r="I2028" s="6">
        <v>2004</v>
      </c>
      <c r="J2028" s="2" t="s">
        <v>22</v>
      </c>
      <c r="K2028" s="2" t="s">
        <v>174</v>
      </c>
      <c r="L2028" s="7">
        <f t="shared" si="93"/>
        <v>4500</v>
      </c>
      <c r="M2028" s="2" t="str">
        <f t="shared" si="94"/>
        <v>March</v>
      </c>
      <c r="N2028" s="6">
        <f t="shared" si="95"/>
        <v>2004</v>
      </c>
    </row>
    <row r="2029" spans="1:14">
      <c r="A2029" s="2" t="s">
        <v>69</v>
      </c>
      <c r="B2029" s="3">
        <v>10246</v>
      </c>
      <c r="C2029" s="3">
        <v>46</v>
      </c>
      <c r="D2029" s="13">
        <v>100</v>
      </c>
      <c r="E2029" s="5">
        <v>38112</v>
      </c>
      <c r="F2029" s="2" t="s">
        <v>13</v>
      </c>
      <c r="G2029" s="2" t="s">
        <v>72</v>
      </c>
      <c r="H2029" s="3">
        <v>2</v>
      </c>
      <c r="I2029" s="6">
        <v>2004</v>
      </c>
      <c r="J2029" s="2" t="s">
        <v>22</v>
      </c>
      <c r="K2029" s="2" t="s">
        <v>71</v>
      </c>
      <c r="L2029" s="7">
        <f t="shared" si="93"/>
        <v>4600</v>
      </c>
      <c r="M2029" s="2" t="str">
        <f t="shared" si="94"/>
        <v>May</v>
      </c>
      <c r="N2029" s="6">
        <f t="shared" si="95"/>
        <v>2004</v>
      </c>
    </row>
    <row r="2030" spans="1:14">
      <c r="A2030" s="2" t="s">
        <v>103</v>
      </c>
      <c r="B2030" s="3">
        <v>10271</v>
      </c>
      <c r="C2030" s="3">
        <v>22</v>
      </c>
      <c r="D2030" s="13">
        <v>100</v>
      </c>
      <c r="E2030" s="5">
        <v>38188</v>
      </c>
      <c r="F2030" s="2" t="s">
        <v>13</v>
      </c>
      <c r="G2030" s="2" t="s">
        <v>72</v>
      </c>
      <c r="H2030" s="3">
        <v>3</v>
      </c>
      <c r="I2030" s="6">
        <v>2004</v>
      </c>
      <c r="J2030" s="2" t="s">
        <v>22</v>
      </c>
      <c r="K2030" s="2" t="s">
        <v>104</v>
      </c>
      <c r="L2030" s="7">
        <f t="shared" si="93"/>
        <v>2200</v>
      </c>
      <c r="M2030" s="2" t="str">
        <f t="shared" si="94"/>
        <v>July</v>
      </c>
      <c r="N2030" s="6">
        <f t="shared" si="95"/>
        <v>2004</v>
      </c>
    </row>
    <row r="2031" spans="1:14">
      <c r="A2031" s="2" t="s">
        <v>103</v>
      </c>
      <c r="B2031" s="3">
        <v>10282</v>
      </c>
      <c r="C2031" s="3">
        <v>39</v>
      </c>
      <c r="D2031" s="13">
        <v>100</v>
      </c>
      <c r="E2031" s="5">
        <v>38219</v>
      </c>
      <c r="F2031" s="2" t="s">
        <v>13</v>
      </c>
      <c r="G2031" s="2" t="s">
        <v>72</v>
      </c>
      <c r="H2031" s="3">
        <v>3</v>
      </c>
      <c r="I2031" s="6">
        <v>2004</v>
      </c>
      <c r="J2031" s="2" t="s">
        <v>22</v>
      </c>
      <c r="K2031" s="2" t="s">
        <v>104</v>
      </c>
      <c r="L2031" s="7">
        <f t="shared" si="93"/>
        <v>3900</v>
      </c>
      <c r="M2031" s="2" t="str">
        <f t="shared" si="94"/>
        <v>August</v>
      </c>
      <c r="N2031" s="6">
        <f t="shared" si="95"/>
        <v>2004</v>
      </c>
    </row>
    <row r="2032" spans="1:14">
      <c r="A2032" s="2" t="s">
        <v>12</v>
      </c>
      <c r="B2032" s="3">
        <v>10292</v>
      </c>
      <c r="C2032" s="3">
        <v>27</v>
      </c>
      <c r="D2032" s="13">
        <v>100</v>
      </c>
      <c r="E2032" s="5">
        <v>38238</v>
      </c>
      <c r="F2032" s="2" t="s">
        <v>13</v>
      </c>
      <c r="G2032" s="2" t="s">
        <v>72</v>
      </c>
      <c r="H2032" s="3">
        <v>3</v>
      </c>
      <c r="I2032" s="6">
        <v>2004</v>
      </c>
      <c r="J2032" s="2" t="s">
        <v>22</v>
      </c>
      <c r="K2032" s="2" t="s">
        <v>16</v>
      </c>
      <c r="L2032" s="7">
        <f t="shared" si="93"/>
        <v>2700</v>
      </c>
      <c r="M2032" s="2" t="str">
        <f t="shared" si="94"/>
        <v>September</v>
      </c>
      <c r="N2032" s="6">
        <f t="shared" si="95"/>
        <v>2004</v>
      </c>
    </row>
    <row r="2033" spans="1:14">
      <c r="A2033" s="2" t="s">
        <v>52</v>
      </c>
      <c r="B2033" s="3">
        <v>10305</v>
      </c>
      <c r="C2033" s="3">
        <v>36</v>
      </c>
      <c r="D2033" s="13">
        <v>100</v>
      </c>
      <c r="E2033" s="5">
        <v>38273</v>
      </c>
      <c r="F2033" s="2" t="s">
        <v>13</v>
      </c>
      <c r="G2033" s="2" t="s">
        <v>72</v>
      </c>
      <c r="H2033" s="3">
        <v>4</v>
      </c>
      <c r="I2033" s="6">
        <v>2004</v>
      </c>
      <c r="J2033" s="2" t="s">
        <v>22</v>
      </c>
      <c r="K2033" s="2" t="s">
        <v>53</v>
      </c>
      <c r="L2033" s="7">
        <f t="shared" si="93"/>
        <v>3600</v>
      </c>
      <c r="M2033" s="2" t="str">
        <f t="shared" si="94"/>
        <v>October</v>
      </c>
      <c r="N2033" s="6">
        <f t="shared" si="95"/>
        <v>2004</v>
      </c>
    </row>
    <row r="2034" spans="1:14">
      <c r="A2034" s="2" t="s">
        <v>185</v>
      </c>
      <c r="B2034" s="3">
        <v>10314</v>
      </c>
      <c r="C2034" s="3">
        <v>38</v>
      </c>
      <c r="D2034" s="13">
        <v>100</v>
      </c>
      <c r="E2034" s="5">
        <v>38282</v>
      </c>
      <c r="F2034" s="2" t="s">
        <v>13</v>
      </c>
      <c r="G2034" s="2" t="s">
        <v>72</v>
      </c>
      <c r="H2034" s="3">
        <v>4</v>
      </c>
      <c r="I2034" s="6">
        <v>2004</v>
      </c>
      <c r="J2034" s="2" t="s">
        <v>22</v>
      </c>
      <c r="K2034" s="2" t="s">
        <v>186</v>
      </c>
      <c r="L2034" s="7">
        <f t="shared" si="93"/>
        <v>3800</v>
      </c>
      <c r="M2034" s="2" t="str">
        <f t="shared" si="94"/>
        <v>October</v>
      </c>
      <c r="N2034" s="6">
        <f t="shared" si="95"/>
        <v>2004</v>
      </c>
    </row>
    <row r="2035" spans="1:14">
      <c r="A2035" s="2" t="s">
        <v>56</v>
      </c>
      <c r="B2035" s="3">
        <v>10325</v>
      </c>
      <c r="C2035" s="3">
        <v>44</v>
      </c>
      <c r="D2035" s="13">
        <v>100</v>
      </c>
      <c r="E2035" s="5">
        <v>38296</v>
      </c>
      <c r="F2035" s="2" t="s">
        <v>13</v>
      </c>
      <c r="G2035" s="2" t="s">
        <v>72</v>
      </c>
      <c r="H2035" s="3">
        <v>4</v>
      </c>
      <c r="I2035" s="6">
        <v>2004</v>
      </c>
      <c r="J2035" s="2" t="s">
        <v>22</v>
      </c>
      <c r="K2035" s="2" t="s">
        <v>57</v>
      </c>
      <c r="L2035" s="7">
        <f t="shared" si="93"/>
        <v>4400</v>
      </c>
      <c r="M2035" s="2" t="str">
        <f t="shared" si="94"/>
        <v>November</v>
      </c>
      <c r="N2035" s="6">
        <f t="shared" si="95"/>
        <v>2004</v>
      </c>
    </row>
    <row r="2036" spans="1:14">
      <c r="A2036" s="2" t="s">
        <v>152</v>
      </c>
      <c r="B2036" s="3">
        <v>10336</v>
      </c>
      <c r="C2036" s="3">
        <v>31</v>
      </c>
      <c r="D2036" s="13">
        <v>100</v>
      </c>
      <c r="E2036" s="5">
        <v>38311</v>
      </c>
      <c r="F2036" s="2" t="s">
        <v>13</v>
      </c>
      <c r="G2036" s="2" t="s">
        <v>72</v>
      </c>
      <c r="H2036" s="3">
        <v>4</v>
      </c>
      <c r="I2036" s="6">
        <v>2004</v>
      </c>
      <c r="J2036" s="2" t="s">
        <v>22</v>
      </c>
      <c r="K2036" s="2" t="s">
        <v>153</v>
      </c>
      <c r="L2036" s="7">
        <f t="shared" si="93"/>
        <v>3100</v>
      </c>
      <c r="M2036" s="2" t="str">
        <f t="shared" si="94"/>
        <v>November</v>
      </c>
      <c r="N2036" s="6">
        <f t="shared" si="95"/>
        <v>2004</v>
      </c>
    </row>
    <row r="2037" spans="1:14">
      <c r="A2037" s="2" t="s">
        <v>177</v>
      </c>
      <c r="B2037" s="3">
        <v>10349</v>
      </c>
      <c r="C2037" s="3">
        <v>23</v>
      </c>
      <c r="D2037" s="13">
        <v>100</v>
      </c>
      <c r="E2037" s="5">
        <v>38322</v>
      </c>
      <c r="F2037" s="2" t="s">
        <v>13</v>
      </c>
      <c r="G2037" s="2" t="s">
        <v>72</v>
      </c>
      <c r="H2037" s="3">
        <v>4</v>
      </c>
      <c r="I2037" s="6">
        <v>2004</v>
      </c>
      <c r="J2037" s="2" t="s">
        <v>22</v>
      </c>
      <c r="K2037" s="2" t="s">
        <v>178</v>
      </c>
      <c r="L2037" s="7">
        <f t="shared" si="93"/>
        <v>2300</v>
      </c>
      <c r="M2037" s="2" t="str">
        <f t="shared" si="94"/>
        <v>December</v>
      </c>
      <c r="N2037" s="6">
        <f t="shared" si="95"/>
        <v>2004</v>
      </c>
    </row>
    <row r="2038" spans="1:14">
      <c r="A2038" s="2" t="s">
        <v>18</v>
      </c>
      <c r="B2038" s="3">
        <v>10359</v>
      </c>
      <c r="C2038" s="3">
        <v>22</v>
      </c>
      <c r="D2038" s="13">
        <v>100</v>
      </c>
      <c r="E2038" s="5">
        <v>38336</v>
      </c>
      <c r="F2038" s="2" t="s">
        <v>13</v>
      </c>
      <c r="G2038" s="2" t="s">
        <v>72</v>
      </c>
      <c r="H2038" s="3">
        <v>4</v>
      </c>
      <c r="I2038" s="6">
        <v>2004</v>
      </c>
      <c r="J2038" s="2" t="s">
        <v>15</v>
      </c>
      <c r="K2038" s="2" t="s">
        <v>19</v>
      </c>
      <c r="L2038" s="7">
        <f t="shared" si="93"/>
        <v>2200</v>
      </c>
      <c r="M2038" s="2" t="str">
        <f t="shared" si="94"/>
        <v>December</v>
      </c>
      <c r="N2038" s="6">
        <f t="shared" si="95"/>
        <v>2004</v>
      </c>
    </row>
    <row r="2039" spans="1:14">
      <c r="A2039" s="2" t="s">
        <v>103</v>
      </c>
      <c r="B2039" s="3">
        <v>10371</v>
      </c>
      <c r="C2039" s="3">
        <v>28</v>
      </c>
      <c r="D2039" s="13">
        <v>50.32</v>
      </c>
      <c r="E2039" s="5">
        <v>38375</v>
      </c>
      <c r="F2039" s="2" t="s">
        <v>13</v>
      </c>
      <c r="G2039" s="2" t="s">
        <v>72</v>
      </c>
      <c r="H2039" s="3">
        <v>1</v>
      </c>
      <c r="I2039" s="6">
        <v>2005</v>
      </c>
      <c r="J2039" s="2" t="s">
        <v>15</v>
      </c>
      <c r="K2039" s="2" t="s">
        <v>104</v>
      </c>
      <c r="L2039" s="7">
        <f t="shared" si="93"/>
        <v>1408.96</v>
      </c>
      <c r="M2039" s="2" t="str">
        <f t="shared" si="94"/>
        <v>January</v>
      </c>
      <c r="N2039" s="6">
        <f t="shared" si="95"/>
        <v>2005</v>
      </c>
    </row>
    <row r="2040" spans="1:14">
      <c r="A2040" s="2" t="s">
        <v>69</v>
      </c>
      <c r="B2040" s="3">
        <v>10383</v>
      </c>
      <c r="C2040" s="3">
        <v>21</v>
      </c>
      <c r="D2040" s="13">
        <v>93.91</v>
      </c>
      <c r="E2040" s="5">
        <v>38405</v>
      </c>
      <c r="F2040" s="2" t="s">
        <v>13</v>
      </c>
      <c r="G2040" s="2" t="s">
        <v>72</v>
      </c>
      <c r="H2040" s="3">
        <v>1</v>
      </c>
      <c r="I2040" s="6">
        <v>2005</v>
      </c>
      <c r="J2040" s="2" t="s">
        <v>15</v>
      </c>
      <c r="K2040" s="2" t="s">
        <v>71</v>
      </c>
      <c r="L2040" s="7">
        <f t="shared" si="93"/>
        <v>1972.11</v>
      </c>
      <c r="M2040" s="2" t="str">
        <f t="shared" si="94"/>
        <v>February</v>
      </c>
      <c r="N2040" s="6">
        <f t="shared" si="95"/>
        <v>2005</v>
      </c>
    </row>
    <row r="2041" spans="1:14">
      <c r="A2041" s="2" t="s">
        <v>69</v>
      </c>
      <c r="B2041" s="3">
        <v>10412</v>
      </c>
      <c r="C2041" s="3">
        <v>31</v>
      </c>
      <c r="D2041" s="13">
        <v>100</v>
      </c>
      <c r="E2041" s="5">
        <v>38475</v>
      </c>
      <c r="F2041" s="2" t="s">
        <v>13</v>
      </c>
      <c r="G2041" s="2" t="s">
        <v>72</v>
      </c>
      <c r="H2041" s="3">
        <v>2</v>
      </c>
      <c r="I2041" s="6">
        <v>2005</v>
      </c>
      <c r="J2041" s="2" t="s">
        <v>22</v>
      </c>
      <c r="K2041" s="2" t="s">
        <v>71</v>
      </c>
      <c r="L2041" s="7">
        <f t="shared" si="93"/>
        <v>3100</v>
      </c>
      <c r="M2041" s="2" t="str">
        <f t="shared" si="94"/>
        <v>May</v>
      </c>
      <c r="N2041" s="6">
        <f t="shared" si="95"/>
        <v>2005</v>
      </c>
    </row>
    <row r="2042" spans="1:14">
      <c r="A2042" s="2" t="s">
        <v>38</v>
      </c>
      <c r="B2042" s="3">
        <v>10111</v>
      </c>
      <c r="C2042" s="3">
        <v>26</v>
      </c>
      <c r="D2042" s="13">
        <v>86.68</v>
      </c>
      <c r="E2042" s="5">
        <v>37705</v>
      </c>
      <c r="F2042" s="2" t="s">
        <v>13</v>
      </c>
      <c r="G2042" s="2" t="s">
        <v>202</v>
      </c>
      <c r="H2042" s="3">
        <v>1</v>
      </c>
      <c r="I2042" s="6">
        <v>2003</v>
      </c>
      <c r="J2042" s="2" t="s">
        <v>15</v>
      </c>
      <c r="K2042" s="2" t="s">
        <v>39</v>
      </c>
      <c r="L2042" s="7">
        <f t="shared" si="93"/>
        <v>2253.68</v>
      </c>
      <c r="M2042" s="2" t="str">
        <f t="shared" si="94"/>
        <v>March</v>
      </c>
      <c r="N2042" s="6">
        <f t="shared" si="95"/>
        <v>2003</v>
      </c>
    </row>
    <row r="2043" spans="1:14">
      <c r="A2043" s="2" t="s">
        <v>75</v>
      </c>
      <c r="B2043" s="3">
        <v>10126</v>
      </c>
      <c r="C2043" s="3">
        <v>34</v>
      </c>
      <c r="D2043" s="13">
        <v>100</v>
      </c>
      <c r="E2043" s="5">
        <v>37769</v>
      </c>
      <c r="F2043" s="2" t="s">
        <v>13</v>
      </c>
      <c r="G2043" s="2" t="s">
        <v>202</v>
      </c>
      <c r="H2043" s="3">
        <v>2</v>
      </c>
      <c r="I2043" s="6">
        <v>2003</v>
      </c>
      <c r="J2043" s="2" t="s">
        <v>22</v>
      </c>
      <c r="K2043" s="2" t="s">
        <v>76</v>
      </c>
      <c r="L2043" s="7">
        <f t="shared" si="93"/>
        <v>3400</v>
      </c>
      <c r="M2043" s="2" t="str">
        <f t="shared" si="94"/>
        <v>May</v>
      </c>
      <c r="N2043" s="6">
        <f t="shared" si="95"/>
        <v>2003</v>
      </c>
    </row>
    <row r="2044" spans="1:14">
      <c r="A2044" s="2" t="s">
        <v>63</v>
      </c>
      <c r="B2044" s="3">
        <v>10139</v>
      </c>
      <c r="C2044" s="3">
        <v>29</v>
      </c>
      <c r="D2044" s="13">
        <v>100</v>
      </c>
      <c r="E2044" s="5">
        <v>37818</v>
      </c>
      <c r="F2044" s="2" t="s">
        <v>13</v>
      </c>
      <c r="G2044" s="2" t="s">
        <v>202</v>
      </c>
      <c r="H2044" s="3">
        <v>3</v>
      </c>
      <c r="I2044" s="6">
        <v>2003</v>
      </c>
      <c r="J2044" s="2" t="s">
        <v>22</v>
      </c>
      <c r="K2044" s="2" t="s">
        <v>64</v>
      </c>
      <c r="L2044" s="7">
        <f t="shared" si="93"/>
        <v>2900</v>
      </c>
      <c r="M2044" s="2" t="str">
        <f t="shared" si="94"/>
        <v>July</v>
      </c>
      <c r="N2044" s="6">
        <f t="shared" si="95"/>
        <v>2003</v>
      </c>
    </row>
    <row r="2045" spans="1:14">
      <c r="A2045" s="2" t="s">
        <v>194</v>
      </c>
      <c r="B2045" s="3">
        <v>10149</v>
      </c>
      <c r="C2045" s="3">
        <v>20</v>
      </c>
      <c r="D2045" s="13">
        <v>90.57</v>
      </c>
      <c r="E2045" s="5">
        <v>37876</v>
      </c>
      <c r="F2045" s="2" t="s">
        <v>13</v>
      </c>
      <c r="G2045" s="2" t="s">
        <v>202</v>
      </c>
      <c r="H2045" s="3">
        <v>3</v>
      </c>
      <c r="I2045" s="6">
        <v>2003</v>
      </c>
      <c r="J2045" s="2" t="s">
        <v>15</v>
      </c>
      <c r="K2045" s="2" t="s">
        <v>195</v>
      </c>
      <c r="L2045" s="7">
        <f t="shared" si="93"/>
        <v>1811.4</v>
      </c>
      <c r="M2045" s="2" t="str">
        <f t="shared" si="94"/>
        <v>September</v>
      </c>
      <c r="N2045" s="6">
        <f t="shared" si="95"/>
        <v>2003</v>
      </c>
    </row>
    <row r="2046" spans="1:14">
      <c r="A2046" s="2" t="s">
        <v>79</v>
      </c>
      <c r="B2046" s="3">
        <v>10163</v>
      </c>
      <c r="C2046" s="3">
        <v>42</v>
      </c>
      <c r="D2046" s="13">
        <v>91.55</v>
      </c>
      <c r="E2046" s="5">
        <v>37914</v>
      </c>
      <c r="F2046" s="2" t="s">
        <v>13</v>
      </c>
      <c r="G2046" s="2" t="s">
        <v>202</v>
      </c>
      <c r="H2046" s="3">
        <v>4</v>
      </c>
      <c r="I2046" s="6">
        <v>2003</v>
      </c>
      <c r="J2046" s="2" t="s">
        <v>22</v>
      </c>
      <c r="K2046" s="2" t="s">
        <v>80</v>
      </c>
      <c r="L2046" s="7">
        <f t="shared" si="93"/>
        <v>3845.1</v>
      </c>
      <c r="M2046" s="2" t="str">
        <f t="shared" si="94"/>
        <v>October</v>
      </c>
      <c r="N2046" s="6">
        <f t="shared" si="95"/>
        <v>2003</v>
      </c>
    </row>
    <row r="2047" spans="1:14">
      <c r="A2047" s="2" t="s">
        <v>203</v>
      </c>
      <c r="B2047" s="3">
        <v>10173</v>
      </c>
      <c r="C2047" s="3">
        <v>22</v>
      </c>
      <c r="D2047" s="13">
        <v>100</v>
      </c>
      <c r="E2047" s="5">
        <v>37930</v>
      </c>
      <c r="F2047" s="2" t="s">
        <v>13</v>
      </c>
      <c r="G2047" s="2" t="s">
        <v>202</v>
      </c>
      <c r="H2047" s="3">
        <v>4</v>
      </c>
      <c r="I2047" s="6">
        <v>2003</v>
      </c>
      <c r="J2047" s="2" t="s">
        <v>15</v>
      </c>
      <c r="K2047" s="2" t="s">
        <v>204</v>
      </c>
      <c r="L2047" s="7">
        <f t="shared" si="93"/>
        <v>2200</v>
      </c>
      <c r="M2047" s="2" t="str">
        <f t="shared" si="94"/>
        <v>November</v>
      </c>
      <c r="N2047" s="6">
        <f t="shared" si="95"/>
        <v>2003</v>
      </c>
    </row>
    <row r="2048" spans="1:14">
      <c r="A2048" s="2" t="s">
        <v>83</v>
      </c>
      <c r="B2048" s="3">
        <v>10183</v>
      </c>
      <c r="C2048" s="3">
        <v>47</v>
      </c>
      <c r="D2048" s="13">
        <v>100</v>
      </c>
      <c r="E2048" s="5">
        <v>37938</v>
      </c>
      <c r="F2048" s="2" t="s">
        <v>13</v>
      </c>
      <c r="G2048" s="2" t="s">
        <v>202</v>
      </c>
      <c r="H2048" s="3">
        <v>4</v>
      </c>
      <c r="I2048" s="6">
        <v>2003</v>
      </c>
      <c r="J2048" s="2" t="s">
        <v>22</v>
      </c>
      <c r="K2048" s="2" t="s">
        <v>84</v>
      </c>
      <c r="L2048" s="7">
        <f t="shared" si="93"/>
        <v>4700</v>
      </c>
      <c r="M2048" s="2" t="str">
        <f t="shared" si="94"/>
        <v>November</v>
      </c>
      <c r="N2048" s="6">
        <f t="shared" si="95"/>
        <v>2003</v>
      </c>
    </row>
    <row r="2049" spans="1:14">
      <c r="A2049" s="2" t="s">
        <v>205</v>
      </c>
      <c r="B2049" s="3">
        <v>10193</v>
      </c>
      <c r="C2049" s="3">
        <v>20</v>
      </c>
      <c r="D2049" s="13">
        <v>100</v>
      </c>
      <c r="E2049" s="5">
        <v>37946</v>
      </c>
      <c r="F2049" s="2" t="s">
        <v>13</v>
      </c>
      <c r="G2049" s="2" t="s">
        <v>202</v>
      </c>
      <c r="H2049" s="3">
        <v>4</v>
      </c>
      <c r="I2049" s="6">
        <v>2003</v>
      </c>
      <c r="J2049" s="2" t="s">
        <v>15</v>
      </c>
      <c r="K2049" s="2" t="s">
        <v>206</v>
      </c>
      <c r="L2049" s="7">
        <f t="shared" si="93"/>
        <v>2000</v>
      </c>
      <c r="M2049" s="2" t="str">
        <f t="shared" si="94"/>
        <v>November</v>
      </c>
      <c r="N2049" s="6">
        <f t="shared" si="95"/>
        <v>2003</v>
      </c>
    </row>
    <row r="2050" spans="1:14">
      <c r="A2050" s="2" t="s">
        <v>87</v>
      </c>
      <c r="B2050" s="3">
        <v>10206</v>
      </c>
      <c r="C2050" s="3">
        <v>33</v>
      </c>
      <c r="D2050" s="13">
        <v>97.39</v>
      </c>
      <c r="E2050" s="5">
        <v>37960</v>
      </c>
      <c r="F2050" s="2" t="s">
        <v>13</v>
      </c>
      <c r="G2050" s="2" t="s">
        <v>202</v>
      </c>
      <c r="H2050" s="3">
        <v>4</v>
      </c>
      <c r="I2050" s="6">
        <v>2003</v>
      </c>
      <c r="J2050" s="2" t="s">
        <v>22</v>
      </c>
      <c r="K2050" s="2" t="s">
        <v>88</v>
      </c>
      <c r="L2050" s="7">
        <f t="shared" ref="L2050:L2113" si="96">PRODUCT(C2050,D2050)</f>
        <v>3213.87</v>
      </c>
      <c r="M2050" s="2" t="str">
        <f t="shared" ref="M2050:M2113" si="97">TEXT(E2050,"MMMM")</f>
        <v>December</v>
      </c>
      <c r="N2050" s="6">
        <f t="shared" ref="N2050:N2113" si="98">YEAR(E2050)</f>
        <v>2003</v>
      </c>
    </row>
    <row r="2051" spans="1:14">
      <c r="A2051" s="2" t="s">
        <v>89</v>
      </c>
      <c r="B2051" s="3">
        <v>10215</v>
      </c>
      <c r="C2051" s="3">
        <v>39</v>
      </c>
      <c r="D2051" s="13">
        <v>90.57</v>
      </c>
      <c r="E2051" s="5">
        <v>38015</v>
      </c>
      <c r="F2051" s="2" t="s">
        <v>13</v>
      </c>
      <c r="G2051" s="2" t="s">
        <v>202</v>
      </c>
      <c r="H2051" s="3">
        <v>1</v>
      </c>
      <c r="I2051" s="6">
        <v>2004</v>
      </c>
      <c r="J2051" s="2" t="s">
        <v>22</v>
      </c>
      <c r="K2051" s="2" t="s">
        <v>90</v>
      </c>
      <c r="L2051" s="7">
        <f t="shared" si="96"/>
        <v>3532.23</v>
      </c>
      <c r="M2051" s="2" t="str">
        <f t="shared" si="97"/>
        <v>January</v>
      </c>
      <c r="N2051" s="6">
        <f t="shared" si="98"/>
        <v>2004</v>
      </c>
    </row>
    <row r="2052" spans="1:14">
      <c r="A2052" s="2" t="s">
        <v>91</v>
      </c>
      <c r="B2052" s="3">
        <v>10228</v>
      </c>
      <c r="C2052" s="3">
        <v>33</v>
      </c>
      <c r="D2052" s="13">
        <v>100</v>
      </c>
      <c r="E2052" s="5">
        <v>38056</v>
      </c>
      <c r="F2052" s="2" t="s">
        <v>13</v>
      </c>
      <c r="G2052" s="2" t="s">
        <v>202</v>
      </c>
      <c r="H2052" s="3">
        <v>1</v>
      </c>
      <c r="I2052" s="6">
        <v>2004</v>
      </c>
      <c r="J2052" s="2" t="s">
        <v>22</v>
      </c>
      <c r="K2052" s="2" t="s">
        <v>92</v>
      </c>
      <c r="L2052" s="7">
        <f t="shared" si="96"/>
        <v>3300</v>
      </c>
      <c r="M2052" s="2" t="str">
        <f t="shared" si="97"/>
        <v>March</v>
      </c>
      <c r="N2052" s="6">
        <f t="shared" si="98"/>
        <v>2004</v>
      </c>
    </row>
    <row r="2053" spans="1:14">
      <c r="A2053" s="2" t="s">
        <v>69</v>
      </c>
      <c r="B2053" s="3">
        <v>10244</v>
      </c>
      <c r="C2053" s="3">
        <v>40</v>
      </c>
      <c r="D2053" s="13">
        <v>86.68</v>
      </c>
      <c r="E2053" s="5">
        <v>38106</v>
      </c>
      <c r="F2053" s="2" t="s">
        <v>13</v>
      </c>
      <c r="G2053" s="2" t="s">
        <v>202</v>
      </c>
      <c r="H2053" s="3">
        <v>2</v>
      </c>
      <c r="I2053" s="6">
        <v>2004</v>
      </c>
      <c r="J2053" s="2" t="s">
        <v>22</v>
      </c>
      <c r="K2053" s="2" t="s">
        <v>71</v>
      </c>
      <c r="L2053" s="7">
        <f t="shared" si="96"/>
        <v>3467.2</v>
      </c>
      <c r="M2053" s="2" t="str">
        <f t="shared" si="97"/>
        <v>April</v>
      </c>
      <c r="N2053" s="6">
        <f t="shared" si="98"/>
        <v>2004</v>
      </c>
    </row>
    <row r="2054" spans="1:14">
      <c r="A2054" s="2" t="s">
        <v>149</v>
      </c>
      <c r="B2054" s="3">
        <v>10257</v>
      </c>
      <c r="C2054" s="3">
        <v>46</v>
      </c>
      <c r="D2054" s="13">
        <v>78.89</v>
      </c>
      <c r="E2054" s="5">
        <v>38152</v>
      </c>
      <c r="F2054" s="2" t="s">
        <v>13</v>
      </c>
      <c r="G2054" s="2" t="s">
        <v>202</v>
      </c>
      <c r="H2054" s="3">
        <v>2</v>
      </c>
      <c r="I2054" s="6">
        <v>2004</v>
      </c>
      <c r="J2054" s="2" t="s">
        <v>22</v>
      </c>
      <c r="K2054" s="2" t="s">
        <v>150</v>
      </c>
      <c r="L2054" s="7">
        <f t="shared" si="96"/>
        <v>3628.94</v>
      </c>
      <c r="M2054" s="2" t="str">
        <f t="shared" si="97"/>
        <v>June</v>
      </c>
      <c r="N2054" s="6">
        <f t="shared" si="98"/>
        <v>2004</v>
      </c>
    </row>
    <row r="2055" spans="1:14">
      <c r="A2055" s="2" t="s">
        <v>60</v>
      </c>
      <c r="B2055" s="3">
        <v>10269</v>
      </c>
      <c r="C2055" s="3">
        <v>48</v>
      </c>
      <c r="D2055" s="13">
        <v>97.39</v>
      </c>
      <c r="E2055" s="5">
        <v>38184</v>
      </c>
      <c r="F2055" s="2" t="s">
        <v>13</v>
      </c>
      <c r="G2055" s="2" t="s">
        <v>202</v>
      </c>
      <c r="H2055" s="3">
        <v>3</v>
      </c>
      <c r="I2055" s="6">
        <v>2004</v>
      </c>
      <c r="J2055" s="2" t="s">
        <v>22</v>
      </c>
      <c r="K2055" s="2" t="s">
        <v>62</v>
      </c>
      <c r="L2055" s="7">
        <f t="shared" si="96"/>
        <v>4674.72</v>
      </c>
      <c r="M2055" s="2" t="str">
        <f t="shared" si="97"/>
        <v>July</v>
      </c>
      <c r="N2055" s="6">
        <f t="shared" si="98"/>
        <v>2004</v>
      </c>
    </row>
    <row r="2056" spans="1:14">
      <c r="A2056" s="2" t="s">
        <v>97</v>
      </c>
      <c r="B2056" s="3">
        <v>10280</v>
      </c>
      <c r="C2056" s="3">
        <v>21</v>
      </c>
      <c r="D2056" s="13">
        <v>78.89</v>
      </c>
      <c r="E2056" s="5">
        <v>38216</v>
      </c>
      <c r="F2056" s="2" t="s">
        <v>13</v>
      </c>
      <c r="G2056" s="2" t="s">
        <v>202</v>
      </c>
      <c r="H2056" s="3">
        <v>3</v>
      </c>
      <c r="I2056" s="6">
        <v>2004</v>
      </c>
      <c r="J2056" s="2" t="s">
        <v>15</v>
      </c>
      <c r="K2056" s="2" t="s">
        <v>98</v>
      </c>
      <c r="L2056" s="7">
        <f t="shared" si="96"/>
        <v>1656.69</v>
      </c>
      <c r="M2056" s="2" t="str">
        <f t="shared" si="97"/>
        <v>August</v>
      </c>
      <c r="N2056" s="6">
        <f t="shared" si="98"/>
        <v>2004</v>
      </c>
    </row>
    <row r="2057" spans="1:14">
      <c r="A2057" s="2" t="s">
        <v>215</v>
      </c>
      <c r="B2057" s="3">
        <v>10290</v>
      </c>
      <c r="C2057" s="3">
        <v>45</v>
      </c>
      <c r="D2057" s="13">
        <v>100</v>
      </c>
      <c r="E2057" s="5">
        <v>38237</v>
      </c>
      <c r="F2057" s="2" t="s">
        <v>13</v>
      </c>
      <c r="G2057" s="2" t="s">
        <v>202</v>
      </c>
      <c r="H2057" s="3">
        <v>3</v>
      </c>
      <c r="I2057" s="6">
        <v>2004</v>
      </c>
      <c r="J2057" s="2" t="s">
        <v>22</v>
      </c>
      <c r="K2057" s="2" t="s">
        <v>216</v>
      </c>
      <c r="L2057" s="7">
        <f t="shared" si="96"/>
        <v>4500</v>
      </c>
      <c r="M2057" s="2" t="str">
        <f t="shared" si="97"/>
        <v>September</v>
      </c>
      <c r="N2057" s="6">
        <f t="shared" si="98"/>
        <v>2004</v>
      </c>
    </row>
    <row r="2058" spans="1:14">
      <c r="A2058" s="2" t="s">
        <v>101</v>
      </c>
      <c r="B2058" s="3">
        <v>10304</v>
      </c>
      <c r="C2058" s="3">
        <v>33</v>
      </c>
      <c r="D2058" s="13">
        <v>100</v>
      </c>
      <c r="E2058" s="5">
        <v>38271</v>
      </c>
      <c r="F2058" s="2" t="s">
        <v>13</v>
      </c>
      <c r="G2058" s="2" t="s">
        <v>202</v>
      </c>
      <c r="H2058" s="3">
        <v>4</v>
      </c>
      <c r="I2058" s="6">
        <v>2004</v>
      </c>
      <c r="J2058" s="2" t="s">
        <v>22</v>
      </c>
      <c r="K2058" s="2" t="s">
        <v>102</v>
      </c>
      <c r="L2058" s="7">
        <f t="shared" si="96"/>
        <v>3300</v>
      </c>
      <c r="M2058" s="2" t="str">
        <f t="shared" si="97"/>
        <v>October</v>
      </c>
      <c r="N2058" s="6">
        <f t="shared" si="98"/>
        <v>2004</v>
      </c>
    </row>
    <row r="2059" spans="1:14">
      <c r="A2059" s="2" t="s">
        <v>103</v>
      </c>
      <c r="B2059" s="3">
        <v>10312</v>
      </c>
      <c r="C2059" s="3">
        <v>44</v>
      </c>
      <c r="D2059" s="13">
        <v>100</v>
      </c>
      <c r="E2059" s="5">
        <v>38281</v>
      </c>
      <c r="F2059" s="2" t="s">
        <v>13</v>
      </c>
      <c r="G2059" s="2" t="s">
        <v>202</v>
      </c>
      <c r="H2059" s="3">
        <v>4</v>
      </c>
      <c r="I2059" s="6">
        <v>2004</v>
      </c>
      <c r="J2059" s="2" t="s">
        <v>22</v>
      </c>
      <c r="K2059" s="2" t="s">
        <v>104</v>
      </c>
      <c r="L2059" s="7">
        <f t="shared" si="96"/>
        <v>4400</v>
      </c>
      <c r="M2059" s="2" t="str">
        <f t="shared" si="97"/>
        <v>October</v>
      </c>
      <c r="N2059" s="6">
        <f t="shared" si="98"/>
        <v>2004</v>
      </c>
    </row>
    <row r="2060" spans="1:14">
      <c r="A2060" s="2" t="s">
        <v>44</v>
      </c>
      <c r="B2060" s="3">
        <v>10324</v>
      </c>
      <c r="C2060" s="3">
        <v>33</v>
      </c>
      <c r="D2060" s="13">
        <v>100</v>
      </c>
      <c r="E2060" s="5">
        <v>38296</v>
      </c>
      <c r="F2060" s="2" t="s">
        <v>13</v>
      </c>
      <c r="G2060" s="2" t="s">
        <v>202</v>
      </c>
      <c r="H2060" s="3">
        <v>4</v>
      </c>
      <c r="I2060" s="6">
        <v>2004</v>
      </c>
      <c r="J2060" s="2" t="s">
        <v>22</v>
      </c>
      <c r="K2060" s="2" t="s">
        <v>45</v>
      </c>
      <c r="L2060" s="7">
        <f t="shared" si="96"/>
        <v>3300</v>
      </c>
      <c r="M2060" s="2" t="str">
        <f t="shared" si="97"/>
        <v>November</v>
      </c>
      <c r="N2060" s="6">
        <f t="shared" si="98"/>
        <v>2004</v>
      </c>
    </row>
    <row r="2061" spans="1:14">
      <c r="A2061" s="2" t="s">
        <v>38</v>
      </c>
      <c r="B2061" s="3">
        <v>10333</v>
      </c>
      <c r="C2061" s="3">
        <v>39</v>
      </c>
      <c r="D2061" s="13">
        <v>100</v>
      </c>
      <c r="E2061" s="5">
        <v>38309</v>
      </c>
      <c r="F2061" s="2" t="s">
        <v>13</v>
      </c>
      <c r="G2061" s="2" t="s">
        <v>202</v>
      </c>
      <c r="H2061" s="3">
        <v>4</v>
      </c>
      <c r="I2061" s="6">
        <v>2004</v>
      </c>
      <c r="J2061" s="2" t="s">
        <v>22</v>
      </c>
      <c r="K2061" s="2" t="s">
        <v>39</v>
      </c>
      <c r="L2061" s="7">
        <f t="shared" si="96"/>
        <v>3900</v>
      </c>
      <c r="M2061" s="2" t="str">
        <f t="shared" si="97"/>
        <v>November</v>
      </c>
      <c r="N2061" s="6">
        <f t="shared" si="98"/>
        <v>2004</v>
      </c>
    </row>
    <row r="2062" spans="1:14">
      <c r="A2062" s="2" t="s">
        <v>75</v>
      </c>
      <c r="B2062" s="3">
        <v>10348</v>
      </c>
      <c r="C2062" s="3">
        <v>39</v>
      </c>
      <c r="D2062" s="13">
        <v>50.31</v>
      </c>
      <c r="E2062" s="5">
        <v>38292</v>
      </c>
      <c r="F2062" s="2" t="s">
        <v>13</v>
      </c>
      <c r="G2062" s="2" t="s">
        <v>202</v>
      </c>
      <c r="H2062" s="3">
        <v>4</v>
      </c>
      <c r="I2062" s="6">
        <v>2004</v>
      </c>
      <c r="J2062" s="2" t="s">
        <v>15</v>
      </c>
      <c r="K2062" s="2" t="s">
        <v>76</v>
      </c>
      <c r="L2062" s="7">
        <f t="shared" si="96"/>
        <v>1962.09</v>
      </c>
      <c r="M2062" s="2" t="str">
        <f t="shared" si="97"/>
        <v>November</v>
      </c>
      <c r="N2062" s="6">
        <f t="shared" si="98"/>
        <v>2004</v>
      </c>
    </row>
    <row r="2063" spans="1:14">
      <c r="A2063" s="2" t="s">
        <v>69</v>
      </c>
      <c r="B2063" s="3">
        <v>10358</v>
      </c>
      <c r="C2063" s="3">
        <v>41</v>
      </c>
      <c r="D2063" s="13">
        <v>100</v>
      </c>
      <c r="E2063" s="5">
        <v>38331</v>
      </c>
      <c r="F2063" s="2" t="s">
        <v>13</v>
      </c>
      <c r="G2063" s="2" t="s">
        <v>202</v>
      </c>
      <c r="H2063" s="3">
        <v>4</v>
      </c>
      <c r="I2063" s="6">
        <v>2004</v>
      </c>
      <c r="J2063" s="2" t="s">
        <v>22</v>
      </c>
      <c r="K2063" s="2" t="s">
        <v>71</v>
      </c>
      <c r="L2063" s="7">
        <f t="shared" si="96"/>
        <v>4100</v>
      </c>
      <c r="M2063" s="2" t="str">
        <f t="shared" si="97"/>
        <v>December</v>
      </c>
      <c r="N2063" s="6">
        <f t="shared" si="98"/>
        <v>2004</v>
      </c>
    </row>
    <row r="2064" spans="1:14">
      <c r="A2064" s="2" t="s">
        <v>107</v>
      </c>
      <c r="B2064" s="3">
        <v>10369</v>
      </c>
      <c r="C2064" s="3">
        <v>40</v>
      </c>
      <c r="D2064" s="13">
        <v>86.92</v>
      </c>
      <c r="E2064" s="5">
        <v>38372</v>
      </c>
      <c r="F2064" s="2" t="s">
        <v>13</v>
      </c>
      <c r="G2064" s="2" t="s">
        <v>202</v>
      </c>
      <c r="H2064" s="3">
        <v>1</v>
      </c>
      <c r="I2064" s="6">
        <v>2005</v>
      </c>
      <c r="J2064" s="2" t="s">
        <v>22</v>
      </c>
      <c r="K2064" s="2" t="s">
        <v>108</v>
      </c>
      <c r="L2064" s="7">
        <f t="shared" si="96"/>
        <v>3476.8</v>
      </c>
      <c r="M2064" s="2" t="str">
        <f t="shared" si="97"/>
        <v>January</v>
      </c>
      <c r="N2064" s="6">
        <f t="shared" si="98"/>
        <v>2005</v>
      </c>
    </row>
    <row r="2065" spans="1:14">
      <c r="A2065" s="2" t="s">
        <v>103</v>
      </c>
      <c r="B2065" s="3">
        <v>10382</v>
      </c>
      <c r="C2065" s="3">
        <v>33</v>
      </c>
      <c r="D2065" s="13">
        <v>100</v>
      </c>
      <c r="E2065" s="5">
        <v>38400</v>
      </c>
      <c r="F2065" s="2" t="s">
        <v>13</v>
      </c>
      <c r="G2065" s="2" t="s">
        <v>202</v>
      </c>
      <c r="H2065" s="3">
        <v>1</v>
      </c>
      <c r="I2065" s="6">
        <v>2005</v>
      </c>
      <c r="J2065" s="2" t="s">
        <v>22</v>
      </c>
      <c r="K2065" s="2" t="s">
        <v>104</v>
      </c>
      <c r="L2065" s="7">
        <f t="shared" si="96"/>
        <v>3300</v>
      </c>
      <c r="M2065" s="2" t="str">
        <f t="shared" si="97"/>
        <v>February</v>
      </c>
      <c r="N2065" s="6">
        <f t="shared" si="98"/>
        <v>2005</v>
      </c>
    </row>
    <row r="2066" spans="1:14">
      <c r="A2066" s="2" t="s">
        <v>139</v>
      </c>
      <c r="B2066" s="3">
        <v>10423</v>
      </c>
      <c r="C2066" s="3">
        <v>28</v>
      </c>
      <c r="D2066" s="13">
        <v>78.89</v>
      </c>
      <c r="E2066" s="5">
        <v>38502</v>
      </c>
      <c r="F2066" s="2" t="s">
        <v>113</v>
      </c>
      <c r="G2066" s="2" t="s">
        <v>202</v>
      </c>
      <c r="H2066" s="3">
        <v>2</v>
      </c>
      <c r="I2066" s="6">
        <v>2005</v>
      </c>
      <c r="J2066" s="2" t="s">
        <v>15</v>
      </c>
      <c r="K2066" s="2" t="s">
        <v>140</v>
      </c>
      <c r="L2066" s="7">
        <f t="shared" si="96"/>
        <v>2208.92</v>
      </c>
      <c r="M2066" s="2" t="str">
        <f t="shared" si="97"/>
        <v>May</v>
      </c>
      <c r="N2066" s="6">
        <f t="shared" si="98"/>
        <v>2005</v>
      </c>
    </row>
    <row r="2067" spans="1:14">
      <c r="A2067" s="2" t="s">
        <v>203</v>
      </c>
      <c r="B2067" s="3">
        <v>10106</v>
      </c>
      <c r="C2067" s="3">
        <v>26</v>
      </c>
      <c r="D2067" s="13">
        <v>63.76</v>
      </c>
      <c r="E2067" s="5">
        <v>37669</v>
      </c>
      <c r="F2067" s="2" t="s">
        <v>13</v>
      </c>
      <c r="G2067" s="2" t="s">
        <v>207</v>
      </c>
      <c r="H2067" s="3">
        <v>1</v>
      </c>
      <c r="I2067" s="6">
        <v>2003</v>
      </c>
      <c r="J2067" s="2" t="s">
        <v>15</v>
      </c>
      <c r="K2067" s="2" t="s">
        <v>204</v>
      </c>
      <c r="L2067" s="7">
        <f t="shared" si="96"/>
        <v>1657.76</v>
      </c>
      <c r="M2067" s="2" t="str">
        <f t="shared" si="97"/>
        <v>February</v>
      </c>
      <c r="N2067" s="6">
        <f t="shared" si="98"/>
        <v>2003</v>
      </c>
    </row>
    <row r="2068" spans="1:14">
      <c r="A2068" s="2" t="s">
        <v>42</v>
      </c>
      <c r="B2068" s="3">
        <v>10120</v>
      </c>
      <c r="C2068" s="3">
        <v>29</v>
      </c>
      <c r="D2068" s="13">
        <v>85.49</v>
      </c>
      <c r="E2068" s="5">
        <v>37740</v>
      </c>
      <c r="F2068" s="2" t="s">
        <v>13</v>
      </c>
      <c r="G2068" s="2" t="s">
        <v>207</v>
      </c>
      <c r="H2068" s="3">
        <v>2</v>
      </c>
      <c r="I2068" s="6">
        <v>2003</v>
      </c>
      <c r="J2068" s="2" t="s">
        <v>15</v>
      </c>
      <c r="K2068" s="2" t="s">
        <v>43</v>
      </c>
      <c r="L2068" s="7">
        <f t="shared" si="96"/>
        <v>2479.21</v>
      </c>
      <c r="M2068" s="2" t="str">
        <f t="shared" si="97"/>
        <v>April</v>
      </c>
      <c r="N2068" s="6">
        <f t="shared" si="98"/>
        <v>2003</v>
      </c>
    </row>
    <row r="2069" spans="1:14">
      <c r="A2069" s="2" t="s">
        <v>69</v>
      </c>
      <c r="B2069" s="3">
        <v>10133</v>
      </c>
      <c r="C2069" s="3">
        <v>46</v>
      </c>
      <c r="D2069" s="13">
        <v>77.52</v>
      </c>
      <c r="E2069" s="5">
        <v>37799</v>
      </c>
      <c r="F2069" s="2" t="s">
        <v>13</v>
      </c>
      <c r="G2069" s="2" t="s">
        <v>207</v>
      </c>
      <c r="H2069" s="3">
        <v>2</v>
      </c>
      <c r="I2069" s="6">
        <v>2003</v>
      </c>
      <c r="J2069" s="2" t="s">
        <v>22</v>
      </c>
      <c r="K2069" s="2" t="s">
        <v>71</v>
      </c>
      <c r="L2069" s="7">
        <f t="shared" si="96"/>
        <v>3565.92</v>
      </c>
      <c r="M2069" s="2" t="str">
        <f t="shared" si="97"/>
        <v>June</v>
      </c>
      <c r="N2069" s="6">
        <f t="shared" si="98"/>
        <v>2003</v>
      </c>
    </row>
    <row r="2070" spans="1:14">
      <c r="A2070" s="2" t="s">
        <v>25</v>
      </c>
      <c r="B2070" s="3">
        <v>10145</v>
      </c>
      <c r="C2070" s="3">
        <v>33</v>
      </c>
      <c r="D2070" s="13">
        <v>84.77</v>
      </c>
      <c r="E2070" s="5">
        <v>37858</v>
      </c>
      <c r="F2070" s="2" t="s">
        <v>13</v>
      </c>
      <c r="G2070" s="2" t="s">
        <v>207</v>
      </c>
      <c r="H2070" s="3">
        <v>3</v>
      </c>
      <c r="I2070" s="6">
        <v>2003</v>
      </c>
      <c r="J2070" s="2" t="s">
        <v>15</v>
      </c>
      <c r="K2070" s="2" t="s">
        <v>26</v>
      </c>
      <c r="L2070" s="7">
        <f t="shared" si="96"/>
        <v>2797.41</v>
      </c>
      <c r="M2070" s="2" t="str">
        <f t="shared" si="97"/>
        <v>August</v>
      </c>
      <c r="N2070" s="6">
        <f t="shared" si="98"/>
        <v>2003</v>
      </c>
    </row>
    <row r="2071" spans="1:14">
      <c r="A2071" s="2" t="s">
        <v>31</v>
      </c>
      <c r="B2071" s="3">
        <v>10168</v>
      </c>
      <c r="C2071" s="3">
        <v>48</v>
      </c>
      <c r="D2071" s="13">
        <v>78.25</v>
      </c>
      <c r="E2071" s="5">
        <v>37922</v>
      </c>
      <c r="F2071" s="2" t="s">
        <v>13</v>
      </c>
      <c r="G2071" s="2" t="s">
        <v>207</v>
      </c>
      <c r="H2071" s="3">
        <v>4</v>
      </c>
      <c r="I2071" s="6">
        <v>2003</v>
      </c>
      <c r="J2071" s="2" t="s">
        <v>22</v>
      </c>
      <c r="K2071" s="2" t="s">
        <v>32</v>
      </c>
      <c r="L2071" s="7">
        <f t="shared" si="96"/>
        <v>3756</v>
      </c>
      <c r="M2071" s="2" t="str">
        <f t="shared" si="97"/>
        <v>October</v>
      </c>
      <c r="N2071" s="6">
        <f t="shared" si="98"/>
        <v>2003</v>
      </c>
    </row>
    <row r="2072" spans="1:14">
      <c r="A2072" s="2" t="s">
        <v>114</v>
      </c>
      <c r="B2072" s="3">
        <v>10210</v>
      </c>
      <c r="C2072" s="3">
        <v>40</v>
      </c>
      <c r="D2072" s="13">
        <v>71</v>
      </c>
      <c r="E2072" s="5">
        <v>37998</v>
      </c>
      <c r="F2072" s="2" t="s">
        <v>13</v>
      </c>
      <c r="G2072" s="2" t="s">
        <v>207</v>
      </c>
      <c r="H2072" s="3">
        <v>1</v>
      </c>
      <c r="I2072" s="6">
        <v>2004</v>
      </c>
      <c r="J2072" s="2" t="s">
        <v>15</v>
      </c>
      <c r="K2072" s="2" t="s">
        <v>115</v>
      </c>
      <c r="L2072" s="7">
        <f t="shared" si="96"/>
        <v>2840</v>
      </c>
      <c r="M2072" s="2" t="str">
        <f t="shared" si="97"/>
        <v>January</v>
      </c>
      <c r="N2072" s="6">
        <f t="shared" si="98"/>
        <v>2004</v>
      </c>
    </row>
    <row r="2073" spans="1:14">
      <c r="A2073" s="2" t="s">
        <v>42</v>
      </c>
      <c r="B2073" s="3">
        <v>10223</v>
      </c>
      <c r="C2073" s="3">
        <v>23</v>
      </c>
      <c r="D2073" s="13">
        <v>74.62</v>
      </c>
      <c r="E2073" s="5">
        <v>38037</v>
      </c>
      <c r="F2073" s="2" t="s">
        <v>13</v>
      </c>
      <c r="G2073" s="2" t="s">
        <v>207</v>
      </c>
      <c r="H2073" s="3">
        <v>1</v>
      </c>
      <c r="I2073" s="6">
        <v>2004</v>
      </c>
      <c r="J2073" s="2" t="s">
        <v>15</v>
      </c>
      <c r="K2073" s="2" t="s">
        <v>43</v>
      </c>
      <c r="L2073" s="7">
        <f t="shared" si="96"/>
        <v>1716.26</v>
      </c>
      <c r="M2073" s="2" t="str">
        <f t="shared" si="97"/>
        <v>February</v>
      </c>
      <c r="N2073" s="6">
        <f t="shared" si="98"/>
        <v>2004</v>
      </c>
    </row>
    <row r="2074" spans="1:14">
      <c r="A2074" s="2" t="s">
        <v>141</v>
      </c>
      <c r="B2074" s="3">
        <v>10235</v>
      </c>
      <c r="C2074" s="3">
        <v>40</v>
      </c>
      <c r="D2074" s="13">
        <v>81.14</v>
      </c>
      <c r="E2074" s="5">
        <v>38079</v>
      </c>
      <c r="F2074" s="2" t="s">
        <v>13</v>
      </c>
      <c r="G2074" s="2" t="s">
        <v>207</v>
      </c>
      <c r="H2074" s="3">
        <v>2</v>
      </c>
      <c r="I2074" s="6">
        <v>2004</v>
      </c>
      <c r="J2074" s="2" t="s">
        <v>22</v>
      </c>
      <c r="K2074" s="2" t="s">
        <v>142</v>
      </c>
      <c r="L2074" s="7">
        <f t="shared" si="96"/>
        <v>3245.6</v>
      </c>
      <c r="M2074" s="2" t="str">
        <f t="shared" si="97"/>
        <v>April</v>
      </c>
      <c r="N2074" s="6">
        <f t="shared" si="98"/>
        <v>2004</v>
      </c>
    </row>
    <row r="2075" spans="1:14">
      <c r="A2075" s="2" t="s">
        <v>149</v>
      </c>
      <c r="B2075" s="3">
        <v>10250</v>
      </c>
      <c r="C2075" s="3">
        <v>37</v>
      </c>
      <c r="D2075" s="13">
        <v>74.62</v>
      </c>
      <c r="E2075" s="5">
        <v>38118</v>
      </c>
      <c r="F2075" s="2" t="s">
        <v>13</v>
      </c>
      <c r="G2075" s="2" t="s">
        <v>207</v>
      </c>
      <c r="H2075" s="3">
        <v>2</v>
      </c>
      <c r="I2075" s="6">
        <v>2004</v>
      </c>
      <c r="J2075" s="2" t="s">
        <v>15</v>
      </c>
      <c r="K2075" s="2" t="s">
        <v>150</v>
      </c>
      <c r="L2075" s="7">
        <f t="shared" si="96"/>
        <v>2760.94</v>
      </c>
      <c r="M2075" s="2" t="str">
        <f t="shared" si="97"/>
        <v>May</v>
      </c>
      <c r="N2075" s="6">
        <f t="shared" si="98"/>
        <v>2004</v>
      </c>
    </row>
    <row r="2076" spans="1:14">
      <c r="A2076" s="2" t="s">
        <v>48</v>
      </c>
      <c r="B2076" s="3">
        <v>10263</v>
      </c>
      <c r="C2076" s="3">
        <v>24</v>
      </c>
      <c r="D2076" s="13">
        <v>75.35</v>
      </c>
      <c r="E2076" s="5">
        <v>38166</v>
      </c>
      <c r="F2076" s="2" t="s">
        <v>13</v>
      </c>
      <c r="G2076" s="2" t="s">
        <v>207</v>
      </c>
      <c r="H2076" s="3">
        <v>2</v>
      </c>
      <c r="I2076" s="6">
        <v>2004</v>
      </c>
      <c r="J2076" s="2" t="s">
        <v>15</v>
      </c>
      <c r="K2076" s="2" t="s">
        <v>49</v>
      </c>
      <c r="L2076" s="7">
        <f t="shared" si="96"/>
        <v>1808.4</v>
      </c>
      <c r="M2076" s="2" t="str">
        <f t="shared" si="97"/>
        <v>June</v>
      </c>
      <c r="N2076" s="6">
        <f t="shared" si="98"/>
        <v>2004</v>
      </c>
    </row>
    <row r="2077" spans="1:14">
      <c r="A2077" s="2" t="s">
        <v>50</v>
      </c>
      <c r="B2077" s="3">
        <v>10275</v>
      </c>
      <c r="C2077" s="3">
        <v>27</v>
      </c>
      <c r="D2077" s="13">
        <v>62.31</v>
      </c>
      <c r="E2077" s="5">
        <v>38191</v>
      </c>
      <c r="F2077" s="2" t="s">
        <v>13</v>
      </c>
      <c r="G2077" s="2" t="s">
        <v>207</v>
      </c>
      <c r="H2077" s="3">
        <v>3</v>
      </c>
      <c r="I2077" s="6">
        <v>2004</v>
      </c>
      <c r="J2077" s="2" t="s">
        <v>15</v>
      </c>
      <c r="K2077" s="2" t="s">
        <v>51</v>
      </c>
      <c r="L2077" s="7">
        <f t="shared" si="96"/>
        <v>1682.37</v>
      </c>
      <c r="M2077" s="2" t="str">
        <f t="shared" si="97"/>
        <v>July</v>
      </c>
      <c r="N2077" s="6">
        <f t="shared" si="98"/>
        <v>2004</v>
      </c>
    </row>
    <row r="2078" spans="1:14">
      <c r="A2078" s="2" t="s">
        <v>200</v>
      </c>
      <c r="B2078" s="3">
        <v>10284</v>
      </c>
      <c r="C2078" s="3">
        <v>21</v>
      </c>
      <c r="D2078" s="13">
        <v>71</v>
      </c>
      <c r="E2078" s="5">
        <v>38220</v>
      </c>
      <c r="F2078" s="2" t="s">
        <v>13</v>
      </c>
      <c r="G2078" s="2" t="s">
        <v>207</v>
      </c>
      <c r="H2078" s="3">
        <v>3</v>
      </c>
      <c r="I2078" s="6">
        <v>2004</v>
      </c>
      <c r="J2078" s="2" t="s">
        <v>15</v>
      </c>
      <c r="K2078" s="2" t="s">
        <v>201</v>
      </c>
      <c r="L2078" s="7">
        <f t="shared" si="96"/>
        <v>1491</v>
      </c>
      <c r="M2078" s="2" t="str">
        <f t="shared" si="97"/>
        <v>August</v>
      </c>
      <c r="N2078" s="6">
        <f t="shared" si="98"/>
        <v>2004</v>
      </c>
    </row>
    <row r="2079" spans="1:14">
      <c r="A2079" s="2" t="s">
        <v>179</v>
      </c>
      <c r="B2079" s="3">
        <v>10297</v>
      </c>
      <c r="C2079" s="3">
        <v>23</v>
      </c>
      <c r="D2079" s="13">
        <v>72.45</v>
      </c>
      <c r="E2079" s="5">
        <v>38246</v>
      </c>
      <c r="F2079" s="2" t="s">
        <v>13</v>
      </c>
      <c r="G2079" s="2" t="s">
        <v>207</v>
      </c>
      <c r="H2079" s="3">
        <v>3</v>
      </c>
      <c r="I2079" s="6">
        <v>2004</v>
      </c>
      <c r="J2079" s="2" t="s">
        <v>15</v>
      </c>
      <c r="K2079" s="2" t="s">
        <v>180</v>
      </c>
      <c r="L2079" s="7">
        <f t="shared" si="96"/>
        <v>1666.35</v>
      </c>
      <c r="M2079" s="2" t="str">
        <f t="shared" si="97"/>
        <v>September</v>
      </c>
      <c r="N2079" s="6">
        <f t="shared" si="98"/>
        <v>2004</v>
      </c>
    </row>
    <row r="2080" spans="1:14">
      <c r="A2080" s="2" t="s">
        <v>120</v>
      </c>
      <c r="B2080" s="3">
        <v>10308</v>
      </c>
      <c r="C2080" s="3">
        <v>44</v>
      </c>
      <c r="D2080" s="13">
        <v>83.32</v>
      </c>
      <c r="E2080" s="5">
        <v>38275</v>
      </c>
      <c r="F2080" s="2" t="s">
        <v>13</v>
      </c>
      <c r="G2080" s="2" t="s">
        <v>207</v>
      </c>
      <c r="H2080" s="3">
        <v>4</v>
      </c>
      <c r="I2080" s="6">
        <v>2004</v>
      </c>
      <c r="J2080" s="2" t="s">
        <v>22</v>
      </c>
      <c r="K2080" s="2" t="s">
        <v>121</v>
      </c>
      <c r="L2080" s="7">
        <f t="shared" si="96"/>
        <v>3666.08</v>
      </c>
      <c r="M2080" s="2" t="str">
        <f t="shared" si="97"/>
        <v>October</v>
      </c>
      <c r="N2080" s="6">
        <f t="shared" si="98"/>
        <v>2004</v>
      </c>
    </row>
    <row r="2081" spans="1:14">
      <c r="A2081" s="2" t="s">
        <v>31</v>
      </c>
      <c r="B2081" s="3">
        <v>10317</v>
      </c>
      <c r="C2081" s="3">
        <v>35</v>
      </c>
      <c r="D2081" s="13">
        <v>83.32</v>
      </c>
      <c r="E2081" s="5">
        <v>38293</v>
      </c>
      <c r="F2081" s="2" t="s">
        <v>13</v>
      </c>
      <c r="G2081" s="2" t="s">
        <v>207</v>
      </c>
      <c r="H2081" s="3">
        <v>4</v>
      </c>
      <c r="I2081" s="6">
        <v>2004</v>
      </c>
      <c r="J2081" s="2" t="s">
        <v>15</v>
      </c>
      <c r="K2081" s="2" t="s">
        <v>32</v>
      </c>
      <c r="L2081" s="7">
        <f t="shared" si="96"/>
        <v>2916.2</v>
      </c>
      <c r="M2081" s="2" t="str">
        <f t="shared" si="97"/>
        <v>November</v>
      </c>
      <c r="N2081" s="6">
        <f t="shared" si="98"/>
        <v>2004</v>
      </c>
    </row>
    <row r="2082" spans="1:14">
      <c r="A2082" s="2" t="s">
        <v>203</v>
      </c>
      <c r="B2082" s="3">
        <v>10328</v>
      </c>
      <c r="C2082" s="3">
        <v>43</v>
      </c>
      <c r="D2082" s="13">
        <v>60.86</v>
      </c>
      <c r="E2082" s="5">
        <v>38303</v>
      </c>
      <c r="F2082" s="2" t="s">
        <v>13</v>
      </c>
      <c r="G2082" s="2" t="s">
        <v>207</v>
      </c>
      <c r="H2082" s="3">
        <v>4</v>
      </c>
      <c r="I2082" s="6">
        <v>2004</v>
      </c>
      <c r="J2082" s="2" t="s">
        <v>15</v>
      </c>
      <c r="K2082" s="2" t="s">
        <v>204</v>
      </c>
      <c r="L2082" s="7">
        <f t="shared" si="96"/>
        <v>2616.98</v>
      </c>
      <c r="M2082" s="2" t="str">
        <f t="shared" si="97"/>
        <v>November</v>
      </c>
      <c r="N2082" s="6">
        <f t="shared" si="98"/>
        <v>2004</v>
      </c>
    </row>
    <row r="2083" spans="1:14">
      <c r="A2083" s="2" t="s">
        <v>133</v>
      </c>
      <c r="B2083" s="3">
        <v>10340</v>
      </c>
      <c r="C2083" s="3">
        <v>40</v>
      </c>
      <c r="D2083" s="13">
        <v>84.77</v>
      </c>
      <c r="E2083" s="5">
        <v>38315</v>
      </c>
      <c r="F2083" s="2" t="s">
        <v>13</v>
      </c>
      <c r="G2083" s="2" t="s">
        <v>207</v>
      </c>
      <c r="H2083" s="3">
        <v>4</v>
      </c>
      <c r="I2083" s="6">
        <v>2004</v>
      </c>
      <c r="J2083" s="2" t="s">
        <v>22</v>
      </c>
      <c r="K2083" s="2" t="s">
        <v>134</v>
      </c>
      <c r="L2083" s="7">
        <f t="shared" si="96"/>
        <v>3390.8</v>
      </c>
      <c r="M2083" s="2" t="str">
        <f t="shared" si="97"/>
        <v>November</v>
      </c>
      <c r="N2083" s="6">
        <f t="shared" si="98"/>
        <v>2004</v>
      </c>
    </row>
    <row r="2084" spans="1:14">
      <c r="A2084" s="2" t="s">
        <v>208</v>
      </c>
      <c r="B2084" s="3">
        <v>10353</v>
      </c>
      <c r="C2084" s="3">
        <v>35</v>
      </c>
      <c r="D2084" s="13">
        <v>89.9</v>
      </c>
      <c r="E2084" s="5">
        <v>38325</v>
      </c>
      <c r="F2084" s="2" t="s">
        <v>13</v>
      </c>
      <c r="G2084" s="2" t="s">
        <v>207</v>
      </c>
      <c r="H2084" s="3">
        <v>4</v>
      </c>
      <c r="I2084" s="6">
        <v>2004</v>
      </c>
      <c r="J2084" s="2" t="s">
        <v>22</v>
      </c>
      <c r="K2084" s="2" t="s">
        <v>209</v>
      </c>
      <c r="L2084" s="7">
        <f t="shared" si="96"/>
        <v>3146.5</v>
      </c>
      <c r="M2084" s="2" t="str">
        <f t="shared" si="97"/>
        <v>December</v>
      </c>
      <c r="N2084" s="6">
        <f t="shared" si="98"/>
        <v>2004</v>
      </c>
    </row>
    <row r="2085" spans="1:14">
      <c r="A2085" s="2" t="s">
        <v>63</v>
      </c>
      <c r="B2085" s="3">
        <v>10361</v>
      </c>
      <c r="C2085" s="3">
        <v>25</v>
      </c>
      <c r="D2085" s="13">
        <v>62.46</v>
      </c>
      <c r="E2085" s="5">
        <v>38338</v>
      </c>
      <c r="F2085" s="2" t="s">
        <v>13</v>
      </c>
      <c r="G2085" s="2" t="s">
        <v>207</v>
      </c>
      <c r="H2085" s="3">
        <v>4</v>
      </c>
      <c r="I2085" s="6">
        <v>2004</v>
      </c>
      <c r="J2085" s="2" t="s">
        <v>15</v>
      </c>
      <c r="K2085" s="2" t="s">
        <v>64</v>
      </c>
      <c r="L2085" s="7">
        <f t="shared" si="96"/>
        <v>1561.5</v>
      </c>
      <c r="M2085" s="2" t="str">
        <f t="shared" si="97"/>
        <v>December</v>
      </c>
      <c r="N2085" s="6">
        <f t="shared" si="98"/>
        <v>2004</v>
      </c>
    </row>
    <row r="2086" spans="1:14">
      <c r="A2086" s="2" t="s">
        <v>50</v>
      </c>
      <c r="B2086" s="3">
        <v>10375</v>
      </c>
      <c r="C2086" s="3">
        <v>43</v>
      </c>
      <c r="D2086" s="13">
        <v>100</v>
      </c>
      <c r="E2086" s="5">
        <v>38386</v>
      </c>
      <c r="F2086" s="2" t="s">
        <v>13</v>
      </c>
      <c r="G2086" s="2" t="s">
        <v>207</v>
      </c>
      <c r="H2086" s="3">
        <v>1</v>
      </c>
      <c r="I2086" s="6">
        <v>2005</v>
      </c>
      <c r="J2086" s="2" t="s">
        <v>61</v>
      </c>
      <c r="K2086" s="2" t="s">
        <v>51</v>
      </c>
      <c r="L2086" s="7">
        <f t="shared" si="96"/>
        <v>4300</v>
      </c>
      <c r="M2086" s="2" t="str">
        <f t="shared" si="97"/>
        <v>February</v>
      </c>
      <c r="N2086" s="6">
        <f t="shared" si="98"/>
        <v>2005</v>
      </c>
    </row>
    <row r="2087" spans="1:14">
      <c r="A2087" s="2" t="s">
        <v>69</v>
      </c>
      <c r="B2087" s="3">
        <v>10386</v>
      </c>
      <c r="C2087" s="3">
        <v>50</v>
      </c>
      <c r="D2087" s="13">
        <v>63.34</v>
      </c>
      <c r="E2087" s="5">
        <v>38412</v>
      </c>
      <c r="F2087" s="2" t="s">
        <v>155</v>
      </c>
      <c r="G2087" s="2" t="s">
        <v>207</v>
      </c>
      <c r="H2087" s="3">
        <v>1</v>
      </c>
      <c r="I2087" s="6">
        <v>2005</v>
      </c>
      <c r="J2087" s="2" t="s">
        <v>22</v>
      </c>
      <c r="K2087" s="2" t="s">
        <v>71</v>
      </c>
      <c r="L2087" s="7">
        <f t="shared" si="96"/>
        <v>3167</v>
      </c>
      <c r="M2087" s="2" t="str">
        <f t="shared" si="97"/>
        <v>March</v>
      </c>
      <c r="N2087" s="6">
        <f t="shared" si="98"/>
        <v>2005</v>
      </c>
    </row>
    <row r="2088" spans="1:14">
      <c r="A2088" s="2" t="s">
        <v>18</v>
      </c>
      <c r="B2088" s="3">
        <v>10398</v>
      </c>
      <c r="C2088" s="3">
        <v>45</v>
      </c>
      <c r="D2088" s="13">
        <v>78.25</v>
      </c>
      <c r="E2088" s="5">
        <v>38441</v>
      </c>
      <c r="F2088" s="2" t="s">
        <v>13</v>
      </c>
      <c r="G2088" s="2" t="s">
        <v>207</v>
      </c>
      <c r="H2088" s="3">
        <v>1</v>
      </c>
      <c r="I2088" s="6">
        <v>2005</v>
      </c>
      <c r="J2088" s="2" t="s">
        <v>22</v>
      </c>
      <c r="K2088" s="2" t="s">
        <v>19</v>
      </c>
      <c r="L2088" s="7">
        <f t="shared" si="96"/>
        <v>3521.25</v>
      </c>
      <c r="M2088" s="2" t="str">
        <f t="shared" si="97"/>
        <v>March</v>
      </c>
      <c r="N2088" s="6">
        <f t="shared" si="98"/>
        <v>2005</v>
      </c>
    </row>
    <row r="2089" spans="1:14">
      <c r="A2089" s="2" t="s">
        <v>46</v>
      </c>
      <c r="B2089" s="3">
        <v>10401</v>
      </c>
      <c r="C2089" s="3">
        <v>52</v>
      </c>
      <c r="D2089" s="13">
        <v>81.14</v>
      </c>
      <c r="E2089" s="5">
        <v>38445</v>
      </c>
      <c r="F2089" s="2" t="s">
        <v>151</v>
      </c>
      <c r="G2089" s="2" t="s">
        <v>207</v>
      </c>
      <c r="H2089" s="3">
        <v>2</v>
      </c>
      <c r="I2089" s="6">
        <v>2005</v>
      </c>
      <c r="J2089" s="2" t="s">
        <v>22</v>
      </c>
      <c r="K2089" s="2" t="s">
        <v>47</v>
      </c>
      <c r="L2089" s="7">
        <f t="shared" si="96"/>
        <v>4219.28</v>
      </c>
      <c r="M2089" s="2" t="str">
        <f t="shared" si="97"/>
        <v>April</v>
      </c>
      <c r="N2089" s="6">
        <f t="shared" si="98"/>
        <v>2005</v>
      </c>
    </row>
    <row r="2090" spans="1:14">
      <c r="A2090" s="2" t="s">
        <v>169</v>
      </c>
      <c r="B2090" s="3">
        <v>10416</v>
      </c>
      <c r="C2090" s="3">
        <v>48</v>
      </c>
      <c r="D2090" s="13">
        <v>74.62</v>
      </c>
      <c r="E2090" s="5">
        <v>38482</v>
      </c>
      <c r="F2090" s="2" t="s">
        <v>13</v>
      </c>
      <c r="G2090" s="2" t="s">
        <v>207</v>
      </c>
      <c r="H2090" s="3">
        <v>2</v>
      </c>
      <c r="I2090" s="6">
        <v>2005</v>
      </c>
      <c r="J2090" s="2" t="s">
        <v>22</v>
      </c>
      <c r="K2090" s="2" t="s">
        <v>170</v>
      </c>
      <c r="L2090" s="7">
        <f t="shared" si="96"/>
        <v>3581.76</v>
      </c>
      <c r="M2090" s="2" t="str">
        <f t="shared" si="97"/>
        <v>May</v>
      </c>
      <c r="N2090" s="6">
        <f t="shared" si="98"/>
        <v>2005</v>
      </c>
    </row>
    <row r="2091" spans="1:14">
      <c r="A2091" s="2" t="s">
        <v>161</v>
      </c>
      <c r="B2091" s="3">
        <v>10108</v>
      </c>
      <c r="C2091" s="3">
        <v>31</v>
      </c>
      <c r="D2091" s="13">
        <v>68.71</v>
      </c>
      <c r="E2091" s="5">
        <v>37683</v>
      </c>
      <c r="F2091" s="2" t="s">
        <v>13</v>
      </c>
      <c r="G2091" s="2" t="s">
        <v>72</v>
      </c>
      <c r="H2091" s="3">
        <v>1</v>
      </c>
      <c r="I2091" s="6">
        <v>2003</v>
      </c>
      <c r="J2091" s="2" t="s">
        <v>15</v>
      </c>
      <c r="K2091" s="2" t="s">
        <v>162</v>
      </c>
      <c r="L2091" s="7">
        <f t="shared" si="96"/>
        <v>2130.01</v>
      </c>
      <c r="M2091" s="2" t="str">
        <f t="shared" si="97"/>
        <v>March</v>
      </c>
      <c r="N2091" s="6">
        <f t="shared" si="98"/>
        <v>2003</v>
      </c>
    </row>
    <row r="2092" spans="1:14">
      <c r="A2092" s="2" t="s">
        <v>163</v>
      </c>
      <c r="B2092" s="3">
        <v>10122</v>
      </c>
      <c r="C2092" s="3">
        <v>29</v>
      </c>
      <c r="D2092" s="13">
        <v>71.14</v>
      </c>
      <c r="E2092" s="5">
        <v>37749</v>
      </c>
      <c r="F2092" s="2" t="s">
        <v>13</v>
      </c>
      <c r="G2092" s="2" t="s">
        <v>72</v>
      </c>
      <c r="H2092" s="3">
        <v>2</v>
      </c>
      <c r="I2092" s="6">
        <v>2003</v>
      </c>
      <c r="J2092" s="2" t="s">
        <v>15</v>
      </c>
      <c r="K2092" s="2" t="s">
        <v>164</v>
      </c>
      <c r="L2092" s="7">
        <f t="shared" si="96"/>
        <v>2063.06</v>
      </c>
      <c r="M2092" s="2" t="str">
        <f t="shared" si="97"/>
        <v>May</v>
      </c>
      <c r="N2092" s="6">
        <f t="shared" si="98"/>
        <v>2003</v>
      </c>
    </row>
    <row r="2093" spans="1:14">
      <c r="A2093" s="2" t="s">
        <v>103</v>
      </c>
      <c r="B2093" s="3">
        <v>10135</v>
      </c>
      <c r="C2093" s="3">
        <v>23</v>
      </c>
      <c r="D2093" s="13">
        <v>87.31</v>
      </c>
      <c r="E2093" s="5">
        <v>37804</v>
      </c>
      <c r="F2093" s="2" t="s">
        <v>13</v>
      </c>
      <c r="G2093" s="2" t="s">
        <v>72</v>
      </c>
      <c r="H2093" s="3">
        <v>3</v>
      </c>
      <c r="I2093" s="6">
        <v>2003</v>
      </c>
      <c r="J2093" s="2" t="s">
        <v>15</v>
      </c>
      <c r="K2093" s="2" t="s">
        <v>104</v>
      </c>
      <c r="L2093" s="7">
        <f t="shared" si="96"/>
        <v>2008.13</v>
      </c>
      <c r="M2093" s="2" t="str">
        <f t="shared" si="97"/>
        <v>July</v>
      </c>
      <c r="N2093" s="6">
        <f t="shared" si="98"/>
        <v>2003</v>
      </c>
    </row>
    <row r="2094" spans="1:14">
      <c r="A2094" s="2" t="s">
        <v>107</v>
      </c>
      <c r="B2094" s="3">
        <v>10147</v>
      </c>
      <c r="C2094" s="3">
        <v>31</v>
      </c>
      <c r="D2094" s="13">
        <v>64.67</v>
      </c>
      <c r="E2094" s="5">
        <v>37869</v>
      </c>
      <c r="F2094" s="2" t="s">
        <v>13</v>
      </c>
      <c r="G2094" s="2" t="s">
        <v>72</v>
      </c>
      <c r="H2094" s="3">
        <v>3</v>
      </c>
      <c r="I2094" s="6">
        <v>2003</v>
      </c>
      <c r="J2094" s="2" t="s">
        <v>15</v>
      </c>
      <c r="K2094" s="2" t="s">
        <v>108</v>
      </c>
      <c r="L2094" s="7">
        <f t="shared" si="96"/>
        <v>2004.77</v>
      </c>
      <c r="M2094" s="2" t="str">
        <f t="shared" si="97"/>
        <v>September</v>
      </c>
      <c r="N2094" s="6">
        <f t="shared" si="98"/>
        <v>2003</v>
      </c>
    </row>
    <row r="2095" spans="1:14">
      <c r="A2095" s="2" t="s">
        <v>28</v>
      </c>
      <c r="B2095" s="3">
        <v>10159</v>
      </c>
      <c r="C2095" s="3">
        <v>23</v>
      </c>
      <c r="D2095" s="13">
        <v>67.1</v>
      </c>
      <c r="E2095" s="5">
        <v>37904</v>
      </c>
      <c r="F2095" s="2" t="s">
        <v>13</v>
      </c>
      <c r="G2095" s="2" t="s">
        <v>72</v>
      </c>
      <c r="H2095" s="3">
        <v>4</v>
      </c>
      <c r="I2095" s="6">
        <v>2003</v>
      </c>
      <c r="J2095" s="2" t="s">
        <v>15</v>
      </c>
      <c r="K2095" s="2" t="s">
        <v>29</v>
      </c>
      <c r="L2095" s="7">
        <f t="shared" si="96"/>
        <v>1543.3</v>
      </c>
      <c r="M2095" s="2" t="str">
        <f t="shared" si="97"/>
        <v>October</v>
      </c>
      <c r="N2095" s="6">
        <f t="shared" si="98"/>
        <v>2003</v>
      </c>
    </row>
    <row r="2096" spans="1:14">
      <c r="A2096" s="2" t="s">
        <v>109</v>
      </c>
      <c r="B2096" s="3">
        <v>10169</v>
      </c>
      <c r="C2096" s="3">
        <v>24</v>
      </c>
      <c r="D2096" s="13">
        <v>94.58</v>
      </c>
      <c r="E2096" s="5">
        <v>37929</v>
      </c>
      <c r="F2096" s="2" t="s">
        <v>13</v>
      </c>
      <c r="G2096" s="2" t="s">
        <v>72</v>
      </c>
      <c r="H2096" s="3">
        <v>4</v>
      </c>
      <c r="I2096" s="6">
        <v>2003</v>
      </c>
      <c r="J2096" s="2" t="s">
        <v>15</v>
      </c>
      <c r="K2096" s="2" t="s">
        <v>110</v>
      </c>
      <c r="L2096" s="7">
        <f t="shared" si="96"/>
        <v>2269.92</v>
      </c>
      <c r="M2096" s="2" t="str">
        <f t="shared" si="97"/>
        <v>November</v>
      </c>
      <c r="N2096" s="6">
        <f t="shared" si="98"/>
        <v>2003</v>
      </c>
    </row>
    <row r="2097" spans="1:14">
      <c r="A2097" s="2" t="s">
        <v>34</v>
      </c>
      <c r="B2097" s="3">
        <v>10180</v>
      </c>
      <c r="C2097" s="3">
        <v>28</v>
      </c>
      <c r="D2097" s="13">
        <v>71.14</v>
      </c>
      <c r="E2097" s="5">
        <v>37936</v>
      </c>
      <c r="F2097" s="2" t="s">
        <v>13</v>
      </c>
      <c r="G2097" s="2" t="s">
        <v>72</v>
      </c>
      <c r="H2097" s="3">
        <v>4</v>
      </c>
      <c r="I2097" s="6">
        <v>2003</v>
      </c>
      <c r="J2097" s="2" t="s">
        <v>15</v>
      </c>
      <c r="K2097" s="2" t="s">
        <v>35</v>
      </c>
      <c r="L2097" s="7">
        <f t="shared" si="96"/>
        <v>1991.92</v>
      </c>
      <c r="M2097" s="2" t="str">
        <f t="shared" si="97"/>
        <v>November</v>
      </c>
      <c r="N2097" s="6">
        <f t="shared" si="98"/>
        <v>2003</v>
      </c>
    </row>
    <row r="2098" spans="1:14">
      <c r="A2098" s="2" t="s">
        <v>165</v>
      </c>
      <c r="B2098" s="3">
        <v>10191</v>
      </c>
      <c r="C2098" s="3">
        <v>44</v>
      </c>
      <c r="D2098" s="13">
        <v>66.29</v>
      </c>
      <c r="E2098" s="5">
        <v>37945</v>
      </c>
      <c r="F2098" s="2" t="s">
        <v>13</v>
      </c>
      <c r="G2098" s="2" t="s">
        <v>72</v>
      </c>
      <c r="H2098" s="3">
        <v>4</v>
      </c>
      <c r="I2098" s="6">
        <v>2003</v>
      </c>
      <c r="J2098" s="2" t="s">
        <v>15</v>
      </c>
      <c r="K2098" s="2" t="s">
        <v>166</v>
      </c>
      <c r="L2098" s="7">
        <f t="shared" si="96"/>
        <v>2916.76</v>
      </c>
      <c r="M2098" s="2" t="str">
        <f t="shared" si="97"/>
        <v>November</v>
      </c>
      <c r="N2098" s="6">
        <f t="shared" si="98"/>
        <v>2003</v>
      </c>
    </row>
    <row r="2099" spans="1:14">
      <c r="A2099" s="2" t="s">
        <v>40</v>
      </c>
      <c r="B2099" s="3">
        <v>10211</v>
      </c>
      <c r="C2099" s="3">
        <v>22</v>
      </c>
      <c r="D2099" s="13">
        <v>92.16</v>
      </c>
      <c r="E2099" s="5">
        <v>38001</v>
      </c>
      <c r="F2099" s="2" t="s">
        <v>13</v>
      </c>
      <c r="G2099" s="2" t="s">
        <v>72</v>
      </c>
      <c r="H2099" s="3">
        <v>1</v>
      </c>
      <c r="I2099" s="6">
        <v>2004</v>
      </c>
      <c r="J2099" s="2" t="s">
        <v>15</v>
      </c>
      <c r="K2099" s="2" t="s">
        <v>41</v>
      </c>
      <c r="L2099" s="7">
        <f t="shared" si="96"/>
        <v>2027.52</v>
      </c>
      <c r="M2099" s="2" t="str">
        <f t="shared" si="97"/>
        <v>January</v>
      </c>
      <c r="N2099" s="6">
        <f t="shared" si="98"/>
        <v>2004</v>
      </c>
    </row>
    <row r="2100" spans="1:14">
      <c r="A2100" s="2" t="s">
        <v>167</v>
      </c>
      <c r="B2100" s="3">
        <v>10225</v>
      </c>
      <c r="C2100" s="3">
        <v>46</v>
      </c>
      <c r="D2100" s="13">
        <v>70.33</v>
      </c>
      <c r="E2100" s="5">
        <v>38039</v>
      </c>
      <c r="F2100" s="2" t="s">
        <v>13</v>
      </c>
      <c r="G2100" s="2" t="s">
        <v>72</v>
      </c>
      <c r="H2100" s="3">
        <v>1</v>
      </c>
      <c r="I2100" s="6">
        <v>2004</v>
      </c>
      <c r="J2100" s="2" t="s">
        <v>22</v>
      </c>
      <c r="K2100" s="2" t="s">
        <v>168</v>
      </c>
      <c r="L2100" s="7">
        <f t="shared" si="96"/>
        <v>3235.18</v>
      </c>
      <c r="M2100" s="2" t="str">
        <f t="shared" si="97"/>
        <v>February</v>
      </c>
      <c r="N2100" s="6">
        <f t="shared" si="98"/>
        <v>2004</v>
      </c>
    </row>
    <row r="2101" spans="1:14">
      <c r="A2101" s="2" t="s">
        <v>122</v>
      </c>
      <c r="B2101" s="3">
        <v>10238</v>
      </c>
      <c r="C2101" s="3">
        <v>22</v>
      </c>
      <c r="D2101" s="13">
        <v>93.77</v>
      </c>
      <c r="E2101" s="5">
        <v>38086</v>
      </c>
      <c r="F2101" s="2" t="s">
        <v>13</v>
      </c>
      <c r="G2101" s="2" t="s">
        <v>72</v>
      </c>
      <c r="H2101" s="3">
        <v>2</v>
      </c>
      <c r="I2101" s="6">
        <v>2004</v>
      </c>
      <c r="J2101" s="2" t="s">
        <v>15</v>
      </c>
      <c r="K2101" s="2" t="s">
        <v>123</v>
      </c>
      <c r="L2101" s="7">
        <f t="shared" si="96"/>
        <v>2062.94</v>
      </c>
      <c r="M2101" s="2" t="str">
        <f t="shared" si="97"/>
        <v>April</v>
      </c>
      <c r="N2101" s="6">
        <f t="shared" si="98"/>
        <v>2004</v>
      </c>
    </row>
    <row r="2102" spans="1:14">
      <c r="A2102" s="2" t="s">
        <v>40</v>
      </c>
      <c r="B2102" s="3">
        <v>10252</v>
      </c>
      <c r="C2102" s="3">
        <v>38</v>
      </c>
      <c r="D2102" s="13">
        <v>87.31</v>
      </c>
      <c r="E2102" s="5">
        <v>38133</v>
      </c>
      <c r="F2102" s="2" t="s">
        <v>13</v>
      </c>
      <c r="G2102" s="2" t="s">
        <v>72</v>
      </c>
      <c r="H2102" s="3">
        <v>2</v>
      </c>
      <c r="I2102" s="6">
        <v>2004</v>
      </c>
      <c r="J2102" s="2" t="s">
        <v>22</v>
      </c>
      <c r="K2102" s="2" t="s">
        <v>41</v>
      </c>
      <c r="L2102" s="7">
        <f t="shared" si="96"/>
        <v>3317.78</v>
      </c>
      <c r="M2102" s="2" t="str">
        <f t="shared" si="97"/>
        <v>May</v>
      </c>
      <c r="N2102" s="6">
        <f t="shared" si="98"/>
        <v>2004</v>
      </c>
    </row>
    <row r="2103" spans="1:14">
      <c r="A2103" s="2" t="s">
        <v>143</v>
      </c>
      <c r="B2103" s="3">
        <v>10264</v>
      </c>
      <c r="C2103" s="3">
        <v>47</v>
      </c>
      <c r="D2103" s="13">
        <v>83.27</v>
      </c>
      <c r="E2103" s="5">
        <v>38168</v>
      </c>
      <c r="F2103" s="2" t="s">
        <v>13</v>
      </c>
      <c r="G2103" s="2" t="s">
        <v>72</v>
      </c>
      <c r="H2103" s="3">
        <v>2</v>
      </c>
      <c r="I2103" s="6">
        <v>2004</v>
      </c>
      <c r="J2103" s="2" t="s">
        <v>22</v>
      </c>
      <c r="K2103" s="2" t="s">
        <v>144</v>
      </c>
      <c r="L2103" s="7">
        <f t="shared" si="96"/>
        <v>3913.69</v>
      </c>
      <c r="M2103" s="2" t="str">
        <f t="shared" si="97"/>
        <v>June</v>
      </c>
      <c r="N2103" s="6">
        <f t="shared" si="98"/>
        <v>2004</v>
      </c>
    </row>
    <row r="2104" spans="1:14">
      <c r="A2104" s="2" t="s">
        <v>171</v>
      </c>
      <c r="B2104" s="3">
        <v>10276</v>
      </c>
      <c r="C2104" s="3">
        <v>48</v>
      </c>
      <c r="D2104" s="13">
        <v>75.18</v>
      </c>
      <c r="E2104" s="5">
        <v>38201</v>
      </c>
      <c r="F2104" s="2" t="s">
        <v>13</v>
      </c>
      <c r="G2104" s="2" t="s">
        <v>72</v>
      </c>
      <c r="H2104" s="3">
        <v>3</v>
      </c>
      <c r="I2104" s="6">
        <v>2004</v>
      </c>
      <c r="J2104" s="2" t="s">
        <v>22</v>
      </c>
      <c r="K2104" s="2" t="s">
        <v>172</v>
      </c>
      <c r="L2104" s="7">
        <f t="shared" si="96"/>
        <v>3608.64</v>
      </c>
      <c r="M2104" s="2" t="str">
        <f t="shared" si="97"/>
        <v>August</v>
      </c>
      <c r="N2104" s="6">
        <f t="shared" si="98"/>
        <v>2004</v>
      </c>
    </row>
    <row r="2105" spans="1:14">
      <c r="A2105" s="2" t="s">
        <v>167</v>
      </c>
      <c r="B2105" s="3">
        <v>10287</v>
      </c>
      <c r="C2105" s="3">
        <v>40</v>
      </c>
      <c r="D2105" s="13">
        <v>88.12</v>
      </c>
      <c r="E2105" s="5">
        <v>38229</v>
      </c>
      <c r="F2105" s="2" t="s">
        <v>13</v>
      </c>
      <c r="G2105" s="2" t="s">
        <v>72</v>
      </c>
      <c r="H2105" s="3">
        <v>3</v>
      </c>
      <c r="I2105" s="6">
        <v>2004</v>
      </c>
      <c r="J2105" s="2" t="s">
        <v>22</v>
      </c>
      <c r="K2105" s="2" t="s">
        <v>168</v>
      </c>
      <c r="L2105" s="7">
        <f t="shared" si="96"/>
        <v>3524.8</v>
      </c>
      <c r="M2105" s="2" t="str">
        <f t="shared" si="97"/>
        <v>August</v>
      </c>
      <c r="N2105" s="6">
        <f t="shared" si="98"/>
        <v>2004</v>
      </c>
    </row>
    <row r="2106" spans="1:14">
      <c r="A2106" s="2" t="s">
        <v>54</v>
      </c>
      <c r="B2106" s="3">
        <v>10299</v>
      </c>
      <c r="C2106" s="3">
        <v>32</v>
      </c>
      <c r="D2106" s="13">
        <v>80.84</v>
      </c>
      <c r="E2106" s="5">
        <v>38260</v>
      </c>
      <c r="F2106" s="2" t="s">
        <v>13</v>
      </c>
      <c r="G2106" s="2" t="s">
        <v>72</v>
      </c>
      <c r="H2106" s="3">
        <v>3</v>
      </c>
      <c r="I2106" s="6">
        <v>2004</v>
      </c>
      <c r="J2106" s="2" t="s">
        <v>15</v>
      </c>
      <c r="K2106" s="2" t="s">
        <v>55</v>
      </c>
      <c r="L2106" s="7">
        <f t="shared" si="96"/>
        <v>2586.88</v>
      </c>
      <c r="M2106" s="2" t="str">
        <f t="shared" si="97"/>
        <v>September</v>
      </c>
      <c r="N2106" s="6">
        <f t="shared" si="98"/>
        <v>2004</v>
      </c>
    </row>
    <row r="2107" spans="1:14">
      <c r="A2107" s="2" t="s">
        <v>165</v>
      </c>
      <c r="B2107" s="3">
        <v>10310</v>
      </c>
      <c r="C2107" s="3">
        <v>49</v>
      </c>
      <c r="D2107" s="13">
        <v>97.01</v>
      </c>
      <c r="E2107" s="5">
        <v>38276</v>
      </c>
      <c r="F2107" s="2" t="s">
        <v>13</v>
      </c>
      <c r="G2107" s="2" t="s">
        <v>72</v>
      </c>
      <c r="H2107" s="3">
        <v>4</v>
      </c>
      <c r="I2107" s="6">
        <v>2004</v>
      </c>
      <c r="J2107" s="2" t="s">
        <v>22</v>
      </c>
      <c r="K2107" s="2" t="s">
        <v>166</v>
      </c>
      <c r="L2107" s="7">
        <f t="shared" si="96"/>
        <v>4753.49</v>
      </c>
      <c r="M2107" s="2" t="str">
        <f t="shared" si="97"/>
        <v>October</v>
      </c>
      <c r="N2107" s="6">
        <f t="shared" si="98"/>
        <v>2004</v>
      </c>
    </row>
    <row r="2108" spans="1:14">
      <c r="A2108" s="2" t="s">
        <v>188</v>
      </c>
      <c r="B2108" s="3">
        <v>10319</v>
      </c>
      <c r="C2108" s="3">
        <v>43</v>
      </c>
      <c r="D2108" s="13">
        <v>85.69</v>
      </c>
      <c r="E2108" s="5">
        <v>38294</v>
      </c>
      <c r="F2108" s="2" t="s">
        <v>13</v>
      </c>
      <c r="G2108" s="2" t="s">
        <v>72</v>
      </c>
      <c r="H2108" s="3">
        <v>4</v>
      </c>
      <c r="I2108" s="6">
        <v>2004</v>
      </c>
      <c r="J2108" s="2" t="s">
        <v>22</v>
      </c>
      <c r="K2108" s="2" t="s">
        <v>189</v>
      </c>
      <c r="L2108" s="7">
        <f t="shared" si="96"/>
        <v>3684.67</v>
      </c>
      <c r="M2108" s="2" t="str">
        <f t="shared" si="97"/>
        <v>November</v>
      </c>
      <c r="N2108" s="6">
        <f t="shared" si="98"/>
        <v>2004</v>
      </c>
    </row>
    <row r="2109" spans="1:14">
      <c r="A2109" s="2" t="s">
        <v>116</v>
      </c>
      <c r="B2109" s="3">
        <v>10331</v>
      </c>
      <c r="C2109" s="3">
        <v>41</v>
      </c>
      <c r="D2109" s="13">
        <v>100</v>
      </c>
      <c r="E2109" s="5">
        <v>38308</v>
      </c>
      <c r="F2109" s="2" t="s">
        <v>13</v>
      </c>
      <c r="G2109" s="2" t="s">
        <v>72</v>
      </c>
      <c r="H2109" s="3">
        <v>4</v>
      </c>
      <c r="I2109" s="6">
        <v>2004</v>
      </c>
      <c r="J2109" s="2" t="s">
        <v>22</v>
      </c>
      <c r="K2109" s="2" t="s">
        <v>117</v>
      </c>
      <c r="L2109" s="7">
        <f t="shared" si="96"/>
        <v>4100</v>
      </c>
      <c r="M2109" s="2" t="str">
        <f t="shared" si="97"/>
        <v>November</v>
      </c>
      <c r="N2109" s="6">
        <f t="shared" si="98"/>
        <v>2004</v>
      </c>
    </row>
    <row r="2110" spans="1:14">
      <c r="A2110" s="2" t="s">
        <v>18</v>
      </c>
      <c r="B2110" s="3">
        <v>10343</v>
      </c>
      <c r="C2110" s="3">
        <v>30</v>
      </c>
      <c r="D2110" s="13">
        <v>100</v>
      </c>
      <c r="E2110" s="5">
        <v>38315</v>
      </c>
      <c r="F2110" s="2" t="s">
        <v>13</v>
      </c>
      <c r="G2110" s="2" t="s">
        <v>72</v>
      </c>
      <c r="H2110" s="3">
        <v>4</v>
      </c>
      <c r="I2110" s="6">
        <v>2004</v>
      </c>
      <c r="J2110" s="2" t="s">
        <v>22</v>
      </c>
      <c r="K2110" s="2" t="s">
        <v>19</v>
      </c>
      <c r="L2110" s="7">
        <f t="shared" si="96"/>
        <v>3000</v>
      </c>
      <c r="M2110" s="2" t="str">
        <f t="shared" si="97"/>
        <v>November</v>
      </c>
      <c r="N2110" s="6">
        <f t="shared" si="98"/>
        <v>2004</v>
      </c>
    </row>
    <row r="2111" spans="1:14">
      <c r="A2111" s="2" t="s">
        <v>69</v>
      </c>
      <c r="B2111" s="3">
        <v>10355</v>
      </c>
      <c r="C2111" s="3">
        <v>28</v>
      </c>
      <c r="D2111" s="13">
        <v>95.39</v>
      </c>
      <c r="E2111" s="5">
        <v>38328</v>
      </c>
      <c r="F2111" s="2" t="s">
        <v>13</v>
      </c>
      <c r="G2111" s="2" t="s">
        <v>72</v>
      </c>
      <c r="H2111" s="3">
        <v>4</v>
      </c>
      <c r="I2111" s="6">
        <v>2004</v>
      </c>
      <c r="J2111" s="2" t="s">
        <v>15</v>
      </c>
      <c r="K2111" s="2" t="s">
        <v>71</v>
      </c>
      <c r="L2111" s="7">
        <f t="shared" si="96"/>
        <v>2670.92</v>
      </c>
      <c r="M2111" s="2" t="str">
        <f t="shared" si="97"/>
        <v>December</v>
      </c>
      <c r="N2111" s="6">
        <f t="shared" si="98"/>
        <v>2004</v>
      </c>
    </row>
    <row r="2112" spans="1:14">
      <c r="A2112" s="2" t="s">
        <v>175</v>
      </c>
      <c r="B2112" s="3">
        <v>10363</v>
      </c>
      <c r="C2112" s="3">
        <v>43</v>
      </c>
      <c r="D2112" s="13">
        <v>100</v>
      </c>
      <c r="E2112" s="5">
        <v>38358</v>
      </c>
      <c r="F2112" s="2" t="s">
        <v>13</v>
      </c>
      <c r="G2112" s="2" t="s">
        <v>72</v>
      </c>
      <c r="H2112" s="3">
        <v>1</v>
      </c>
      <c r="I2112" s="6">
        <v>2005</v>
      </c>
      <c r="J2112" s="2" t="s">
        <v>22</v>
      </c>
      <c r="K2112" s="2" t="s">
        <v>176</v>
      </c>
      <c r="L2112" s="7">
        <f t="shared" si="96"/>
        <v>4300</v>
      </c>
      <c r="M2112" s="2" t="str">
        <f t="shared" si="97"/>
        <v>January</v>
      </c>
      <c r="N2112" s="6">
        <f t="shared" si="98"/>
        <v>2005</v>
      </c>
    </row>
    <row r="2113" spans="1:14">
      <c r="A2113" s="2" t="s">
        <v>103</v>
      </c>
      <c r="B2113" s="3">
        <v>10390</v>
      </c>
      <c r="C2113" s="3">
        <v>30</v>
      </c>
      <c r="D2113" s="13">
        <v>82.42</v>
      </c>
      <c r="E2113" s="5">
        <v>38415</v>
      </c>
      <c r="F2113" s="2" t="s">
        <v>13</v>
      </c>
      <c r="G2113" s="2" t="s">
        <v>72</v>
      </c>
      <c r="H2113" s="3">
        <v>1</v>
      </c>
      <c r="I2113" s="6">
        <v>2005</v>
      </c>
      <c r="J2113" s="2" t="s">
        <v>15</v>
      </c>
      <c r="K2113" s="2" t="s">
        <v>104</v>
      </c>
      <c r="L2113" s="7">
        <f t="shared" si="96"/>
        <v>2472.6</v>
      </c>
      <c r="M2113" s="2" t="str">
        <f t="shared" si="97"/>
        <v>March</v>
      </c>
      <c r="N2113" s="6">
        <f t="shared" si="98"/>
        <v>2005</v>
      </c>
    </row>
    <row r="2114" spans="1:14">
      <c r="A2114" s="2" t="s">
        <v>56</v>
      </c>
      <c r="B2114" s="3">
        <v>10103</v>
      </c>
      <c r="C2114" s="3">
        <v>31</v>
      </c>
      <c r="D2114" s="13">
        <v>100</v>
      </c>
      <c r="E2114" s="5">
        <v>37650</v>
      </c>
      <c r="F2114" s="2" t="s">
        <v>13</v>
      </c>
      <c r="G2114" s="2" t="s">
        <v>187</v>
      </c>
      <c r="H2114" s="3">
        <v>1</v>
      </c>
      <c r="I2114" s="6">
        <v>2003</v>
      </c>
      <c r="J2114" s="2" t="s">
        <v>22</v>
      </c>
      <c r="K2114" s="2" t="s">
        <v>57</v>
      </c>
      <c r="L2114" s="7">
        <f t="shared" ref="L2114:L2177" si="99">PRODUCT(C2114,D2114)</f>
        <v>3100</v>
      </c>
      <c r="M2114" s="2" t="str">
        <f t="shared" ref="M2114:M2177" si="100">TEXT(E2114,"MMMM")</f>
        <v>January</v>
      </c>
      <c r="N2114" s="6">
        <f t="shared" ref="N2114:N2177" si="101">YEAR(E2114)</f>
        <v>2003</v>
      </c>
    </row>
    <row r="2115" spans="1:14">
      <c r="A2115" s="2" t="s">
        <v>152</v>
      </c>
      <c r="B2115" s="3">
        <v>10114</v>
      </c>
      <c r="C2115" s="3">
        <v>32</v>
      </c>
      <c r="D2115" s="13">
        <v>100</v>
      </c>
      <c r="E2115" s="5">
        <v>37712</v>
      </c>
      <c r="F2115" s="2" t="s">
        <v>13</v>
      </c>
      <c r="G2115" s="2" t="s">
        <v>187</v>
      </c>
      <c r="H2115" s="3">
        <v>2</v>
      </c>
      <c r="I2115" s="6">
        <v>2003</v>
      </c>
      <c r="J2115" s="2" t="s">
        <v>22</v>
      </c>
      <c r="K2115" s="2" t="s">
        <v>153</v>
      </c>
      <c r="L2115" s="7">
        <f t="shared" si="99"/>
        <v>3200</v>
      </c>
      <c r="M2115" s="2" t="str">
        <f t="shared" si="100"/>
        <v>April</v>
      </c>
      <c r="N2115" s="6">
        <f t="shared" si="101"/>
        <v>2003</v>
      </c>
    </row>
    <row r="2116" spans="1:14">
      <c r="A2116" s="2" t="s">
        <v>75</v>
      </c>
      <c r="B2116" s="3">
        <v>10126</v>
      </c>
      <c r="C2116" s="3">
        <v>43</v>
      </c>
      <c r="D2116" s="13">
        <v>96.31</v>
      </c>
      <c r="E2116" s="5">
        <v>37769</v>
      </c>
      <c r="F2116" s="2" t="s">
        <v>13</v>
      </c>
      <c r="G2116" s="2" t="s">
        <v>187</v>
      </c>
      <c r="H2116" s="3">
        <v>2</v>
      </c>
      <c r="I2116" s="6">
        <v>2003</v>
      </c>
      <c r="J2116" s="2" t="s">
        <v>22</v>
      </c>
      <c r="K2116" s="2" t="s">
        <v>76</v>
      </c>
      <c r="L2116" s="7">
        <f t="shared" si="99"/>
        <v>4141.33</v>
      </c>
      <c r="M2116" s="2" t="str">
        <f t="shared" si="100"/>
        <v>May</v>
      </c>
      <c r="N2116" s="6">
        <f t="shared" si="101"/>
        <v>2003</v>
      </c>
    </row>
    <row r="2117" spans="1:14">
      <c r="A2117" s="2" t="s">
        <v>31</v>
      </c>
      <c r="B2117" s="3">
        <v>10140</v>
      </c>
      <c r="C2117" s="3">
        <v>26</v>
      </c>
      <c r="D2117" s="13">
        <v>100</v>
      </c>
      <c r="E2117" s="5">
        <v>37826</v>
      </c>
      <c r="F2117" s="2" t="s">
        <v>13</v>
      </c>
      <c r="G2117" s="2" t="s">
        <v>187</v>
      </c>
      <c r="H2117" s="3">
        <v>3</v>
      </c>
      <c r="I2117" s="6">
        <v>2003</v>
      </c>
      <c r="J2117" s="2" t="s">
        <v>15</v>
      </c>
      <c r="K2117" s="2" t="s">
        <v>32</v>
      </c>
      <c r="L2117" s="7">
        <f t="shared" si="99"/>
        <v>2600</v>
      </c>
      <c r="M2117" s="2" t="str">
        <f t="shared" si="100"/>
        <v>July</v>
      </c>
      <c r="N2117" s="6">
        <f t="shared" si="101"/>
        <v>2003</v>
      </c>
    </row>
    <row r="2118" spans="1:14">
      <c r="A2118" s="2" t="s">
        <v>147</v>
      </c>
      <c r="B2118" s="3">
        <v>10151</v>
      </c>
      <c r="C2118" s="3">
        <v>27</v>
      </c>
      <c r="D2118" s="13">
        <v>100</v>
      </c>
      <c r="E2118" s="5">
        <v>37885</v>
      </c>
      <c r="F2118" s="2" t="s">
        <v>13</v>
      </c>
      <c r="G2118" s="2" t="s">
        <v>187</v>
      </c>
      <c r="H2118" s="3">
        <v>3</v>
      </c>
      <c r="I2118" s="6">
        <v>2003</v>
      </c>
      <c r="J2118" s="2" t="s">
        <v>22</v>
      </c>
      <c r="K2118" s="2" t="s">
        <v>148</v>
      </c>
      <c r="L2118" s="7">
        <f t="shared" si="99"/>
        <v>2700</v>
      </c>
      <c r="M2118" s="2" t="str">
        <f t="shared" si="100"/>
        <v>September</v>
      </c>
      <c r="N2118" s="6">
        <f t="shared" si="101"/>
        <v>2003</v>
      </c>
    </row>
    <row r="2119" spans="1:14">
      <c r="A2119" s="2" t="s">
        <v>154</v>
      </c>
      <c r="B2119" s="3">
        <v>10164</v>
      </c>
      <c r="C2119" s="3">
        <v>24</v>
      </c>
      <c r="D2119" s="13">
        <v>100</v>
      </c>
      <c r="E2119" s="5">
        <v>37915</v>
      </c>
      <c r="F2119" s="2" t="s">
        <v>155</v>
      </c>
      <c r="G2119" s="2" t="s">
        <v>187</v>
      </c>
      <c r="H2119" s="3">
        <v>4</v>
      </c>
      <c r="I2119" s="6">
        <v>2003</v>
      </c>
      <c r="J2119" s="2" t="s">
        <v>15</v>
      </c>
      <c r="K2119" s="2" t="s">
        <v>156</v>
      </c>
      <c r="L2119" s="7">
        <f t="shared" si="99"/>
        <v>2400</v>
      </c>
      <c r="M2119" s="2" t="str">
        <f t="shared" si="100"/>
        <v>October</v>
      </c>
      <c r="N2119" s="6">
        <f t="shared" si="101"/>
        <v>2003</v>
      </c>
    </row>
    <row r="2120" spans="1:14">
      <c r="A2120" s="2" t="s">
        <v>124</v>
      </c>
      <c r="B2120" s="3">
        <v>10175</v>
      </c>
      <c r="C2120" s="3">
        <v>22</v>
      </c>
      <c r="D2120" s="13">
        <v>100</v>
      </c>
      <c r="E2120" s="5">
        <v>37931</v>
      </c>
      <c r="F2120" s="2" t="s">
        <v>13</v>
      </c>
      <c r="G2120" s="2" t="s">
        <v>187</v>
      </c>
      <c r="H2120" s="3">
        <v>4</v>
      </c>
      <c r="I2120" s="6">
        <v>2003</v>
      </c>
      <c r="J2120" s="2" t="s">
        <v>15</v>
      </c>
      <c r="K2120" s="2" t="s">
        <v>125</v>
      </c>
      <c r="L2120" s="7">
        <f t="shared" si="99"/>
        <v>2200</v>
      </c>
      <c r="M2120" s="2" t="str">
        <f t="shared" si="100"/>
        <v>November</v>
      </c>
      <c r="N2120" s="6">
        <f t="shared" si="101"/>
        <v>2003</v>
      </c>
    </row>
    <row r="2121" spans="1:14">
      <c r="A2121" s="2" t="s">
        <v>85</v>
      </c>
      <c r="B2121" s="3">
        <v>10194</v>
      </c>
      <c r="C2121" s="3">
        <v>37</v>
      </c>
      <c r="D2121" s="13">
        <v>97.27</v>
      </c>
      <c r="E2121" s="5">
        <v>37950</v>
      </c>
      <c r="F2121" s="2" t="s">
        <v>13</v>
      </c>
      <c r="G2121" s="2" t="s">
        <v>187</v>
      </c>
      <c r="H2121" s="3">
        <v>4</v>
      </c>
      <c r="I2121" s="6">
        <v>2003</v>
      </c>
      <c r="J2121" s="2" t="s">
        <v>22</v>
      </c>
      <c r="K2121" s="2" t="s">
        <v>86</v>
      </c>
      <c r="L2121" s="7">
        <f t="shared" si="99"/>
        <v>3598.99</v>
      </c>
      <c r="M2121" s="2" t="str">
        <f t="shared" si="100"/>
        <v>November</v>
      </c>
      <c r="N2121" s="6">
        <f t="shared" si="101"/>
        <v>2003</v>
      </c>
    </row>
    <row r="2122" spans="1:14">
      <c r="A2122" s="2" t="s">
        <v>157</v>
      </c>
      <c r="B2122" s="3">
        <v>10207</v>
      </c>
      <c r="C2122" s="3">
        <v>49</v>
      </c>
      <c r="D2122" s="13">
        <v>80.9</v>
      </c>
      <c r="E2122" s="5">
        <v>37964</v>
      </c>
      <c r="F2122" s="2" t="s">
        <v>13</v>
      </c>
      <c r="G2122" s="2" t="s">
        <v>187</v>
      </c>
      <c r="H2122" s="3">
        <v>4</v>
      </c>
      <c r="I2122" s="6">
        <v>2003</v>
      </c>
      <c r="J2122" s="2" t="s">
        <v>22</v>
      </c>
      <c r="K2122" s="2" t="s">
        <v>158</v>
      </c>
      <c r="L2122" s="7">
        <f t="shared" si="99"/>
        <v>3964.1</v>
      </c>
      <c r="M2122" s="2" t="str">
        <f t="shared" si="100"/>
        <v>December</v>
      </c>
      <c r="N2122" s="6">
        <f t="shared" si="101"/>
        <v>2003</v>
      </c>
    </row>
    <row r="2123" spans="1:14">
      <c r="A2123" s="2" t="s">
        <v>159</v>
      </c>
      <c r="B2123" s="3">
        <v>10217</v>
      </c>
      <c r="C2123" s="3">
        <v>21</v>
      </c>
      <c r="D2123" s="13">
        <v>100</v>
      </c>
      <c r="E2123" s="5">
        <v>38021</v>
      </c>
      <c r="F2123" s="2" t="s">
        <v>13</v>
      </c>
      <c r="G2123" s="2" t="s">
        <v>187</v>
      </c>
      <c r="H2123" s="3">
        <v>1</v>
      </c>
      <c r="I2123" s="6">
        <v>2004</v>
      </c>
      <c r="J2123" s="2" t="s">
        <v>15</v>
      </c>
      <c r="K2123" s="2" t="s">
        <v>160</v>
      </c>
      <c r="L2123" s="7">
        <f t="shared" si="99"/>
        <v>2100</v>
      </c>
      <c r="M2123" s="2" t="str">
        <f t="shared" si="100"/>
        <v>February</v>
      </c>
      <c r="N2123" s="6">
        <f t="shared" si="101"/>
        <v>2004</v>
      </c>
    </row>
    <row r="2124" spans="1:14">
      <c r="A2124" s="2" t="s">
        <v>103</v>
      </c>
      <c r="B2124" s="3">
        <v>10229</v>
      </c>
      <c r="C2124" s="3">
        <v>25</v>
      </c>
      <c r="D2124" s="13">
        <v>100</v>
      </c>
      <c r="E2124" s="5">
        <v>38057</v>
      </c>
      <c r="F2124" s="2" t="s">
        <v>13</v>
      </c>
      <c r="G2124" s="2" t="s">
        <v>187</v>
      </c>
      <c r="H2124" s="3">
        <v>1</v>
      </c>
      <c r="I2124" s="6">
        <v>2004</v>
      </c>
      <c r="J2124" s="2" t="s">
        <v>15</v>
      </c>
      <c r="K2124" s="2" t="s">
        <v>104</v>
      </c>
      <c r="L2124" s="7">
        <f t="shared" si="99"/>
        <v>2500</v>
      </c>
      <c r="M2124" s="2" t="str">
        <f t="shared" si="100"/>
        <v>March</v>
      </c>
      <c r="N2124" s="6">
        <f t="shared" si="101"/>
        <v>2004</v>
      </c>
    </row>
    <row r="2125" spans="1:14">
      <c r="A2125" s="2" t="s">
        <v>93</v>
      </c>
      <c r="B2125" s="3">
        <v>10245</v>
      </c>
      <c r="C2125" s="3">
        <v>37</v>
      </c>
      <c r="D2125" s="13">
        <v>100</v>
      </c>
      <c r="E2125" s="5">
        <v>38111</v>
      </c>
      <c r="F2125" s="2" t="s">
        <v>13</v>
      </c>
      <c r="G2125" s="2" t="s">
        <v>187</v>
      </c>
      <c r="H2125" s="3">
        <v>2</v>
      </c>
      <c r="I2125" s="6">
        <v>2004</v>
      </c>
      <c r="J2125" s="2" t="s">
        <v>22</v>
      </c>
      <c r="K2125" s="2" t="s">
        <v>94</v>
      </c>
      <c r="L2125" s="7">
        <f t="shared" si="99"/>
        <v>3700</v>
      </c>
      <c r="M2125" s="2" t="str">
        <f t="shared" si="100"/>
        <v>May</v>
      </c>
      <c r="N2125" s="6">
        <f t="shared" si="101"/>
        <v>2004</v>
      </c>
    </row>
    <row r="2126" spans="1:14">
      <c r="A2126" s="2" t="s">
        <v>159</v>
      </c>
      <c r="B2126" s="3">
        <v>10259</v>
      </c>
      <c r="C2126" s="3">
        <v>45</v>
      </c>
      <c r="D2126" s="13">
        <v>86.68</v>
      </c>
      <c r="E2126" s="5">
        <v>38153</v>
      </c>
      <c r="F2126" s="2" t="s">
        <v>13</v>
      </c>
      <c r="G2126" s="2" t="s">
        <v>187</v>
      </c>
      <c r="H2126" s="3">
        <v>2</v>
      </c>
      <c r="I2126" s="6">
        <v>2004</v>
      </c>
      <c r="J2126" s="2" t="s">
        <v>22</v>
      </c>
      <c r="K2126" s="2" t="s">
        <v>160</v>
      </c>
      <c r="L2126" s="7">
        <f t="shared" si="99"/>
        <v>3900.6</v>
      </c>
      <c r="M2126" s="2" t="str">
        <f t="shared" si="100"/>
        <v>June</v>
      </c>
      <c r="N2126" s="6">
        <f t="shared" si="101"/>
        <v>2004</v>
      </c>
    </row>
    <row r="2127" spans="1:14">
      <c r="A2127" s="2" t="s">
        <v>63</v>
      </c>
      <c r="B2127" s="3">
        <v>10270</v>
      </c>
      <c r="C2127" s="3">
        <v>32</v>
      </c>
      <c r="D2127" s="13">
        <v>85.72</v>
      </c>
      <c r="E2127" s="5">
        <v>38187</v>
      </c>
      <c r="F2127" s="2" t="s">
        <v>13</v>
      </c>
      <c r="G2127" s="2" t="s">
        <v>187</v>
      </c>
      <c r="H2127" s="3">
        <v>3</v>
      </c>
      <c r="I2127" s="6">
        <v>2004</v>
      </c>
      <c r="J2127" s="2" t="s">
        <v>15</v>
      </c>
      <c r="K2127" s="2" t="s">
        <v>64</v>
      </c>
      <c r="L2127" s="7">
        <f t="shared" si="99"/>
        <v>2743.04</v>
      </c>
      <c r="M2127" s="2" t="str">
        <f t="shared" si="100"/>
        <v>July</v>
      </c>
      <c r="N2127" s="6">
        <f t="shared" si="101"/>
        <v>2004</v>
      </c>
    </row>
    <row r="2128" spans="1:14">
      <c r="A2128" s="2" t="s">
        <v>58</v>
      </c>
      <c r="B2128" s="3">
        <v>10281</v>
      </c>
      <c r="C2128" s="3">
        <v>29</v>
      </c>
      <c r="D2128" s="13">
        <v>82.83</v>
      </c>
      <c r="E2128" s="5">
        <v>38218</v>
      </c>
      <c r="F2128" s="2" t="s">
        <v>13</v>
      </c>
      <c r="G2128" s="2" t="s">
        <v>187</v>
      </c>
      <c r="H2128" s="3">
        <v>3</v>
      </c>
      <c r="I2128" s="6">
        <v>2004</v>
      </c>
      <c r="J2128" s="2" t="s">
        <v>15</v>
      </c>
      <c r="K2128" s="2" t="s">
        <v>59</v>
      </c>
      <c r="L2128" s="7">
        <f t="shared" si="99"/>
        <v>2402.07</v>
      </c>
      <c r="M2128" s="2" t="str">
        <f t="shared" si="100"/>
        <v>August</v>
      </c>
      <c r="N2128" s="6">
        <f t="shared" si="101"/>
        <v>2004</v>
      </c>
    </row>
    <row r="2129" spans="1:14">
      <c r="A2129" s="2" t="s">
        <v>99</v>
      </c>
      <c r="B2129" s="3">
        <v>10291</v>
      </c>
      <c r="C2129" s="3">
        <v>26</v>
      </c>
      <c r="D2129" s="13">
        <v>83.79</v>
      </c>
      <c r="E2129" s="5">
        <v>38238</v>
      </c>
      <c r="F2129" s="2" t="s">
        <v>13</v>
      </c>
      <c r="G2129" s="2" t="s">
        <v>187</v>
      </c>
      <c r="H2129" s="3">
        <v>3</v>
      </c>
      <c r="I2129" s="6">
        <v>2004</v>
      </c>
      <c r="J2129" s="2" t="s">
        <v>15</v>
      </c>
      <c r="K2129" s="2" t="s">
        <v>100</v>
      </c>
      <c r="L2129" s="7">
        <f t="shared" si="99"/>
        <v>2178.54</v>
      </c>
      <c r="M2129" s="2" t="str">
        <f t="shared" si="100"/>
        <v>September</v>
      </c>
      <c r="N2129" s="6">
        <f t="shared" si="101"/>
        <v>2004</v>
      </c>
    </row>
    <row r="2130" spans="1:14">
      <c r="A2130" s="2" t="s">
        <v>52</v>
      </c>
      <c r="B2130" s="3">
        <v>10305</v>
      </c>
      <c r="C2130" s="3">
        <v>28</v>
      </c>
      <c r="D2130" s="13">
        <v>100</v>
      </c>
      <c r="E2130" s="5">
        <v>38273</v>
      </c>
      <c r="F2130" s="2" t="s">
        <v>13</v>
      </c>
      <c r="G2130" s="2" t="s">
        <v>187</v>
      </c>
      <c r="H2130" s="3">
        <v>4</v>
      </c>
      <c r="I2130" s="6">
        <v>2004</v>
      </c>
      <c r="J2130" s="2" t="s">
        <v>22</v>
      </c>
      <c r="K2130" s="2" t="s">
        <v>53</v>
      </c>
      <c r="L2130" s="7">
        <f t="shared" si="99"/>
        <v>2800</v>
      </c>
      <c r="M2130" s="2" t="str">
        <f t="shared" si="100"/>
        <v>October</v>
      </c>
      <c r="N2130" s="6">
        <f t="shared" si="101"/>
        <v>2004</v>
      </c>
    </row>
    <row r="2131" spans="1:14">
      <c r="A2131" s="2" t="s">
        <v>87</v>
      </c>
      <c r="B2131" s="3">
        <v>10313</v>
      </c>
      <c r="C2131" s="3">
        <v>27</v>
      </c>
      <c r="D2131" s="13">
        <v>87.64</v>
      </c>
      <c r="E2131" s="5">
        <v>38282</v>
      </c>
      <c r="F2131" s="2" t="s">
        <v>13</v>
      </c>
      <c r="G2131" s="2" t="s">
        <v>187</v>
      </c>
      <c r="H2131" s="3">
        <v>4</v>
      </c>
      <c r="I2131" s="6">
        <v>2004</v>
      </c>
      <c r="J2131" s="2" t="s">
        <v>15</v>
      </c>
      <c r="K2131" s="2" t="s">
        <v>88</v>
      </c>
      <c r="L2131" s="7">
        <f t="shared" si="99"/>
        <v>2366.28</v>
      </c>
      <c r="M2131" s="2" t="str">
        <f t="shared" si="100"/>
        <v>October</v>
      </c>
      <c r="N2131" s="6">
        <f t="shared" si="101"/>
        <v>2004</v>
      </c>
    </row>
    <row r="2132" spans="1:14">
      <c r="A2132" s="2" t="s">
        <v>44</v>
      </c>
      <c r="B2132" s="3">
        <v>10324</v>
      </c>
      <c r="C2132" s="3">
        <v>20</v>
      </c>
      <c r="D2132" s="13">
        <v>98.18</v>
      </c>
      <c r="E2132" s="5">
        <v>38296</v>
      </c>
      <c r="F2132" s="2" t="s">
        <v>13</v>
      </c>
      <c r="G2132" s="2" t="s">
        <v>187</v>
      </c>
      <c r="H2132" s="3">
        <v>4</v>
      </c>
      <c r="I2132" s="6">
        <v>2004</v>
      </c>
      <c r="J2132" s="2" t="s">
        <v>15</v>
      </c>
      <c r="K2132" s="2" t="s">
        <v>45</v>
      </c>
      <c r="L2132" s="7">
        <f t="shared" si="99"/>
        <v>1963.6</v>
      </c>
      <c r="M2132" s="2" t="str">
        <f t="shared" si="100"/>
        <v>November</v>
      </c>
      <c r="N2132" s="6">
        <f t="shared" si="101"/>
        <v>2004</v>
      </c>
    </row>
    <row r="2133" spans="1:14">
      <c r="A2133" s="2" t="s">
        <v>103</v>
      </c>
      <c r="B2133" s="3">
        <v>10335</v>
      </c>
      <c r="C2133" s="3">
        <v>44</v>
      </c>
      <c r="D2133" s="13">
        <v>100</v>
      </c>
      <c r="E2133" s="5">
        <v>38310</v>
      </c>
      <c r="F2133" s="2" t="s">
        <v>13</v>
      </c>
      <c r="G2133" s="2" t="s">
        <v>187</v>
      </c>
      <c r="H2133" s="3">
        <v>4</v>
      </c>
      <c r="I2133" s="6">
        <v>2004</v>
      </c>
      <c r="J2133" s="2" t="s">
        <v>22</v>
      </c>
      <c r="K2133" s="2" t="s">
        <v>104</v>
      </c>
      <c r="L2133" s="7">
        <f t="shared" si="99"/>
        <v>4400</v>
      </c>
      <c r="M2133" s="2" t="str">
        <f t="shared" si="100"/>
        <v>November</v>
      </c>
      <c r="N2133" s="6">
        <f t="shared" si="101"/>
        <v>2004</v>
      </c>
    </row>
    <row r="2134" spans="1:14">
      <c r="A2134" s="2" t="s">
        <v>75</v>
      </c>
      <c r="B2134" s="3">
        <v>10348</v>
      </c>
      <c r="C2134" s="3">
        <v>42</v>
      </c>
      <c r="D2134" s="13">
        <v>100</v>
      </c>
      <c r="E2134" s="5">
        <v>38292</v>
      </c>
      <c r="F2134" s="2" t="s">
        <v>13</v>
      </c>
      <c r="G2134" s="2" t="s">
        <v>187</v>
      </c>
      <c r="H2134" s="3">
        <v>4</v>
      </c>
      <c r="I2134" s="6">
        <v>2004</v>
      </c>
      <c r="J2134" s="2" t="s">
        <v>22</v>
      </c>
      <c r="K2134" s="2" t="s">
        <v>76</v>
      </c>
      <c r="L2134" s="7">
        <f t="shared" si="99"/>
        <v>4200</v>
      </c>
      <c r="M2134" s="2" t="str">
        <f t="shared" si="100"/>
        <v>November</v>
      </c>
      <c r="N2134" s="6">
        <f t="shared" si="101"/>
        <v>2004</v>
      </c>
    </row>
    <row r="2135" spans="1:14">
      <c r="A2135" s="2" t="s">
        <v>103</v>
      </c>
      <c r="B2135" s="3">
        <v>10371</v>
      </c>
      <c r="C2135" s="3">
        <v>26</v>
      </c>
      <c r="D2135" s="13">
        <v>100</v>
      </c>
      <c r="E2135" s="5">
        <v>38375</v>
      </c>
      <c r="F2135" s="2" t="s">
        <v>13</v>
      </c>
      <c r="G2135" s="2" t="s">
        <v>187</v>
      </c>
      <c r="H2135" s="3">
        <v>1</v>
      </c>
      <c r="I2135" s="6">
        <v>2005</v>
      </c>
      <c r="J2135" s="2" t="s">
        <v>22</v>
      </c>
      <c r="K2135" s="2" t="s">
        <v>104</v>
      </c>
      <c r="L2135" s="7">
        <f t="shared" si="99"/>
        <v>2600</v>
      </c>
      <c r="M2135" s="2" t="str">
        <f t="shared" si="100"/>
        <v>January</v>
      </c>
      <c r="N2135" s="6">
        <f t="shared" si="101"/>
        <v>2005</v>
      </c>
    </row>
    <row r="2136" spans="1:14">
      <c r="A2136" s="2" t="s">
        <v>103</v>
      </c>
      <c r="B2136" s="3">
        <v>10382</v>
      </c>
      <c r="C2136" s="3">
        <v>26</v>
      </c>
      <c r="D2136" s="13">
        <v>100</v>
      </c>
      <c r="E2136" s="5">
        <v>38400</v>
      </c>
      <c r="F2136" s="2" t="s">
        <v>13</v>
      </c>
      <c r="G2136" s="2" t="s">
        <v>187</v>
      </c>
      <c r="H2136" s="3">
        <v>1</v>
      </c>
      <c r="I2136" s="6">
        <v>2005</v>
      </c>
      <c r="J2136" s="2" t="s">
        <v>15</v>
      </c>
      <c r="K2136" s="2" t="s">
        <v>104</v>
      </c>
      <c r="L2136" s="7">
        <f t="shared" si="99"/>
        <v>2600</v>
      </c>
      <c r="M2136" s="2" t="str">
        <f t="shared" si="100"/>
        <v>February</v>
      </c>
      <c r="N2136" s="6">
        <f t="shared" si="101"/>
        <v>2005</v>
      </c>
    </row>
    <row r="2137" spans="1:14">
      <c r="A2137" s="2" t="s">
        <v>111</v>
      </c>
      <c r="B2137" s="3">
        <v>10411</v>
      </c>
      <c r="C2137" s="3">
        <v>26</v>
      </c>
      <c r="D2137" s="13">
        <v>100</v>
      </c>
      <c r="E2137" s="5">
        <v>38473</v>
      </c>
      <c r="F2137" s="2" t="s">
        <v>13</v>
      </c>
      <c r="G2137" s="2" t="s">
        <v>187</v>
      </c>
      <c r="H2137" s="3">
        <v>2</v>
      </c>
      <c r="I2137" s="6">
        <v>2005</v>
      </c>
      <c r="J2137" s="2" t="s">
        <v>15</v>
      </c>
      <c r="K2137" s="2" t="s">
        <v>112</v>
      </c>
      <c r="L2137" s="7">
        <f t="shared" si="99"/>
        <v>2600</v>
      </c>
      <c r="M2137" s="2" t="str">
        <f t="shared" si="100"/>
        <v>May</v>
      </c>
      <c r="N2137" s="6">
        <f t="shared" si="101"/>
        <v>2005</v>
      </c>
    </row>
    <row r="2138" spans="1:14">
      <c r="A2138" s="2" t="s">
        <v>50</v>
      </c>
      <c r="B2138" s="3">
        <v>10425</v>
      </c>
      <c r="C2138" s="3">
        <v>41</v>
      </c>
      <c r="D2138" s="13">
        <v>86.68</v>
      </c>
      <c r="E2138" s="5">
        <v>38503</v>
      </c>
      <c r="F2138" s="2" t="s">
        <v>113</v>
      </c>
      <c r="G2138" s="2" t="s">
        <v>187</v>
      </c>
      <c r="H2138" s="3">
        <v>2</v>
      </c>
      <c r="I2138" s="6">
        <v>2005</v>
      </c>
      <c r="J2138" s="2" t="s">
        <v>22</v>
      </c>
      <c r="K2138" s="2" t="s">
        <v>51</v>
      </c>
      <c r="L2138" s="7">
        <f t="shared" si="99"/>
        <v>3553.88</v>
      </c>
      <c r="M2138" s="2" t="str">
        <f t="shared" si="100"/>
        <v>May</v>
      </c>
      <c r="N2138" s="6">
        <f t="shared" si="101"/>
        <v>2005</v>
      </c>
    </row>
    <row r="2139" spans="1:14">
      <c r="A2139" s="2" t="s">
        <v>12</v>
      </c>
      <c r="B2139" s="3">
        <v>10107</v>
      </c>
      <c r="C2139" s="3">
        <v>20</v>
      </c>
      <c r="D2139" s="13">
        <v>92.9</v>
      </c>
      <c r="E2139" s="5">
        <v>37676</v>
      </c>
      <c r="F2139" s="2" t="s">
        <v>13</v>
      </c>
      <c r="G2139" s="2" t="s">
        <v>14</v>
      </c>
      <c r="H2139" s="3">
        <v>1</v>
      </c>
      <c r="I2139" s="6">
        <v>2003</v>
      </c>
      <c r="J2139" s="2" t="s">
        <v>15</v>
      </c>
      <c r="K2139" s="2" t="s">
        <v>16</v>
      </c>
      <c r="L2139" s="7">
        <f t="shared" si="99"/>
        <v>1858</v>
      </c>
      <c r="M2139" s="2" t="str">
        <f t="shared" si="100"/>
        <v>February</v>
      </c>
      <c r="N2139" s="6">
        <f t="shared" si="101"/>
        <v>2003</v>
      </c>
    </row>
    <row r="2140" spans="1:14">
      <c r="A2140" s="2" t="s">
        <v>42</v>
      </c>
      <c r="B2140" s="3">
        <v>10120</v>
      </c>
      <c r="C2140" s="3">
        <v>22</v>
      </c>
      <c r="D2140" s="13">
        <v>100</v>
      </c>
      <c r="E2140" s="5">
        <v>37740</v>
      </c>
      <c r="F2140" s="2" t="s">
        <v>13</v>
      </c>
      <c r="G2140" s="2" t="s">
        <v>14</v>
      </c>
      <c r="H2140" s="3">
        <v>2</v>
      </c>
      <c r="I2140" s="6">
        <v>2003</v>
      </c>
      <c r="J2140" s="2" t="s">
        <v>15</v>
      </c>
      <c r="K2140" s="2" t="s">
        <v>43</v>
      </c>
      <c r="L2140" s="7">
        <f t="shared" si="99"/>
        <v>2200</v>
      </c>
      <c r="M2140" s="2" t="str">
        <f t="shared" si="100"/>
        <v>April</v>
      </c>
      <c r="N2140" s="6">
        <f t="shared" si="101"/>
        <v>2003</v>
      </c>
    </row>
    <row r="2141" spans="1:14">
      <c r="A2141" s="2" t="s">
        <v>69</v>
      </c>
      <c r="B2141" s="3">
        <v>10133</v>
      </c>
      <c r="C2141" s="3">
        <v>23</v>
      </c>
      <c r="D2141" s="13">
        <v>100</v>
      </c>
      <c r="E2141" s="5">
        <v>37799</v>
      </c>
      <c r="F2141" s="2" t="s">
        <v>13</v>
      </c>
      <c r="G2141" s="2" t="s">
        <v>14</v>
      </c>
      <c r="H2141" s="3">
        <v>2</v>
      </c>
      <c r="I2141" s="6">
        <v>2003</v>
      </c>
      <c r="J2141" s="2" t="s">
        <v>15</v>
      </c>
      <c r="K2141" s="2" t="s">
        <v>71</v>
      </c>
      <c r="L2141" s="7">
        <f t="shared" si="99"/>
        <v>2300</v>
      </c>
      <c r="M2141" s="2" t="str">
        <f t="shared" si="100"/>
        <v>June</v>
      </c>
      <c r="N2141" s="6">
        <f t="shared" si="101"/>
        <v>2003</v>
      </c>
    </row>
    <row r="2142" spans="1:14">
      <c r="A2142" s="2" t="s">
        <v>25</v>
      </c>
      <c r="B2142" s="3">
        <v>10145</v>
      </c>
      <c r="C2142" s="3">
        <v>33</v>
      </c>
      <c r="D2142" s="13">
        <v>93.9</v>
      </c>
      <c r="E2142" s="5">
        <v>37858</v>
      </c>
      <c r="F2142" s="2" t="s">
        <v>13</v>
      </c>
      <c r="G2142" s="2" t="s">
        <v>14</v>
      </c>
      <c r="H2142" s="3">
        <v>3</v>
      </c>
      <c r="I2142" s="6">
        <v>2003</v>
      </c>
      <c r="J2142" s="2" t="s">
        <v>22</v>
      </c>
      <c r="K2142" s="2" t="s">
        <v>26</v>
      </c>
      <c r="L2142" s="7">
        <f t="shared" si="99"/>
        <v>3098.7</v>
      </c>
      <c r="M2142" s="2" t="str">
        <f t="shared" si="100"/>
        <v>August</v>
      </c>
      <c r="N2142" s="6">
        <f t="shared" si="101"/>
        <v>2003</v>
      </c>
    </row>
    <row r="2143" spans="1:14">
      <c r="A2143" s="2" t="s">
        <v>31</v>
      </c>
      <c r="B2143" s="3">
        <v>10168</v>
      </c>
      <c r="C2143" s="3">
        <v>28</v>
      </c>
      <c r="D2143" s="13">
        <v>100</v>
      </c>
      <c r="E2143" s="5">
        <v>37922</v>
      </c>
      <c r="F2143" s="2" t="s">
        <v>13</v>
      </c>
      <c r="G2143" s="2" t="s">
        <v>14</v>
      </c>
      <c r="H2143" s="3">
        <v>4</v>
      </c>
      <c r="I2143" s="6">
        <v>2003</v>
      </c>
      <c r="J2143" s="2" t="s">
        <v>22</v>
      </c>
      <c r="K2143" s="2" t="s">
        <v>32</v>
      </c>
      <c r="L2143" s="7">
        <f t="shared" si="99"/>
        <v>2800</v>
      </c>
      <c r="M2143" s="2" t="str">
        <f t="shared" si="100"/>
        <v>October</v>
      </c>
      <c r="N2143" s="6">
        <f t="shared" si="101"/>
        <v>2003</v>
      </c>
    </row>
    <row r="2144" spans="1:14">
      <c r="A2144" s="2" t="s">
        <v>36</v>
      </c>
      <c r="B2144" s="3">
        <v>10188</v>
      </c>
      <c r="C2144" s="3">
        <v>44</v>
      </c>
      <c r="D2144" s="13">
        <v>98.89</v>
      </c>
      <c r="E2144" s="5">
        <v>37943</v>
      </c>
      <c r="F2144" s="2" t="s">
        <v>13</v>
      </c>
      <c r="G2144" s="2" t="s">
        <v>14</v>
      </c>
      <c r="H2144" s="3">
        <v>4</v>
      </c>
      <c r="I2144" s="6">
        <v>2003</v>
      </c>
      <c r="J2144" s="2" t="s">
        <v>22</v>
      </c>
      <c r="K2144" s="2" t="s">
        <v>37</v>
      </c>
      <c r="L2144" s="7">
        <f t="shared" si="99"/>
        <v>4351.16</v>
      </c>
      <c r="M2144" s="2" t="str">
        <f t="shared" si="100"/>
        <v>November</v>
      </c>
      <c r="N2144" s="6">
        <f t="shared" si="101"/>
        <v>2003</v>
      </c>
    </row>
    <row r="2145" spans="1:14">
      <c r="A2145" s="2" t="s">
        <v>114</v>
      </c>
      <c r="B2145" s="3">
        <v>10210</v>
      </c>
      <c r="C2145" s="3">
        <v>46</v>
      </c>
      <c r="D2145" s="13">
        <v>79.91</v>
      </c>
      <c r="E2145" s="5">
        <v>37998</v>
      </c>
      <c r="F2145" s="2" t="s">
        <v>13</v>
      </c>
      <c r="G2145" s="2" t="s">
        <v>14</v>
      </c>
      <c r="H2145" s="3">
        <v>1</v>
      </c>
      <c r="I2145" s="6">
        <v>2004</v>
      </c>
      <c r="J2145" s="2" t="s">
        <v>22</v>
      </c>
      <c r="K2145" s="2" t="s">
        <v>115</v>
      </c>
      <c r="L2145" s="7">
        <f t="shared" si="99"/>
        <v>3675.86</v>
      </c>
      <c r="M2145" s="2" t="str">
        <f t="shared" si="100"/>
        <v>January</v>
      </c>
      <c r="N2145" s="6">
        <f t="shared" si="101"/>
        <v>2004</v>
      </c>
    </row>
    <row r="2146" spans="1:14">
      <c r="A2146" s="2" t="s">
        <v>42</v>
      </c>
      <c r="B2146" s="3">
        <v>10223</v>
      </c>
      <c r="C2146" s="3">
        <v>21</v>
      </c>
      <c r="D2146" s="13">
        <v>100</v>
      </c>
      <c r="E2146" s="5">
        <v>38037</v>
      </c>
      <c r="F2146" s="2" t="s">
        <v>13</v>
      </c>
      <c r="G2146" s="2" t="s">
        <v>14</v>
      </c>
      <c r="H2146" s="3">
        <v>1</v>
      </c>
      <c r="I2146" s="6">
        <v>2004</v>
      </c>
      <c r="J2146" s="2" t="s">
        <v>15</v>
      </c>
      <c r="K2146" s="2" t="s">
        <v>43</v>
      </c>
      <c r="L2146" s="7">
        <f t="shared" si="99"/>
        <v>2100</v>
      </c>
      <c r="M2146" s="2" t="str">
        <f t="shared" si="100"/>
        <v>February</v>
      </c>
      <c r="N2146" s="6">
        <f t="shared" si="101"/>
        <v>2004</v>
      </c>
    </row>
    <row r="2147" spans="1:14">
      <c r="A2147" s="2" t="s">
        <v>141</v>
      </c>
      <c r="B2147" s="3">
        <v>10235</v>
      </c>
      <c r="C2147" s="3">
        <v>41</v>
      </c>
      <c r="D2147" s="13">
        <v>100</v>
      </c>
      <c r="E2147" s="5">
        <v>38079</v>
      </c>
      <c r="F2147" s="2" t="s">
        <v>13</v>
      </c>
      <c r="G2147" s="2" t="s">
        <v>14</v>
      </c>
      <c r="H2147" s="3">
        <v>2</v>
      </c>
      <c r="I2147" s="6">
        <v>2004</v>
      </c>
      <c r="J2147" s="2" t="s">
        <v>22</v>
      </c>
      <c r="K2147" s="2" t="s">
        <v>142</v>
      </c>
      <c r="L2147" s="7">
        <f t="shared" si="99"/>
        <v>4100</v>
      </c>
      <c r="M2147" s="2" t="str">
        <f t="shared" si="100"/>
        <v>April</v>
      </c>
      <c r="N2147" s="6">
        <f t="shared" si="101"/>
        <v>2004</v>
      </c>
    </row>
    <row r="2148" spans="1:14">
      <c r="A2148" s="2" t="s">
        <v>149</v>
      </c>
      <c r="B2148" s="3">
        <v>10250</v>
      </c>
      <c r="C2148" s="3">
        <v>31</v>
      </c>
      <c r="D2148" s="13">
        <v>100</v>
      </c>
      <c r="E2148" s="5">
        <v>38118</v>
      </c>
      <c r="F2148" s="2" t="s">
        <v>13</v>
      </c>
      <c r="G2148" s="2" t="s">
        <v>14</v>
      </c>
      <c r="H2148" s="3">
        <v>2</v>
      </c>
      <c r="I2148" s="6">
        <v>2004</v>
      </c>
      <c r="J2148" s="2" t="s">
        <v>22</v>
      </c>
      <c r="K2148" s="2" t="s">
        <v>150</v>
      </c>
      <c r="L2148" s="7">
        <f t="shared" si="99"/>
        <v>3100</v>
      </c>
      <c r="M2148" s="2" t="str">
        <f t="shared" si="100"/>
        <v>May</v>
      </c>
      <c r="N2148" s="6">
        <f t="shared" si="101"/>
        <v>2004</v>
      </c>
    </row>
    <row r="2149" spans="1:14">
      <c r="A2149" s="2" t="s">
        <v>48</v>
      </c>
      <c r="B2149" s="3">
        <v>10263</v>
      </c>
      <c r="C2149" s="3">
        <v>31</v>
      </c>
      <c r="D2149" s="13">
        <v>79.91</v>
      </c>
      <c r="E2149" s="5">
        <v>38166</v>
      </c>
      <c r="F2149" s="2" t="s">
        <v>13</v>
      </c>
      <c r="G2149" s="2" t="s">
        <v>14</v>
      </c>
      <c r="H2149" s="3">
        <v>2</v>
      </c>
      <c r="I2149" s="6">
        <v>2004</v>
      </c>
      <c r="J2149" s="2" t="s">
        <v>15</v>
      </c>
      <c r="K2149" s="2" t="s">
        <v>49</v>
      </c>
      <c r="L2149" s="7">
        <f t="shared" si="99"/>
        <v>2477.21</v>
      </c>
      <c r="M2149" s="2" t="str">
        <f t="shared" si="100"/>
        <v>June</v>
      </c>
      <c r="N2149" s="6">
        <f t="shared" si="101"/>
        <v>2004</v>
      </c>
    </row>
    <row r="2150" spans="1:14">
      <c r="A2150" s="2" t="s">
        <v>50</v>
      </c>
      <c r="B2150" s="3">
        <v>10275</v>
      </c>
      <c r="C2150" s="3">
        <v>23</v>
      </c>
      <c r="D2150" s="13">
        <v>81.91</v>
      </c>
      <c r="E2150" s="5">
        <v>38191</v>
      </c>
      <c r="F2150" s="2" t="s">
        <v>13</v>
      </c>
      <c r="G2150" s="2" t="s">
        <v>14</v>
      </c>
      <c r="H2150" s="3">
        <v>3</v>
      </c>
      <c r="I2150" s="6">
        <v>2004</v>
      </c>
      <c r="J2150" s="2" t="s">
        <v>15</v>
      </c>
      <c r="K2150" s="2" t="s">
        <v>51</v>
      </c>
      <c r="L2150" s="7">
        <f t="shared" si="99"/>
        <v>1883.93</v>
      </c>
      <c r="M2150" s="2" t="str">
        <f t="shared" si="100"/>
        <v>July</v>
      </c>
      <c r="N2150" s="6">
        <f t="shared" si="101"/>
        <v>2004</v>
      </c>
    </row>
    <row r="2151" spans="1:14">
      <c r="A2151" s="2" t="s">
        <v>52</v>
      </c>
      <c r="B2151" s="3">
        <v>10285</v>
      </c>
      <c r="C2151" s="3">
        <v>37</v>
      </c>
      <c r="D2151" s="13">
        <v>98.89</v>
      </c>
      <c r="E2151" s="5">
        <v>38226</v>
      </c>
      <c r="F2151" s="2" t="s">
        <v>13</v>
      </c>
      <c r="G2151" s="2" t="s">
        <v>14</v>
      </c>
      <c r="H2151" s="3">
        <v>3</v>
      </c>
      <c r="I2151" s="6">
        <v>2004</v>
      </c>
      <c r="J2151" s="2" t="s">
        <v>22</v>
      </c>
      <c r="K2151" s="2" t="s">
        <v>53</v>
      </c>
      <c r="L2151" s="7">
        <f t="shared" si="99"/>
        <v>3658.93</v>
      </c>
      <c r="M2151" s="2" t="str">
        <f t="shared" si="100"/>
        <v>August</v>
      </c>
      <c r="N2151" s="6">
        <f t="shared" si="101"/>
        <v>2004</v>
      </c>
    </row>
    <row r="2152" spans="1:14">
      <c r="A2152" s="2" t="s">
        <v>179</v>
      </c>
      <c r="B2152" s="3">
        <v>10297</v>
      </c>
      <c r="C2152" s="3">
        <v>26</v>
      </c>
      <c r="D2152" s="13">
        <v>100</v>
      </c>
      <c r="E2152" s="5">
        <v>38246</v>
      </c>
      <c r="F2152" s="2" t="s">
        <v>13</v>
      </c>
      <c r="G2152" s="2" t="s">
        <v>14</v>
      </c>
      <c r="H2152" s="3">
        <v>3</v>
      </c>
      <c r="I2152" s="6">
        <v>2004</v>
      </c>
      <c r="J2152" s="2" t="s">
        <v>15</v>
      </c>
      <c r="K2152" s="2" t="s">
        <v>180</v>
      </c>
      <c r="L2152" s="7">
        <f t="shared" si="99"/>
        <v>2600</v>
      </c>
      <c r="M2152" s="2" t="str">
        <f t="shared" si="100"/>
        <v>September</v>
      </c>
      <c r="N2152" s="6">
        <f t="shared" si="101"/>
        <v>2004</v>
      </c>
    </row>
    <row r="2153" spans="1:14">
      <c r="A2153" s="2" t="s">
        <v>120</v>
      </c>
      <c r="B2153" s="3">
        <v>10308</v>
      </c>
      <c r="C2153" s="3">
        <v>24</v>
      </c>
      <c r="D2153" s="13">
        <v>79.91</v>
      </c>
      <c r="E2153" s="5">
        <v>38275</v>
      </c>
      <c r="F2153" s="2" t="s">
        <v>13</v>
      </c>
      <c r="G2153" s="2" t="s">
        <v>14</v>
      </c>
      <c r="H2153" s="3">
        <v>4</v>
      </c>
      <c r="I2153" s="6">
        <v>2004</v>
      </c>
      <c r="J2153" s="2" t="s">
        <v>15</v>
      </c>
      <c r="K2153" s="2" t="s">
        <v>121</v>
      </c>
      <c r="L2153" s="7">
        <f t="shared" si="99"/>
        <v>1917.84</v>
      </c>
      <c r="M2153" s="2" t="str">
        <f t="shared" si="100"/>
        <v>October</v>
      </c>
      <c r="N2153" s="6">
        <f t="shared" si="101"/>
        <v>2004</v>
      </c>
    </row>
    <row r="2154" spans="1:14">
      <c r="A2154" s="2" t="s">
        <v>58</v>
      </c>
      <c r="B2154" s="3">
        <v>10318</v>
      </c>
      <c r="C2154" s="3">
        <v>47</v>
      </c>
      <c r="D2154" s="13">
        <v>100</v>
      </c>
      <c r="E2154" s="5">
        <v>38293</v>
      </c>
      <c r="F2154" s="2" t="s">
        <v>13</v>
      </c>
      <c r="G2154" s="2" t="s">
        <v>14</v>
      </c>
      <c r="H2154" s="3">
        <v>4</v>
      </c>
      <c r="I2154" s="6">
        <v>2004</v>
      </c>
      <c r="J2154" s="2" t="s">
        <v>22</v>
      </c>
      <c r="K2154" s="2" t="s">
        <v>59</v>
      </c>
      <c r="L2154" s="7">
        <f t="shared" si="99"/>
        <v>4700</v>
      </c>
      <c r="M2154" s="2" t="str">
        <f t="shared" si="100"/>
        <v>November</v>
      </c>
      <c r="N2154" s="6">
        <f t="shared" si="101"/>
        <v>2004</v>
      </c>
    </row>
    <row r="2155" spans="1:14">
      <c r="A2155" s="2" t="s">
        <v>12</v>
      </c>
      <c r="B2155" s="3">
        <v>10329</v>
      </c>
      <c r="C2155" s="3">
        <v>45</v>
      </c>
      <c r="D2155" s="13">
        <v>63.91</v>
      </c>
      <c r="E2155" s="5">
        <v>38306</v>
      </c>
      <c r="F2155" s="2" t="s">
        <v>13</v>
      </c>
      <c r="G2155" s="2" t="s">
        <v>14</v>
      </c>
      <c r="H2155" s="3">
        <v>4</v>
      </c>
      <c r="I2155" s="6">
        <v>2004</v>
      </c>
      <c r="J2155" s="2" t="s">
        <v>15</v>
      </c>
      <c r="K2155" s="2" t="s">
        <v>16</v>
      </c>
      <c r="L2155" s="7">
        <f t="shared" si="99"/>
        <v>2875.95</v>
      </c>
      <c r="M2155" s="2" t="str">
        <f t="shared" si="100"/>
        <v>November</v>
      </c>
      <c r="N2155" s="6">
        <f t="shared" si="101"/>
        <v>2004</v>
      </c>
    </row>
    <row r="2156" spans="1:14">
      <c r="A2156" s="2" t="s">
        <v>133</v>
      </c>
      <c r="B2156" s="3">
        <v>10340</v>
      </c>
      <c r="C2156" s="3">
        <v>55</v>
      </c>
      <c r="D2156" s="13">
        <v>100</v>
      </c>
      <c r="E2156" s="5">
        <v>38315</v>
      </c>
      <c r="F2156" s="2" t="s">
        <v>13</v>
      </c>
      <c r="G2156" s="2" t="s">
        <v>14</v>
      </c>
      <c r="H2156" s="3">
        <v>4</v>
      </c>
      <c r="I2156" s="6">
        <v>2004</v>
      </c>
      <c r="J2156" s="2" t="s">
        <v>22</v>
      </c>
      <c r="K2156" s="2" t="s">
        <v>134</v>
      </c>
      <c r="L2156" s="7">
        <f t="shared" si="99"/>
        <v>5500</v>
      </c>
      <c r="M2156" s="2" t="str">
        <f t="shared" si="100"/>
        <v>November</v>
      </c>
      <c r="N2156" s="6">
        <f t="shared" si="101"/>
        <v>2004</v>
      </c>
    </row>
    <row r="2157" spans="1:14">
      <c r="A2157" s="2" t="s">
        <v>208</v>
      </c>
      <c r="B2157" s="3">
        <v>10353</v>
      </c>
      <c r="C2157" s="3">
        <v>46</v>
      </c>
      <c r="D2157" s="13">
        <v>81.17</v>
      </c>
      <c r="E2157" s="5">
        <v>38325</v>
      </c>
      <c r="F2157" s="2" t="s">
        <v>13</v>
      </c>
      <c r="G2157" s="2" t="s">
        <v>14</v>
      </c>
      <c r="H2157" s="3">
        <v>4</v>
      </c>
      <c r="I2157" s="6">
        <v>2004</v>
      </c>
      <c r="J2157" s="2" t="s">
        <v>22</v>
      </c>
      <c r="K2157" s="2" t="s">
        <v>209</v>
      </c>
      <c r="L2157" s="7">
        <f t="shared" si="99"/>
        <v>3733.82</v>
      </c>
      <c r="M2157" s="2" t="str">
        <f t="shared" si="100"/>
        <v>December</v>
      </c>
      <c r="N2157" s="6">
        <f t="shared" si="101"/>
        <v>2004</v>
      </c>
    </row>
    <row r="2158" spans="1:14">
      <c r="A2158" s="2" t="s">
        <v>175</v>
      </c>
      <c r="B2158" s="3">
        <v>10363</v>
      </c>
      <c r="C2158" s="3">
        <v>50</v>
      </c>
      <c r="D2158" s="13">
        <v>100</v>
      </c>
      <c r="E2158" s="5">
        <v>38358</v>
      </c>
      <c r="F2158" s="2" t="s">
        <v>13</v>
      </c>
      <c r="G2158" s="2" t="s">
        <v>14</v>
      </c>
      <c r="H2158" s="3">
        <v>1</v>
      </c>
      <c r="I2158" s="6">
        <v>2005</v>
      </c>
      <c r="J2158" s="2" t="s">
        <v>22</v>
      </c>
      <c r="K2158" s="2" t="s">
        <v>176</v>
      </c>
      <c r="L2158" s="7">
        <f t="shared" si="99"/>
        <v>5000</v>
      </c>
      <c r="M2158" s="2" t="str">
        <f t="shared" si="100"/>
        <v>January</v>
      </c>
      <c r="N2158" s="6">
        <f t="shared" si="101"/>
        <v>2005</v>
      </c>
    </row>
    <row r="2159" spans="1:14">
      <c r="A2159" s="2" t="s">
        <v>50</v>
      </c>
      <c r="B2159" s="3">
        <v>10375</v>
      </c>
      <c r="C2159" s="3">
        <v>37</v>
      </c>
      <c r="D2159" s="13">
        <v>100</v>
      </c>
      <c r="E2159" s="5">
        <v>38386</v>
      </c>
      <c r="F2159" s="2" t="s">
        <v>13</v>
      </c>
      <c r="G2159" s="2" t="s">
        <v>14</v>
      </c>
      <c r="H2159" s="3">
        <v>1</v>
      </c>
      <c r="I2159" s="6">
        <v>2005</v>
      </c>
      <c r="J2159" s="2" t="s">
        <v>22</v>
      </c>
      <c r="K2159" s="2" t="s">
        <v>51</v>
      </c>
      <c r="L2159" s="7">
        <f t="shared" si="99"/>
        <v>3700</v>
      </c>
      <c r="M2159" s="2" t="str">
        <f t="shared" si="100"/>
        <v>February</v>
      </c>
      <c r="N2159" s="6">
        <f t="shared" si="101"/>
        <v>2005</v>
      </c>
    </row>
    <row r="2160" spans="1:14">
      <c r="A2160" s="2" t="s">
        <v>77</v>
      </c>
      <c r="B2160" s="3">
        <v>10387</v>
      </c>
      <c r="C2160" s="3">
        <v>44</v>
      </c>
      <c r="D2160" s="13">
        <v>94.9</v>
      </c>
      <c r="E2160" s="5">
        <v>38413</v>
      </c>
      <c r="F2160" s="2" t="s">
        <v>13</v>
      </c>
      <c r="G2160" s="2" t="s">
        <v>14</v>
      </c>
      <c r="H2160" s="3">
        <v>1</v>
      </c>
      <c r="I2160" s="6">
        <v>2005</v>
      </c>
      <c r="J2160" s="2" t="s">
        <v>22</v>
      </c>
      <c r="K2160" s="2" t="s">
        <v>78</v>
      </c>
      <c r="L2160" s="7">
        <f t="shared" si="99"/>
        <v>4175.6</v>
      </c>
      <c r="M2160" s="2" t="str">
        <f t="shared" si="100"/>
        <v>March</v>
      </c>
      <c r="N2160" s="6">
        <f t="shared" si="101"/>
        <v>2005</v>
      </c>
    </row>
    <row r="2161" spans="1:14">
      <c r="A2161" s="2" t="s">
        <v>46</v>
      </c>
      <c r="B2161" s="3">
        <v>10401</v>
      </c>
      <c r="C2161" s="3">
        <v>49</v>
      </c>
      <c r="D2161" s="13">
        <v>100</v>
      </c>
      <c r="E2161" s="5">
        <v>38445</v>
      </c>
      <c r="F2161" s="2" t="s">
        <v>151</v>
      </c>
      <c r="G2161" s="2" t="s">
        <v>14</v>
      </c>
      <c r="H2161" s="3">
        <v>2</v>
      </c>
      <c r="I2161" s="6">
        <v>2005</v>
      </c>
      <c r="J2161" s="2" t="s">
        <v>22</v>
      </c>
      <c r="K2161" s="2" t="s">
        <v>47</v>
      </c>
      <c r="L2161" s="7">
        <f t="shared" si="99"/>
        <v>4900</v>
      </c>
      <c r="M2161" s="2" t="str">
        <f t="shared" si="100"/>
        <v>April</v>
      </c>
      <c r="N2161" s="6">
        <f t="shared" si="101"/>
        <v>2005</v>
      </c>
    </row>
    <row r="2162" spans="1:14">
      <c r="A2162" s="2" t="s">
        <v>169</v>
      </c>
      <c r="B2162" s="3">
        <v>10416</v>
      </c>
      <c r="C2162" s="3">
        <v>45</v>
      </c>
      <c r="D2162" s="13">
        <v>100</v>
      </c>
      <c r="E2162" s="5">
        <v>38482</v>
      </c>
      <c r="F2162" s="2" t="s">
        <v>13</v>
      </c>
      <c r="G2162" s="2" t="s">
        <v>14</v>
      </c>
      <c r="H2162" s="3">
        <v>2</v>
      </c>
      <c r="I2162" s="6">
        <v>2005</v>
      </c>
      <c r="J2162" s="2" t="s">
        <v>22</v>
      </c>
      <c r="K2162" s="2" t="s">
        <v>170</v>
      </c>
      <c r="L2162" s="7">
        <f t="shared" si="99"/>
        <v>4500</v>
      </c>
      <c r="M2162" s="2" t="str">
        <f t="shared" si="100"/>
        <v>May</v>
      </c>
      <c r="N2162" s="6">
        <f t="shared" si="101"/>
        <v>2005</v>
      </c>
    </row>
    <row r="2163" spans="1:14">
      <c r="A2163" s="2" t="s">
        <v>161</v>
      </c>
      <c r="B2163" s="3">
        <v>10108</v>
      </c>
      <c r="C2163" s="3">
        <v>27</v>
      </c>
      <c r="D2163" s="13">
        <v>43.45</v>
      </c>
      <c r="E2163" s="5">
        <v>37683</v>
      </c>
      <c r="F2163" s="2" t="s">
        <v>13</v>
      </c>
      <c r="G2163" s="2" t="s">
        <v>14</v>
      </c>
      <c r="H2163" s="3">
        <v>1</v>
      </c>
      <c r="I2163" s="6">
        <v>2003</v>
      </c>
      <c r="J2163" s="2" t="s">
        <v>15</v>
      </c>
      <c r="K2163" s="2" t="s">
        <v>162</v>
      </c>
      <c r="L2163" s="7">
        <f t="shared" si="99"/>
        <v>1173.15</v>
      </c>
      <c r="M2163" s="2" t="str">
        <f t="shared" si="100"/>
        <v>March</v>
      </c>
      <c r="N2163" s="6">
        <f t="shared" si="101"/>
        <v>2003</v>
      </c>
    </row>
    <row r="2164" spans="1:14">
      <c r="A2164" s="2" t="s">
        <v>163</v>
      </c>
      <c r="B2164" s="3">
        <v>10122</v>
      </c>
      <c r="C2164" s="3">
        <v>31</v>
      </c>
      <c r="D2164" s="13">
        <v>44.66</v>
      </c>
      <c r="E2164" s="5">
        <v>37749</v>
      </c>
      <c r="F2164" s="2" t="s">
        <v>13</v>
      </c>
      <c r="G2164" s="2" t="s">
        <v>14</v>
      </c>
      <c r="H2164" s="3">
        <v>2</v>
      </c>
      <c r="I2164" s="6">
        <v>2003</v>
      </c>
      <c r="J2164" s="2" t="s">
        <v>15</v>
      </c>
      <c r="K2164" s="2" t="s">
        <v>164</v>
      </c>
      <c r="L2164" s="7">
        <f t="shared" si="99"/>
        <v>1384.46</v>
      </c>
      <c r="M2164" s="2" t="str">
        <f t="shared" si="100"/>
        <v>May</v>
      </c>
      <c r="N2164" s="6">
        <f t="shared" si="101"/>
        <v>2003</v>
      </c>
    </row>
    <row r="2165" spans="1:14">
      <c r="A2165" s="2" t="s">
        <v>103</v>
      </c>
      <c r="B2165" s="3">
        <v>10135</v>
      </c>
      <c r="C2165" s="3">
        <v>33</v>
      </c>
      <c r="D2165" s="13">
        <v>40.23</v>
      </c>
      <c r="E2165" s="5">
        <v>37804</v>
      </c>
      <c r="F2165" s="2" t="s">
        <v>13</v>
      </c>
      <c r="G2165" s="2" t="s">
        <v>14</v>
      </c>
      <c r="H2165" s="3">
        <v>3</v>
      </c>
      <c r="I2165" s="6">
        <v>2003</v>
      </c>
      <c r="J2165" s="2" t="s">
        <v>15</v>
      </c>
      <c r="K2165" s="2" t="s">
        <v>104</v>
      </c>
      <c r="L2165" s="7">
        <f t="shared" si="99"/>
        <v>1327.59</v>
      </c>
      <c r="M2165" s="2" t="str">
        <f t="shared" si="100"/>
        <v>July</v>
      </c>
      <c r="N2165" s="6">
        <f t="shared" si="101"/>
        <v>2003</v>
      </c>
    </row>
    <row r="2166" spans="1:14">
      <c r="A2166" s="2" t="s">
        <v>25</v>
      </c>
      <c r="B2166" s="3">
        <v>10145</v>
      </c>
      <c r="C2166" s="3">
        <v>31</v>
      </c>
      <c r="D2166" s="13">
        <v>35.8</v>
      </c>
      <c r="E2166" s="5">
        <v>37858</v>
      </c>
      <c r="F2166" s="2" t="s">
        <v>13</v>
      </c>
      <c r="G2166" s="2" t="s">
        <v>14</v>
      </c>
      <c r="H2166" s="3">
        <v>3</v>
      </c>
      <c r="I2166" s="6">
        <v>2003</v>
      </c>
      <c r="J2166" s="2" t="s">
        <v>15</v>
      </c>
      <c r="K2166" s="2" t="s">
        <v>26</v>
      </c>
      <c r="L2166" s="7">
        <f t="shared" si="99"/>
        <v>1109.8</v>
      </c>
      <c r="M2166" s="2" t="str">
        <f t="shared" si="100"/>
        <v>August</v>
      </c>
      <c r="N2166" s="6">
        <f t="shared" si="101"/>
        <v>2003</v>
      </c>
    </row>
    <row r="2167" spans="1:14">
      <c r="A2167" s="2" t="s">
        <v>28</v>
      </c>
      <c r="B2167" s="3">
        <v>10159</v>
      </c>
      <c r="C2167" s="3">
        <v>35</v>
      </c>
      <c r="D2167" s="13">
        <v>35.4</v>
      </c>
      <c r="E2167" s="5">
        <v>37904</v>
      </c>
      <c r="F2167" s="2" t="s">
        <v>13</v>
      </c>
      <c r="G2167" s="2" t="s">
        <v>14</v>
      </c>
      <c r="H2167" s="3">
        <v>4</v>
      </c>
      <c r="I2167" s="6">
        <v>2003</v>
      </c>
      <c r="J2167" s="2" t="s">
        <v>15</v>
      </c>
      <c r="K2167" s="2" t="s">
        <v>29</v>
      </c>
      <c r="L2167" s="7">
        <f t="shared" si="99"/>
        <v>1239</v>
      </c>
      <c r="M2167" s="2" t="str">
        <f t="shared" si="100"/>
        <v>October</v>
      </c>
      <c r="N2167" s="6">
        <f t="shared" si="101"/>
        <v>2003</v>
      </c>
    </row>
    <row r="2168" spans="1:14">
      <c r="A2168" s="2" t="s">
        <v>109</v>
      </c>
      <c r="B2168" s="3">
        <v>10169</v>
      </c>
      <c r="C2168" s="3">
        <v>26</v>
      </c>
      <c r="D2168" s="13">
        <v>39.83</v>
      </c>
      <c r="E2168" s="5">
        <v>37929</v>
      </c>
      <c r="F2168" s="2" t="s">
        <v>13</v>
      </c>
      <c r="G2168" s="2" t="s">
        <v>14</v>
      </c>
      <c r="H2168" s="3">
        <v>4</v>
      </c>
      <c r="I2168" s="6">
        <v>2003</v>
      </c>
      <c r="J2168" s="2" t="s">
        <v>15</v>
      </c>
      <c r="K2168" s="2" t="s">
        <v>110</v>
      </c>
      <c r="L2168" s="7">
        <f t="shared" si="99"/>
        <v>1035.58</v>
      </c>
      <c r="M2168" s="2" t="str">
        <f t="shared" si="100"/>
        <v>November</v>
      </c>
      <c r="N2168" s="6">
        <f t="shared" si="101"/>
        <v>2003</v>
      </c>
    </row>
    <row r="2169" spans="1:14">
      <c r="A2169" s="2" t="s">
        <v>34</v>
      </c>
      <c r="B2169" s="3">
        <v>10180</v>
      </c>
      <c r="C2169" s="3">
        <v>34</v>
      </c>
      <c r="D2169" s="13">
        <v>45.46</v>
      </c>
      <c r="E2169" s="5">
        <v>37936</v>
      </c>
      <c r="F2169" s="2" t="s">
        <v>13</v>
      </c>
      <c r="G2169" s="2" t="s">
        <v>14</v>
      </c>
      <c r="H2169" s="3">
        <v>4</v>
      </c>
      <c r="I2169" s="6">
        <v>2003</v>
      </c>
      <c r="J2169" s="2" t="s">
        <v>15</v>
      </c>
      <c r="K2169" s="2" t="s">
        <v>35</v>
      </c>
      <c r="L2169" s="7">
        <f t="shared" si="99"/>
        <v>1545.64</v>
      </c>
      <c r="M2169" s="2" t="str">
        <f t="shared" si="100"/>
        <v>November</v>
      </c>
      <c r="N2169" s="6">
        <f t="shared" si="101"/>
        <v>2003</v>
      </c>
    </row>
    <row r="2170" spans="1:14">
      <c r="A2170" s="2" t="s">
        <v>69</v>
      </c>
      <c r="B2170" s="3">
        <v>10190</v>
      </c>
      <c r="C2170" s="3">
        <v>46</v>
      </c>
      <c r="D2170" s="13">
        <v>32.99</v>
      </c>
      <c r="E2170" s="5">
        <v>37944</v>
      </c>
      <c r="F2170" s="2" t="s">
        <v>13</v>
      </c>
      <c r="G2170" s="2" t="s">
        <v>14</v>
      </c>
      <c r="H2170" s="3">
        <v>4</v>
      </c>
      <c r="I2170" s="6">
        <v>2003</v>
      </c>
      <c r="J2170" s="2" t="s">
        <v>15</v>
      </c>
      <c r="K2170" s="2" t="s">
        <v>71</v>
      </c>
      <c r="L2170" s="7">
        <f t="shared" si="99"/>
        <v>1517.54</v>
      </c>
      <c r="M2170" s="2" t="str">
        <f t="shared" si="100"/>
        <v>November</v>
      </c>
      <c r="N2170" s="6">
        <f t="shared" si="101"/>
        <v>2003</v>
      </c>
    </row>
    <row r="2171" spans="1:14">
      <c r="A2171" s="2" t="s">
        <v>40</v>
      </c>
      <c r="B2171" s="3">
        <v>10211</v>
      </c>
      <c r="C2171" s="3">
        <v>41</v>
      </c>
      <c r="D2171" s="13">
        <v>42.24</v>
      </c>
      <c r="E2171" s="5">
        <v>38001</v>
      </c>
      <c r="F2171" s="2" t="s">
        <v>13</v>
      </c>
      <c r="G2171" s="2" t="s">
        <v>14</v>
      </c>
      <c r="H2171" s="3">
        <v>1</v>
      </c>
      <c r="I2171" s="6">
        <v>2004</v>
      </c>
      <c r="J2171" s="2" t="s">
        <v>15</v>
      </c>
      <c r="K2171" s="2" t="s">
        <v>41</v>
      </c>
      <c r="L2171" s="7">
        <f t="shared" si="99"/>
        <v>1731.84</v>
      </c>
      <c r="M2171" s="2" t="str">
        <f t="shared" si="100"/>
        <v>January</v>
      </c>
      <c r="N2171" s="6">
        <f t="shared" si="101"/>
        <v>2004</v>
      </c>
    </row>
    <row r="2172" spans="1:14">
      <c r="A2172" s="2" t="s">
        <v>34</v>
      </c>
      <c r="B2172" s="3">
        <v>10224</v>
      </c>
      <c r="C2172" s="3">
        <v>43</v>
      </c>
      <c r="D2172" s="13">
        <v>39.43</v>
      </c>
      <c r="E2172" s="5">
        <v>38038</v>
      </c>
      <c r="F2172" s="2" t="s">
        <v>13</v>
      </c>
      <c r="G2172" s="2" t="s">
        <v>14</v>
      </c>
      <c r="H2172" s="3">
        <v>1</v>
      </c>
      <c r="I2172" s="6">
        <v>2004</v>
      </c>
      <c r="J2172" s="2" t="s">
        <v>15</v>
      </c>
      <c r="K2172" s="2" t="s">
        <v>35</v>
      </c>
      <c r="L2172" s="7">
        <f t="shared" si="99"/>
        <v>1695.49</v>
      </c>
      <c r="M2172" s="2" t="str">
        <f t="shared" si="100"/>
        <v>February</v>
      </c>
      <c r="N2172" s="6">
        <f t="shared" si="101"/>
        <v>2004</v>
      </c>
    </row>
    <row r="2173" spans="1:14">
      <c r="A2173" s="2" t="s">
        <v>44</v>
      </c>
      <c r="B2173" s="3">
        <v>10237</v>
      </c>
      <c r="C2173" s="3">
        <v>26</v>
      </c>
      <c r="D2173" s="13">
        <v>40.23</v>
      </c>
      <c r="E2173" s="5">
        <v>38082</v>
      </c>
      <c r="F2173" s="2" t="s">
        <v>13</v>
      </c>
      <c r="G2173" s="2" t="s">
        <v>14</v>
      </c>
      <c r="H2173" s="3">
        <v>2</v>
      </c>
      <c r="I2173" s="6">
        <v>2004</v>
      </c>
      <c r="J2173" s="2" t="s">
        <v>15</v>
      </c>
      <c r="K2173" s="2" t="s">
        <v>45</v>
      </c>
      <c r="L2173" s="7">
        <f t="shared" si="99"/>
        <v>1045.98</v>
      </c>
      <c r="M2173" s="2" t="str">
        <f t="shared" si="100"/>
        <v>April</v>
      </c>
      <c r="N2173" s="6">
        <f t="shared" si="101"/>
        <v>2004</v>
      </c>
    </row>
    <row r="2174" spans="1:14">
      <c r="A2174" s="2" t="s">
        <v>40</v>
      </c>
      <c r="B2174" s="3">
        <v>10252</v>
      </c>
      <c r="C2174" s="3">
        <v>36</v>
      </c>
      <c r="D2174" s="13">
        <v>48.28</v>
      </c>
      <c r="E2174" s="5">
        <v>38133</v>
      </c>
      <c r="F2174" s="2" t="s">
        <v>13</v>
      </c>
      <c r="G2174" s="2" t="s">
        <v>14</v>
      </c>
      <c r="H2174" s="3">
        <v>2</v>
      </c>
      <c r="I2174" s="6">
        <v>2004</v>
      </c>
      <c r="J2174" s="2" t="s">
        <v>15</v>
      </c>
      <c r="K2174" s="2" t="s">
        <v>41</v>
      </c>
      <c r="L2174" s="7">
        <f t="shared" si="99"/>
        <v>1738.08</v>
      </c>
      <c r="M2174" s="2" t="str">
        <f t="shared" si="100"/>
        <v>May</v>
      </c>
      <c r="N2174" s="6">
        <f t="shared" si="101"/>
        <v>2004</v>
      </c>
    </row>
    <row r="2175" spans="1:14">
      <c r="A2175" s="2" t="s">
        <v>143</v>
      </c>
      <c r="B2175" s="3">
        <v>10264</v>
      </c>
      <c r="C2175" s="3">
        <v>20</v>
      </c>
      <c r="D2175" s="13">
        <v>32.59</v>
      </c>
      <c r="E2175" s="5">
        <v>38168</v>
      </c>
      <c r="F2175" s="2" t="s">
        <v>13</v>
      </c>
      <c r="G2175" s="2" t="s">
        <v>14</v>
      </c>
      <c r="H2175" s="3">
        <v>2</v>
      </c>
      <c r="I2175" s="6">
        <v>2004</v>
      </c>
      <c r="J2175" s="2" t="s">
        <v>15</v>
      </c>
      <c r="K2175" s="2" t="s">
        <v>144</v>
      </c>
      <c r="L2175" s="7">
        <f t="shared" si="99"/>
        <v>651.8</v>
      </c>
      <c r="M2175" s="2" t="str">
        <f t="shared" si="100"/>
        <v>June</v>
      </c>
      <c r="N2175" s="6">
        <f t="shared" si="101"/>
        <v>2004</v>
      </c>
    </row>
    <row r="2176" spans="1:14">
      <c r="A2176" s="2" t="s">
        <v>171</v>
      </c>
      <c r="B2176" s="3">
        <v>10276</v>
      </c>
      <c r="C2176" s="3">
        <v>27</v>
      </c>
      <c r="D2176" s="13">
        <v>36.61</v>
      </c>
      <c r="E2176" s="5">
        <v>38201</v>
      </c>
      <c r="F2176" s="2" t="s">
        <v>13</v>
      </c>
      <c r="G2176" s="2" t="s">
        <v>14</v>
      </c>
      <c r="H2176" s="3">
        <v>3</v>
      </c>
      <c r="I2176" s="6">
        <v>2004</v>
      </c>
      <c r="J2176" s="2" t="s">
        <v>15</v>
      </c>
      <c r="K2176" s="2" t="s">
        <v>172</v>
      </c>
      <c r="L2176" s="7">
        <f t="shared" si="99"/>
        <v>988.47</v>
      </c>
      <c r="M2176" s="2" t="str">
        <f t="shared" si="100"/>
        <v>August</v>
      </c>
      <c r="N2176" s="6">
        <f t="shared" si="101"/>
        <v>2004</v>
      </c>
    </row>
    <row r="2177" spans="1:14">
      <c r="A2177" s="2" t="s">
        <v>52</v>
      </c>
      <c r="B2177" s="3">
        <v>10285</v>
      </c>
      <c r="C2177" s="3">
        <v>37</v>
      </c>
      <c r="D2177" s="13">
        <v>41.03</v>
      </c>
      <c r="E2177" s="5">
        <v>38226</v>
      </c>
      <c r="F2177" s="2" t="s">
        <v>13</v>
      </c>
      <c r="G2177" s="2" t="s">
        <v>14</v>
      </c>
      <c r="H2177" s="3">
        <v>3</v>
      </c>
      <c r="I2177" s="6">
        <v>2004</v>
      </c>
      <c r="J2177" s="2" t="s">
        <v>15</v>
      </c>
      <c r="K2177" s="2" t="s">
        <v>53</v>
      </c>
      <c r="L2177" s="7">
        <f t="shared" si="99"/>
        <v>1518.11</v>
      </c>
      <c r="M2177" s="2" t="str">
        <f t="shared" si="100"/>
        <v>August</v>
      </c>
      <c r="N2177" s="6">
        <f t="shared" si="101"/>
        <v>2004</v>
      </c>
    </row>
    <row r="2178" spans="1:14">
      <c r="A2178" s="2" t="s">
        <v>54</v>
      </c>
      <c r="B2178" s="3">
        <v>10299</v>
      </c>
      <c r="C2178" s="3">
        <v>24</v>
      </c>
      <c r="D2178" s="13">
        <v>42.24</v>
      </c>
      <c r="E2178" s="5">
        <v>38260</v>
      </c>
      <c r="F2178" s="2" t="s">
        <v>13</v>
      </c>
      <c r="G2178" s="2" t="s">
        <v>14</v>
      </c>
      <c r="H2178" s="3">
        <v>3</v>
      </c>
      <c r="I2178" s="6">
        <v>2004</v>
      </c>
      <c r="J2178" s="2" t="s">
        <v>15</v>
      </c>
      <c r="K2178" s="2" t="s">
        <v>55</v>
      </c>
      <c r="L2178" s="7">
        <f t="shared" ref="L2178:L2241" si="102">PRODUCT(C2178,D2178)</f>
        <v>1013.76</v>
      </c>
      <c r="M2178" s="2" t="str">
        <f t="shared" ref="M2178:M2241" si="103">TEXT(E2178,"MMMM")</f>
        <v>September</v>
      </c>
      <c r="N2178" s="6">
        <f t="shared" ref="N2178:N2241" si="104">YEAR(E2178)</f>
        <v>2004</v>
      </c>
    </row>
    <row r="2179" spans="1:14">
      <c r="A2179" s="2" t="s">
        <v>165</v>
      </c>
      <c r="B2179" s="3">
        <v>10310</v>
      </c>
      <c r="C2179" s="3">
        <v>36</v>
      </c>
      <c r="D2179" s="13">
        <v>43.05</v>
      </c>
      <c r="E2179" s="5">
        <v>38276</v>
      </c>
      <c r="F2179" s="2" t="s">
        <v>13</v>
      </c>
      <c r="G2179" s="2" t="s">
        <v>14</v>
      </c>
      <c r="H2179" s="3">
        <v>4</v>
      </c>
      <c r="I2179" s="6">
        <v>2004</v>
      </c>
      <c r="J2179" s="2" t="s">
        <v>15</v>
      </c>
      <c r="K2179" s="2" t="s">
        <v>166</v>
      </c>
      <c r="L2179" s="7">
        <f t="shared" si="102"/>
        <v>1549.8</v>
      </c>
      <c r="M2179" s="2" t="str">
        <f t="shared" si="103"/>
        <v>October</v>
      </c>
      <c r="N2179" s="6">
        <f t="shared" si="104"/>
        <v>2004</v>
      </c>
    </row>
    <row r="2180" spans="1:14">
      <c r="A2180" s="2" t="s">
        <v>188</v>
      </c>
      <c r="B2180" s="3">
        <v>10319</v>
      </c>
      <c r="C2180" s="3">
        <v>29</v>
      </c>
      <c r="D2180" s="13">
        <v>38.22</v>
      </c>
      <c r="E2180" s="5">
        <v>38294</v>
      </c>
      <c r="F2180" s="2" t="s">
        <v>13</v>
      </c>
      <c r="G2180" s="2" t="s">
        <v>14</v>
      </c>
      <c r="H2180" s="3">
        <v>4</v>
      </c>
      <c r="I2180" s="6">
        <v>2004</v>
      </c>
      <c r="J2180" s="2" t="s">
        <v>15</v>
      </c>
      <c r="K2180" s="2" t="s">
        <v>189</v>
      </c>
      <c r="L2180" s="7">
        <f t="shared" si="102"/>
        <v>1108.38</v>
      </c>
      <c r="M2180" s="2" t="str">
        <f t="shared" si="103"/>
        <v>November</v>
      </c>
      <c r="N2180" s="6">
        <f t="shared" si="104"/>
        <v>2004</v>
      </c>
    </row>
    <row r="2181" spans="1:14">
      <c r="A2181" s="2" t="s">
        <v>116</v>
      </c>
      <c r="B2181" s="3">
        <v>10331</v>
      </c>
      <c r="C2181" s="3">
        <v>28</v>
      </c>
      <c r="D2181" s="13">
        <v>100</v>
      </c>
      <c r="E2181" s="5">
        <v>38308</v>
      </c>
      <c r="F2181" s="2" t="s">
        <v>13</v>
      </c>
      <c r="G2181" s="2" t="s">
        <v>14</v>
      </c>
      <c r="H2181" s="3">
        <v>4</v>
      </c>
      <c r="I2181" s="6">
        <v>2004</v>
      </c>
      <c r="J2181" s="2" t="s">
        <v>22</v>
      </c>
      <c r="K2181" s="2" t="s">
        <v>117</v>
      </c>
      <c r="L2181" s="7">
        <f t="shared" si="102"/>
        <v>2800</v>
      </c>
      <c r="M2181" s="2" t="str">
        <f t="shared" si="103"/>
        <v>November</v>
      </c>
      <c r="N2181" s="6">
        <f t="shared" si="104"/>
        <v>2004</v>
      </c>
    </row>
    <row r="2182" spans="1:14">
      <c r="A2182" s="2" t="s">
        <v>18</v>
      </c>
      <c r="B2182" s="3">
        <v>10343</v>
      </c>
      <c r="C2182" s="3">
        <v>29</v>
      </c>
      <c r="D2182" s="13">
        <v>100</v>
      </c>
      <c r="E2182" s="5">
        <v>38315</v>
      </c>
      <c r="F2182" s="2" t="s">
        <v>13</v>
      </c>
      <c r="G2182" s="2" t="s">
        <v>14</v>
      </c>
      <c r="H2182" s="3">
        <v>4</v>
      </c>
      <c r="I2182" s="6">
        <v>2004</v>
      </c>
      <c r="J2182" s="2" t="s">
        <v>22</v>
      </c>
      <c r="K2182" s="2" t="s">
        <v>19</v>
      </c>
      <c r="L2182" s="7">
        <f t="shared" si="102"/>
        <v>2900</v>
      </c>
      <c r="M2182" s="2" t="str">
        <f t="shared" si="103"/>
        <v>November</v>
      </c>
      <c r="N2182" s="6">
        <f t="shared" si="104"/>
        <v>2004</v>
      </c>
    </row>
    <row r="2183" spans="1:14">
      <c r="A2183" s="2" t="s">
        <v>69</v>
      </c>
      <c r="B2183" s="3">
        <v>10355</v>
      </c>
      <c r="C2183" s="3">
        <v>38</v>
      </c>
      <c r="D2183" s="13">
        <v>39.83</v>
      </c>
      <c r="E2183" s="5">
        <v>38328</v>
      </c>
      <c r="F2183" s="2" t="s">
        <v>13</v>
      </c>
      <c r="G2183" s="2" t="s">
        <v>14</v>
      </c>
      <c r="H2183" s="3">
        <v>4</v>
      </c>
      <c r="I2183" s="6">
        <v>2004</v>
      </c>
      <c r="J2183" s="2" t="s">
        <v>15</v>
      </c>
      <c r="K2183" s="2" t="s">
        <v>71</v>
      </c>
      <c r="L2183" s="7">
        <f t="shared" si="102"/>
        <v>1513.54</v>
      </c>
      <c r="M2183" s="2" t="str">
        <f t="shared" si="103"/>
        <v>December</v>
      </c>
      <c r="N2183" s="6">
        <f t="shared" si="104"/>
        <v>2004</v>
      </c>
    </row>
    <row r="2184" spans="1:14">
      <c r="A2184" s="2" t="s">
        <v>163</v>
      </c>
      <c r="B2184" s="3">
        <v>10364</v>
      </c>
      <c r="C2184" s="3">
        <v>48</v>
      </c>
      <c r="D2184" s="13">
        <v>48.28</v>
      </c>
      <c r="E2184" s="5">
        <v>38358</v>
      </c>
      <c r="F2184" s="2" t="s">
        <v>13</v>
      </c>
      <c r="G2184" s="2" t="s">
        <v>14</v>
      </c>
      <c r="H2184" s="3">
        <v>1</v>
      </c>
      <c r="I2184" s="6">
        <v>2005</v>
      </c>
      <c r="J2184" s="2" t="s">
        <v>15</v>
      </c>
      <c r="K2184" s="2" t="s">
        <v>164</v>
      </c>
      <c r="L2184" s="7">
        <f t="shared" si="102"/>
        <v>2317.44</v>
      </c>
      <c r="M2184" s="2" t="str">
        <f t="shared" si="103"/>
        <v>January</v>
      </c>
      <c r="N2184" s="6">
        <f t="shared" si="104"/>
        <v>2005</v>
      </c>
    </row>
    <row r="2185" spans="1:14">
      <c r="A2185" s="2" t="s">
        <v>69</v>
      </c>
      <c r="B2185" s="3">
        <v>10378</v>
      </c>
      <c r="C2185" s="3">
        <v>40</v>
      </c>
      <c r="D2185" s="13">
        <v>82.46</v>
      </c>
      <c r="E2185" s="5">
        <v>38393</v>
      </c>
      <c r="F2185" s="2" t="s">
        <v>13</v>
      </c>
      <c r="G2185" s="2" t="s">
        <v>14</v>
      </c>
      <c r="H2185" s="3">
        <v>1</v>
      </c>
      <c r="I2185" s="6">
        <v>2005</v>
      </c>
      <c r="J2185" s="2" t="s">
        <v>22</v>
      </c>
      <c r="K2185" s="2" t="s">
        <v>71</v>
      </c>
      <c r="L2185" s="7">
        <f t="shared" si="102"/>
        <v>3298.4</v>
      </c>
      <c r="M2185" s="2" t="str">
        <f t="shared" si="103"/>
        <v>February</v>
      </c>
      <c r="N2185" s="6">
        <f t="shared" si="104"/>
        <v>2005</v>
      </c>
    </row>
    <row r="2186" spans="1:14">
      <c r="A2186" s="2" t="s">
        <v>103</v>
      </c>
      <c r="B2186" s="3">
        <v>10390</v>
      </c>
      <c r="C2186" s="3">
        <v>41</v>
      </c>
      <c r="D2186" s="13">
        <v>44.56</v>
      </c>
      <c r="E2186" s="5">
        <v>38415</v>
      </c>
      <c r="F2186" s="2" t="s">
        <v>13</v>
      </c>
      <c r="G2186" s="2" t="s">
        <v>14</v>
      </c>
      <c r="H2186" s="3">
        <v>1</v>
      </c>
      <c r="I2186" s="6">
        <v>2005</v>
      </c>
      <c r="J2186" s="2" t="s">
        <v>15</v>
      </c>
      <c r="K2186" s="2" t="s">
        <v>104</v>
      </c>
      <c r="L2186" s="7">
        <f t="shared" si="102"/>
        <v>1826.96</v>
      </c>
      <c r="M2186" s="2" t="str">
        <f t="shared" si="103"/>
        <v>March</v>
      </c>
      <c r="N2186" s="6">
        <f t="shared" si="104"/>
        <v>2005</v>
      </c>
    </row>
    <row r="2187" spans="1:14">
      <c r="A2187" s="2" t="s">
        <v>67</v>
      </c>
      <c r="B2187" s="3">
        <v>10403</v>
      </c>
      <c r="C2187" s="3">
        <v>30</v>
      </c>
      <c r="D2187" s="13">
        <v>40.23</v>
      </c>
      <c r="E2187" s="5">
        <v>38450</v>
      </c>
      <c r="F2187" s="2" t="s">
        <v>13</v>
      </c>
      <c r="G2187" s="2" t="s">
        <v>14</v>
      </c>
      <c r="H2187" s="3">
        <v>2</v>
      </c>
      <c r="I2187" s="6">
        <v>2005</v>
      </c>
      <c r="J2187" s="2" t="s">
        <v>15</v>
      </c>
      <c r="K2187" s="2" t="s">
        <v>68</v>
      </c>
      <c r="L2187" s="7">
        <f t="shared" si="102"/>
        <v>1206.9</v>
      </c>
      <c r="M2187" s="2" t="str">
        <f t="shared" si="103"/>
        <v>April</v>
      </c>
      <c r="N2187" s="6">
        <f t="shared" si="104"/>
        <v>2005</v>
      </c>
    </row>
    <row r="2188" spans="1:14">
      <c r="A2188" s="2" t="s">
        <v>69</v>
      </c>
      <c r="B2188" s="3">
        <v>10104</v>
      </c>
      <c r="C2188" s="3">
        <v>35</v>
      </c>
      <c r="D2188" s="13">
        <v>47.62</v>
      </c>
      <c r="E2188" s="5">
        <v>37652</v>
      </c>
      <c r="F2188" s="2" t="s">
        <v>13</v>
      </c>
      <c r="G2188" s="2" t="s">
        <v>187</v>
      </c>
      <c r="H2188" s="3">
        <v>1</v>
      </c>
      <c r="I2188" s="6">
        <v>2003</v>
      </c>
      <c r="J2188" s="2" t="s">
        <v>15</v>
      </c>
      <c r="K2188" s="2" t="s">
        <v>71</v>
      </c>
      <c r="L2188" s="7">
        <f t="shared" si="102"/>
        <v>1666.7</v>
      </c>
      <c r="M2188" s="2" t="str">
        <f t="shared" si="103"/>
        <v>January</v>
      </c>
      <c r="N2188" s="6">
        <f t="shared" si="104"/>
        <v>2003</v>
      </c>
    </row>
    <row r="2189" spans="1:14">
      <c r="A2189" s="2" t="s">
        <v>152</v>
      </c>
      <c r="B2189" s="3">
        <v>10114</v>
      </c>
      <c r="C2189" s="3">
        <v>28</v>
      </c>
      <c r="D2189" s="13">
        <v>55.73</v>
      </c>
      <c r="E2189" s="5">
        <v>37712</v>
      </c>
      <c r="F2189" s="2" t="s">
        <v>13</v>
      </c>
      <c r="G2189" s="2" t="s">
        <v>187</v>
      </c>
      <c r="H2189" s="3">
        <v>2</v>
      </c>
      <c r="I2189" s="6">
        <v>2003</v>
      </c>
      <c r="J2189" s="2" t="s">
        <v>15</v>
      </c>
      <c r="K2189" s="2" t="s">
        <v>153</v>
      </c>
      <c r="L2189" s="7">
        <f t="shared" si="102"/>
        <v>1560.44</v>
      </c>
      <c r="M2189" s="2" t="str">
        <f t="shared" si="103"/>
        <v>April</v>
      </c>
      <c r="N2189" s="6">
        <f t="shared" si="104"/>
        <v>2003</v>
      </c>
    </row>
    <row r="2190" spans="1:14">
      <c r="A2190" s="2" t="s">
        <v>177</v>
      </c>
      <c r="B2190" s="3">
        <v>10127</v>
      </c>
      <c r="C2190" s="3">
        <v>45</v>
      </c>
      <c r="D2190" s="13">
        <v>51.95</v>
      </c>
      <c r="E2190" s="5">
        <v>37775</v>
      </c>
      <c r="F2190" s="2" t="s">
        <v>13</v>
      </c>
      <c r="G2190" s="2" t="s">
        <v>187</v>
      </c>
      <c r="H2190" s="3">
        <v>2</v>
      </c>
      <c r="I2190" s="6">
        <v>2003</v>
      </c>
      <c r="J2190" s="2" t="s">
        <v>15</v>
      </c>
      <c r="K2190" s="2" t="s">
        <v>178</v>
      </c>
      <c r="L2190" s="7">
        <f t="shared" si="102"/>
        <v>2337.75</v>
      </c>
      <c r="M2190" s="2" t="str">
        <f t="shared" si="103"/>
        <v>June</v>
      </c>
      <c r="N2190" s="6">
        <f t="shared" si="104"/>
        <v>2003</v>
      </c>
    </row>
    <row r="2191" spans="1:14">
      <c r="A2191" s="2" t="s">
        <v>175</v>
      </c>
      <c r="B2191" s="3">
        <v>10141</v>
      </c>
      <c r="C2191" s="3">
        <v>24</v>
      </c>
      <c r="D2191" s="13">
        <v>45.99</v>
      </c>
      <c r="E2191" s="5">
        <v>37834</v>
      </c>
      <c r="F2191" s="2" t="s">
        <v>13</v>
      </c>
      <c r="G2191" s="2" t="s">
        <v>187</v>
      </c>
      <c r="H2191" s="3">
        <v>3</v>
      </c>
      <c r="I2191" s="6">
        <v>2003</v>
      </c>
      <c r="J2191" s="2" t="s">
        <v>15</v>
      </c>
      <c r="K2191" s="2" t="s">
        <v>176</v>
      </c>
      <c r="L2191" s="7">
        <f t="shared" si="102"/>
        <v>1103.76</v>
      </c>
      <c r="M2191" s="2" t="str">
        <f t="shared" si="103"/>
        <v>August</v>
      </c>
      <c r="N2191" s="6">
        <f t="shared" si="104"/>
        <v>2003</v>
      </c>
    </row>
    <row r="2192" spans="1:14">
      <c r="A2192" s="2" t="s">
        <v>147</v>
      </c>
      <c r="B2192" s="3">
        <v>10151</v>
      </c>
      <c r="C2192" s="3">
        <v>41</v>
      </c>
      <c r="D2192" s="13">
        <v>63.85</v>
      </c>
      <c r="E2192" s="5">
        <v>37885</v>
      </c>
      <c r="F2192" s="2" t="s">
        <v>13</v>
      </c>
      <c r="G2192" s="2" t="s">
        <v>187</v>
      </c>
      <c r="H2192" s="3">
        <v>3</v>
      </c>
      <c r="I2192" s="6">
        <v>2003</v>
      </c>
      <c r="J2192" s="2" t="s">
        <v>15</v>
      </c>
      <c r="K2192" s="2" t="s">
        <v>148</v>
      </c>
      <c r="L2192" s="7">
        <f t="shared" si="102"/>
        <v>2617.85</v>
      </c>
      <c r="M2192" s="2" t="str">
        <f t="shared" si="103"/>
        <v>September</v>
      </c>
      <c r="N2192" s="6">
        <f t="shared" si="104"/>
        <v>2003</v>
      </c>
    </row>
    <row r="2193" spans="1:14">
      <c r="A2193" s="2" t="s">
        <v>77</v>
      </c>
      <c r="B2193" s="3">
        <v>10165</v>
      </c>
      <c r="C2193" s="3">
        <v>48</v>
      </c>
      <c r="D2193" s="13">
        <v>45.99</v>
      </c>
      <c r="E2193" s="5">
        <v>37916</v>
      </c>
      <c r="F2193" s="2" t="s">
        <v>13</v>
      </c>
      <c r="G2193" s="2" t="s">
        <v>187</v>
      </c>
      <c r="H2193" s="3">
        <v>4</v>
      </c>
      <c r="I2193" s="6">
        <v>2003</v>
      </c>
      <c r="J2193" s="2" t="s">
        <v>15</v>
      </c>
      <c r="K2193" s="2" t="s">
        <v>78</v>
      </c>
      <c r="L2193" s="7">
        <f t="shared" si="102"/>
        <v>2207.52</v>
      </c>
      <c r="M2193" s="2" t="str">
        <f t="shared" si="103"/>
        <v>October</v>
      </c>
      <c r="N2193" s="6">
        <f t="shared" si="104"/>
        <v>2003</v>
      </c>
    </row>
    <row r="2194" spans="1:14">
      <c r="A2194" s="2" t="s">
        <v>124</v>
      </c>
      <c r="B2194" s="3">
        <v>10175</v>
      </c>
      <c r="C2194" s="3">
        <v>50</v>
      </c>
      <c r="D2194" s="13">
        <v>63.31</v>
      </c>
      <c r="E2194" s="5">
        <v>37931</v>
      </c>
      <c r="F2194" s="2" t="s">
        <v>13</v>
      </c>
      <c r="G2194" s="2" t="s">
        <v>187</v>
      </c>
      <c r="H2194" s="3">
        <v>4</v>
      </c>
      <c r="I2194" s="6">
        <v>2003</v>
      </c>
      <c r="J2194" s="2" t="s">
        <v>22</v>
      </c>
      <c r="K2194" s="2" t="s">
        <v>125</v>
      </c>
      <c r="L2194" s="7">
        <f t="shared" si="102"/>
        <v>3165.5</v>
      </c>
      <c r="M2194" s="2" t="str">
        <f t="shared" si="103"/>
        <v>November</v>
      </c>
      <c r="N2194" s="6">
        <f t="shared" si="104"/>
        <v>2003</v>
      </c>
    </row>
    <row r="2195" spans="1:14">
      <c r="A2195" s="2" t="s">
        <v>192</v>
      </c>
      <c r="B2195" s="3">
        <v>10184</v>
      </c>
      <c r="C2195" s="3">
        <v>33</v>
      </c>
      <c r="D2195" s="13">
        <v>62.77</v>
      </c>
      <c r="E2195" s="5">
        <v>37939</v>
      </c>
      <c r="F2195" s="2" t="s">
        <v>13</v>
      </c>
      <c r="G2195" s="2" t="s">
        <v>187</v>
      </c>
      <c r="H2195" s="3">
        <v>4</v>
      </c>
      <c r="I2195" s="6">
        <v>2003</v>
      </c>
      <c r="J2195" s="2" t="s">
        <v>15</v>
      </c>
      <c r="K2195" s="2" t="s">
        <v>193</v>
      </c>
      <c r="L2195" s="7">
        <f t="shared" si="102"/>
        <v>2071.41</v>
      </c>
      <c r="M2195" s="2" t="str">
        <f t="shared" si="103"/>
        <v>November</v>
      </c>
      <c r="N2195" s="6">
        <f t="shared" si="104"/>
        <v>2003</v>
      </c>
    </row>
    <row r="2196" spans="1:14">
      <c r="A2196" s="2" t="s">
        <v>120</v>
      </c>
      <c r="B2196" s="3">
        <v>10195</v>
      </c>
      <c r="C2196" s="3">
        <v>32</v>
      </c>
      <c r="D2196" s="13">
        <v>43.29</v>
      </c>
      <c r="E2196" s="5">
        <v>37950</v>
      </c>
      <c r="F2196" s="2" t="s">
        <v>13</v>
      </c>
      <c r="G2196" s="2" t="s">
        <v>187</v>
      </c>
      <c r="H2196" s="3">
        <v>4</v>
      </c>
      <c r="I2196" s="6">
        <v>2003</v>
      </c>
      <c r="J2196" s="2" t="s">
        <v>15</v>
      </c>
      <c r="K2196" s="2" t="s">
        <v>121</v>
      </c>
      <c r="L2196" s="7">
        <f t="shared" si="102"/>
        <v>1385.28</v>
      </c>
      <c r="M2196" s="2" t="str">
        <f t="shared" si="103"/>
        <v>November</v>
      </c>
      <c r="N2196" s="6">
        <f t="shared" si="104"/>
        <v>2003</v>
      </c>
    </row>
    <row r="2197" spans="1:14">
      <c r="A2197" s="2" t="s">
        <v>157</v>
      </c>
      <c r="B2197" s="3">
        <v>10207</v>
      </c>
      <c r="C2197" s="3">
        <v>27</v>
      </c>
      <c r="D2197" s="13">
        <v>60.06</v>
      </c>
      <c r="E2197" s="5">
        <v>37964</v>
      </c>
      <c r="F2197" s="2" t="s">
        <v>13</v>
      </c>
      <c r="G2197" s="2" t="s">
        <v>187</v>
      </c>
      <c r="H2197" s="3">
        <v>4</v>
      </c>
      <c r="I2197" s="6">
        <v>2003</v>
      </c>
      <c r="J2197" s="2" t="s">
        <v>15</v>
      </c>
      <c r="K2197" s="2" t="s">
        <v>158</v>
      </c>
      <c r="L2197" s="7">
        <f t="shared" si="102"/>
        <v>1621.62</v>
      </c>
      <c r="M2197" s="2" t="str">
        <f t="shared" si="103"/>
        <v>December</v>
      </c>
      <c r="N2197" s="6">
        <f t="shared" si="104"/>
        <v>2003</v>
      </c>
    </row>
    <row r="2198" spans="1:14">
      <c r="A2198" s="2" t="s">
        <v>194</v>
      </c>
      <c r="B2198" s="3">
        <v>10219</v>
      </c>
      <c r="C2198" s="3">
        <v>35</v>
      </c>
      <c r="D2198" s="13">
        <v>55.19</v>
      </c>
      <c r="E2198" s="5">
        <v>38027</v>
      </c>
      <c r="F2198" s="2" t="s">
        <v>13</v>
      </c>
      <c r="G2198" s="2" t="s">
        <v>187</v>
      </c>
      <c r="H2198" s="3">
        <v>1</v>
      </c>
      <c r="I2198" s="6">
        <v>2004</v>
      </c>
      <c r="J2198" s="2" t="s">
        <v>15</v>
      </c>
      <c r="K2198" s="2" t="s">
        <v>195</v>
      </c>
      <c r="L2198" s="7">
        <f t="shared" si="102"/>
        <v>1931.65</v>
      </c>
      <c r="M2198" s="2" t="str">
        <f t="shared" si="103"/>
        <v>February</v>
      </c>
      <c r="N2198" s="6">
        <f t="shared" si="104"/>
        <v>2004</v>
      </c>
    </row>
    <row r="2199" spans="1:14">
      <c r="A2199" s="2" t="s">
        <v>103</v>
      </c>
      <c r="B2199" s="3">
        <v>10229</v>
      </c>
      <c r="C2199" s="3">
        <v>23</v>
      </c>
      <c r="D2199" s="13">
        <v>54.11</v>
      </c>
      <c r="E2199" s="5">
        <v>38057</v>
      </c>
      <c r="F2199" s="2" t="s">
        <v>13</v>
      </c>
      <c r="G2199" s="2" t="s">
        <v>187</v>
      </c>
      <c r="H2199" s="3">
        <v>1</v>
      </c>
      <c r="I2199" s="6">
        <v>2004</v>
      </c>
      <c r="J2199" s="2" t="s">
        <v>15</v>
      </c>
      <c r="K2199" s="2" t="s">
        <v>104</v>
      </c>
      <c r="L2199" s="7">
        <f t="shared" si="102"/>
        <v>1244.53</v>
      </c>
      <c r="M2199" s="2" t="str">
        <f t="shared" si="103"/>
        <v>March</v>
      </c>
      <c r="N2199" s="6">
        <f t="shared" si="104"/>
        <v>2004</v>
      </c>
    </row>
    <row r="2200" spans="1:14">
      <c r="A2200" s="2" t="s">
        <v>69</v>
      </c>
      <c r="B2200" s="3">
        <v>10246</v>
      </c>
      <c r="C2200" s="3">
        <v>35</v>
      </c>
      <c r="D2200" s="13">
        <v>48.7</v>
      </c>
      <c r="E2200" s="5">
        <v>38112</v>
      </c>
      <c r="F2200" s="2" t="s">
        <v>13</v>
      </c>
      <c r="G2200" s="2" t="s">
        <v>187</v>
      </c>
      <c r="H2200" s="3">
        <v>2</v>
      </c>
      <c r="I2200" s="6">
        <v>2004</v>
      </c>
      <c r="J2200" s="2" t="s">
        <v>15</v>
      </c>
      <c r="K2200" s="2" t="s">
        <v>71</v>
      </c>
      <c r="L2200" s="7">
        <f t="shared" si="102"/>
        <v>1704.5</v>
      </c>
      <c r="M2200" s="2" t="str">
        <f t="shared" si="103"/>
        <v>May</v>
      </c>
      <c r="N2200" s="6">
        <f t="shared" si="104"/>
        <v>2004</v>
      </c>
    </row>
    <row r="2201" spans="1:14">
      <c r="A2201" s="2" t="s">
        <v>159</v>
      </c>
      <c r="B2201" s="3">
        <v>10259</v>
      </c>
      <c r="C2201" s="3">
        <v>40</v>
      </c>
      <c r="D2201" s="13">
        <v>43.83</v>
      </c>
      <c r="E2201" s="5">
        <v>38153</v>
      </c>
      <c r="F2201" s="2" t="s">
        <v>13</v>
      </c>
      <c r="G2201" s="2" t="s">
        <v>187</v>
      </c>
      <c r="H2201" s="3">
        <v>2</v>
      </c>
      <c r="I2201" s="6">
        <v>2004</v>
      </c>
      <c r="J2201" s="2" t="s">
        <v>15</v>
      </c>
      <c r="K2201" s="2" t="s">
        <v>160</v>
      </c>
      <c r="L2201" s="7">
        <f t="shared" si="102"/>
        <v>1753.2</v>
      </c>
      <c r="M2201" s="2" t="str">
        <f t="shared" si="103"/>
        <v>June</v>
      </c>
      <c r="N2201" s="6">
        <f t="shared" si="104"/>
        <v>2004</v>
      </c>
    </row>
    <row r="2202" spans="1:14">
      <c r="A2202" s="2" t="s">
        <v>103</v>
      </c>
      <c r="B2202" s="3">
        <v>10271</v>
      </c>
      <c r="C2202" s="3">
        <v>35</v>
      </c>
      <c r="D2202" s="13">
        <v>47.62</v>
      </c>
      <c r="E2202" s="5">
        <v>38188</v>
      </c>
      <c r="F2202" s="2" t="s">
        <v>13</v>
      </c>
      <c r="G2202" s="2" t="s">
        <v>187</v>
      </c>
      <c r="H2202" s="3">
        <v>3</v>
      </c>
      <c r="I2202" s="6">
        <v>2004</v>
      </c>
      <c r="J2202" s="2" t="s">
        <v>15</v>
      </c>
      <c r="K2202" s="2" t="s">
        <v>104</v>
      </c>
      <c r="L2202" s="7">
        <f t="shared" si="102"/>
        <v>1666.7</v>
      </c>
      <c r="M2202" s="2" t="str">
        <f t="shared" si="103"/>
        <v>July</v>
      </c>
      <c r="N2202" s="6">
        <f t="shared" si="104"/>
        <v>2004</v>
      </c>
    </row>
    <row r="2203" spans="1:14">
      <c r="A2203" s="2" t="s">
        <v>58</v>
      </c>
      <c r="B2203" s="3">
        <v>10281</v>
      </c>
      <c r="C2203" s="3">
        <v>31</v>
      </c>
      <c r="D2203" s="13">
        <v>55.19</v>
      </c>
      <c r="E2203" s="5">
        <v>38218</v>
      </c>
      <c r="F2203" s="2" t="s">
        <v>13</v>
      </c>
      <c r="G2203" s="2" t="s">
        <v>187</v>
      </c>
      <c r="H2203" s="3">
        <v>3</v>
      </c>
      <c r="I2203" s="6">
        <v>2004</v>
      </c>
      <c r="J2203" s="2" t="s">
        <v>15</v>
      </c>
      <c r="K2203" s="2" t="s">
        <v>59</v>
      </c>
      <c r="L2203" s="7">
        <f t="shared" si="102"/>
        <v>1710.89</v>
      </c>
      <c r="M2203" s="2" t="str">
        <f t="shared" si="103"/>
        <v>August</v>
      </c>
      <c r="N2203" s="6">
        <f t="shared" si="104"/>
        <v>2004</v>
      </c>
    </row>
    <row r="2204" spans="1:14">
      <c r="A2204" s="2" t="s">
        <v>12</v>
      </c>
      <c r="B2204" s="3">
        <v>10292</v>
      </c>
      <c r="C2204" s="3">
        <v>50</v>
      </c>
      <c r="D2204" s="13">
        <v>46.53</v>
      </c>
      <c r="E2204" s="5">
        <v>38238</v>
      </c>
      <c r="F2204" s="2" t="s">
        <v>13</v>
      </c>
      <c r="G2204" s="2" t="s">
        <v>187</v>
      </c>
      <c r="H2204" s="3">
        <v>3</v>
      </c>
      <c r="I2204" s="6">
        <v>2004</v>
      </c>
      <c r="J2204" s="2" t="s">
        <v>15</v>
      </c>
      <c r="K2204" s="2" t="s">
        <v>16</v>
      </c>
      <c r="L2204" s="7">
        <f t="shared" si="102"/>
        <v>2326.5</v>
      </c>
      <c r="M2204" s="2" t="str">
        <f t="shared" si="103"/>
        <v>September</v>
      </c>
      <c r="N2204" s="6">
        <f t="shared" si="104"/>
        <v>2004</v>
      </c>
    </row>
    <row r="2205" spans="1:14">
      <c r="A2205" s="2" t="s">
        <v>52</v>
      </c>
      <c r="B2205" s="3">
        <v>10305</v>
      </c>
      <c r="C2205" s="3">
        <v>40</v>
      </c>
      <c r="D2205" s="13">
        <v>57.9</v>
      </c>
      <c r="E2205" s="5">
        <v>38273</v>
      </c>
      <c r="F2205" s="2" t="s">
        <v>13</v>
      </c>
      <c r="G2205" s="2" t="s">
        <v>187</v>
      </c>
      <c r="H2205" s="3">
        <v>4</v>
      </c>
      <c r="I2205" s="6">
        <v>2004</v>
      </c>
      <c r="J2205" s="2" t="s">
        <v>15</v>
      </c>
      <c r="K2205" s="2" t="s">
        <v>53</v>
      </c>
      <c r="L2205" s="7">
        <f t="shared" si="102"/>
        <v>2316</v>
      </c>
      <c r="M2205" s="2" t="str">
        <f t="shared" si="103"/>
        <v>October</v>
      </c>
      <c r="N2205" s="6">
        <f t="shared" si="104"/>
        <v>2004</v>
      </c>
    </row>
    <row r="2206" spans="1:14">
      <c r="A2206" s="2" t="s">
        <v>87</v>
      </c>
      <c r="B2206" s="3">
        <v>10313</v>
      </c>
      <c r="C2206" s="3">
        <v>38</v>
      </c>
      <c r="D2206" s="13">
        <v>45.45</v>
      </c>
      <c r="E2206" s="5">
        <v>38282</v>
      </c>
      <c r="F2206" s="2" t="s">
        <v>13</v>
      </c>
      <c r="G2206" s="2" t="s">
        <v>187</v>
      </c>
      <c r="H2206" s="3">
        <v>4</v>
      </c>
      <c r="I2206" s="6">
        <v>2004</v>
      </c>
      <c r="J2206" s="2" t="s">
        <v>15</v>
      </c>
      <c r="K2206" s="2" t="s">
        <v>88</v>
      </c>
      <c r="L2206" s="7">
        <f t="shared" si="102"/>
        <v>1727.1</v>
      </c>
      <c r="M2206" s="2" t="str">
        <f t="shared" si="103"/>
        <v>October</v>
      </c>
      <c r="N2206" s="6">
        <f t="shared" si="104"/>
        <v>2004</v>
      </c>
    </row>
    <row r="2207" spans="1:14">
      <c r="A2207" s="2" t="s">
        <v>56</v>
      </c>
      <c r="B2207" s="3">
        <v>10325</v>
      </c>
      <c r="C2207" s="3">
        <v>38</v>
      </c>
      <c r="D2207" s="13">
        <v>100</v>
      </c>
      <c r="E2207" s="5">
        <v>38296</v>
      </c>
      <c r="F2207" s="2" t="s">
        <v>13</v>
      </c>
      <c r="G2207" s="2" t="s">
        <v>187</v>
      </c>
      <c r="H2207" s="3">
        <v>4</v>
      </c>
      <c r="I2207" s="6">
        <v>2004</v>
      </c>
      <c r="J2207" s="2" t="s">
        <v>61</v>
      </c>
      <c r="K2207" s="2" t="s">
        <v>57</v>
      </c>
      <c r="L2207" s="7">
        <f t="shared" si="102"/>
        <v>3800</v>
      </c>
      <c r="M2207" s="2" t="str">
        <f t="shared" si="103"/>
        <v>November</v>
      </c>
      <c r="N2207" s="6">
        <f t="shared" si="104"/>
        <v>2004</v>
      </c>
    </row>
    <row r="2208" spans="1:14">
      <c r="A2208" s="2" t="s">
        <v>103</v>
      </c>
      <c r="B2208" s="3">
        <v>10335</v>
      </c>
      <c r="C2208" s="3">
        <v>40</v>
      </c>
      <c r="D2208" s="13">
        <v>60.6</v>
      </c>
      <c r="E2208" s="5">
        <v>38310</v>
      </c>
      <c r="F2208" s="2" t="s">
        <v>13</v>
      </c>
      <c r="G2208" s="2" t="s">
        <v>187</v>
      </c>
      <c r="H2208" s="3">
        <v>4</v>
      </c>
      <c r="I2208" s="6">
        <v>2004</v>
      </c>
      <c r="J2208" s="2" t="s">
        <v>15</v>
      </c>
      <c r="K2208" s="2" t="s">
        <v>104</v>
      </c>
      <c r="L2208" s="7">
        <f t="shared" si="102"/>
        <v>2424</v>
      </c>
      <c r="M2208" s="2" t="str">
        <f t="shared" si="103"/>
        <v>November</v>
      </c>
      <c r="N2208" s="6">
        <f t="shared" si="104"/>
        <v>2004</v>
      </c>
    </row>
    <row r="2209" spans="1:14">
      <c r="A2209" s="2" t="s">
        <v>177</v>
      </c>
      <c r="B2209" s="3">
        <v>10349</v>
      </c>
      <c r="C2209" s="3">
        <v>33</v>
      </c>
      <c r="D2209" s="13">
        <v>46.53</v>
      </c>
      <c r="E2209" s="5">
        <v>38322</v>
      </c>
      <c r="F2209" s="2" t="s">
        <v>13</v>
      </c>
      <c r="G2209" s="2" t="s">
        <v>187</v>
      </c>
      <c r="H2209" s="3">
        <v>4</v>
      </c>
      <c r="I2209" s="6">
        <v>2004</v>
      </c>
      <c r="J2209" s="2" t="s">
        <v>15</v>
      </c>
      <c r="K2209" s="2" t="s">
        <v>178</v>
      </c>
      <c r="L2209" s="7">
        <f t="shared" si="102"/>
        <v>1535.49</v>
      </c>
      <c r="M2209" s="2" t="str">
        <f t="shared" si="103"/>
        <v>December</v>
      </c>
      <c r="N2209" s="6">
        <f t="shared" si="104"/>
        <v>2004</v>
      </c>
    </row>
    <row r="2210" spans="1:14">
      <c r="A2210" s="2" t="s">
        <v>18</v>
      </c>
      <c r="B2210" s="3">
        <v>10359</v>
      </c>
      <c r="C2210" s="3">
        <v>36</v>
      </c>
      <c r="D2210" s="13">
        <v>100</v>
      </c>
      <c r="E2210" s="5">
        <v>38336</v>
      </c>
      <c r="F2210" s="2" t="s">
        <v>13</v>
      </c>
      <c r="G2210" s="2" t="s">
        <v>187</v>
      </c>
      <c r="H2210" s="3">
        <v>4</v>
      </c>
      <c r="I2210" s="6">
        <v>2004</v>
      </c>
      <c r="J2210" s="2" t="s">
        <v>22</v>
      </c>
      <c r="K2210" s="2" t="s">
        <v>19</v>
      </c>
      <c r="L2210" s="7">
        <f t="shared" si="102"/>
        <v>3600</v>
      </c>
      <c r="M2210" s="2" t="str">
        <f t="shared" si="103"/>
        <v>December</v>
      </c>
      <c r="N2210" s="6">
        <f t="shared" si="104"/>
        <v>2004</v>
      </c>
    </row>
    <row r="2211" spans="1:14">
      <c r="A2211" s="2" t="s">
        <v>103</v>
      </c>
      <c r="B2211" s="3">
        <v>10371</v>
      </c>
      <c r="C2211" s="3">
        <v>20</v>
      </c>
      <c r="D2211" s="13">
        <v>66.47</v>
      </c>
      <c r="E2211" s="5">
        <v>38375</v>
      </c>
      <c r="F2211" s="2" t="s">
        <v>13</v>
      </c>
      <c r="G2211" s="2" t="s">
        <v>187</v>
      </c>
      <c r="H2211" s="3">
        <v>1</v>
      </c>
      <c r="I2211" s="6">
        <v>2005</v>
      </c>
      <c r="J2211" s="2" t="s">
        <v>15</v>
      </c>
      <c r="K2211" s="2" t="s">
        <v>104</v>
      </c>
      <c r="L2211" s="7">
        <f t="shared" si="102"/>
        <v>1329.4</v>
      </c>
      <c r="M2211" s="2" t="str">
        <f t="shared" si="103"/>
        <v>January</v>
      </c>
      <c r="N2211" s="6">
        <f t="shared" si="104"/>
        <v>2005</v>
      </c>
    </row>
    <row r="2212" spans="1:14">
      <c r="A2212" s="2" t="s">
        <v>69</v>
      </c>
      <c r="B2212" s="3">
        <v>10383</v>
      </c>
      <c r="C2212" s="3">
        <v>32</v>
      </c>
      <c r="D2212" s="13">
        <v>53.18</v>
      </c>
      <c r="E2212" s="5">
        <v>38405</v>
      </c>
      <c r="F2212" s="2" t="s">
        <v>13</v>
      </c>
      <c r="G2212" s="2" t="s">
        <v>187</v>
      </c>
      <c r="H2212" s="3">
        <v>1</v>
      </c>
      <c r="I2212" s="6">
        <v>2005</v>
      </c>
      <c r="J2212" s="2" t="s">
        <v>15</v>
      </c>
      <c r="K2212" s="2" t="s">
        <v>71</v>
      </c>
      <c r="L2212" s="7">
        <f t="shared" si="102"/>
        <v>1701.76</v>
      </c>
      <c r="M2212" s="2" t="str">
        <f t="shared" si="103"/>
        <v>February</v>
      </c>
      <c r="N2212" s="6">
        <f t="shared" si="104"/>
        <v>2005</v>
      </c>
    </row>
    <row r="2213" spans="1:14">
      <c r="A2213" s="2" t="s">
        <v>69</v>
      </c>
      <c r="B2213" s="3">
        <v>10394</v>
      </c>
      <c r="C2213" s="3">
        <v>36</v>
      </c>
      <c r="D2213" s="13">
        <v>62.77</v>
      </c>
      <c r="E2213" s="5">
        <v>38426</v>
      </c>
      <c r="F2213" s="2" t="s">
        <v>13</v>
      </c>
      <c r="G2213" s="2" t="s">
        <v>187</v>
      </c>
      <c r="H2213" s="3">
        <v>1</v>
      </c>
      <c r="I2213" s="6">
        <v>2005</v>
      </c>
      <c r="J2213" s="2" t="s">
        <v>15</v>
      </c>
      <c r="K2213" s="2" t="s">
        <v>71</v>
      </c>
      <c r="L2213" s="7">
        <f t="shared" si="102"/>
        <v>2259.72</v>
      </c>
      <c r="M2213" s="2" t="str">
        <f t="shared" si="103"/>
        <v>March</v>
      </c>
      <c r="N2213" s="6">
        <f t="shared" si="104"/>
        <v>2005</v>
      </c>
    </row>
    <row r="2214" spans="1:14">
      <c r="A2214" s="2" t="s">
        <v>69</v>
      </c>
      <c r="B2214" s="3">
        <v>10412</v>
      </c>
      <c r="C2214" s="3">
        <v>19</v>
      </c>
      <c r="D2214" s="13">
        <v>48.7</v>
      </c>
      <c r="E2214" s="5">
        <v>38475</v>
      </c>
      <c r="F2214" s="2" t="s">
        <v>13</v>
      </c>
      <c r="G2214" s="2" t="s">
        <v>187</v>
      </c>
      <c r="H2214" s="3">
        <v>2</v>
      </c>
      <c r="I2214" s="6">
        <v>2005</v>
      </c>
      <c r="J2214" s="2" t="s">
        <v>15</v>
      </c>
      <c r="K2214" s="2" t="s">
        <v>71</v>
      </c>
      <c r="L2214" s="7">
        <f t="shared" si="102"/>
        <v>925.3</v>
      </c>
      <c r="M2214" s="2" t="str">
        <f t="shared" si="103"/>
        <v>May</v>
      </c>
      <c r="N2214" s="6">
        <f t="shared" si="104"/>
        <v>2005</v>
      </c>
    </row>
    <row r="2215" spans="1:14">
      <c r="A2215" s="2" t="s">
        <v>50</v>
      </c>
      <c r="B2215" s="3">
        <v>10425</v>
      </c>
      <c r="C2215" s="3">
        <v>11</v>
      </c>
      <c r="D2215" s="13">
        <v>43.83</v>
      </c>
      <c r="E2215" s="5">
        <v>38503</v>
      </c>
      <c r="F2215" s="2" t="s">
        <v>113</v>
      </c>
      <c r="G2215" s="2" t="s">
        <v>187</v>
      </c>
      <c r="H2215" s="3">
        <v>2</v>
      </c>
      <c r="I2215" s="6">
        <v>2005</v>
      </c>
      <c r="J2215" s="2" t="s">
        <v>15</v>
      </c>
      <c r="K2215" s="2" t="s">
        <v>51</v>
      </c>
      <c r="L2215" s="7">
        <f t="shared" si="102"/>
        <v>482.13</v>
      </c>
      <c r="M2215" s="2" t="str">
        <f t="shared" si="103"/>
        <v>May</v>
      </c>
      <c r="N2215" s="6">
        <f t="shared" si="104"/>
        <v>2005</v>
      </c>
    </row>
    <row r="2216" spans="1:14">
      <c r="A2216" s="2" t="s">
        <v>69</v>
      </c>
      <c r="B2216" s="3">
        <v>10104</v>
      </c>
      <c r="C2216" s="3">
        <v>49</v>
      </c>
      <c r="D2216" s="13">
        <v>65.87</v>
      </c>
      <c r="E2216" s="5">
        <v>37652</v>
      </c>
      <c r="F2216" s="2" t="s">
        <v>13</v>
      </c>
      <c r="G2216" s="2" t="s">
        <v>217</v>
      </c>
      <c r="H2216" s="3">
        <v>1</v>
      </c>
      <c r="I2216" s="6">
        <v>2003</v>
      </c>
      <c r="J2216" s="2" t="s">
        <v>22</v>
      </c>
      <c r="K2216" s="2" t="s">
        <v>71</v>
      </c>
      <c r="L2216" s="7">
        <f t="shared" si="102"/>
        <v>3227.63</v>
      </c>
      <c r="M2216" s="2" t="str">
        <f t="shared" si="103"/>
        <v>January</v>
      </c>
      <c r="N2216" s="6">
        <f t="shared" si="104"/>
        <v>2003</v>
      </c>
    </row>
    <row r="2217" spans="1:14">
      <c r="A2217" s="2" t="s">
        <v>212</v>
      </c>
      <c r="B2217" s="3">
        <v>10116</v>
      </c>
      <c r="C2217" s="3">
        <v>27</v>
      </c>
      <c r="D2217" s="13">
        <v>63.38</v>
      </c>
      <c r="E2217" s="5">
        <v>37722</v>
      </c>
      <c r="F2217" s="2" t="s">
        <v>13</v>
      </c>
      <c r="G2217" s="2" t="s">
        <v>217</v>
      </c>
      <c r="H2217" s="3">
        <v>2</v>
      </c>
      <c r="I2217" s="6">
        <v>2003</v>
      </c>
      <c r="J2217" s="2" t="s">
        <v>15</v>
      </c>
      <c r="K2217" s="2" t="s">
        <v>213</v>
      </c>
      <c r="L2217" s="7">
        <f t="shared" si="102"/>
        <v>1711.26</v>
      </c>
      <c r="M2217" s="2" t="str">
        <f t="shared" si="103"/>
        <v>April</v>
      </c>
      <c r="N2217" s="6">
        <f t="shared" si="104"/>
        <v>2003</v>
      </c>
    </row>
    <row r="2218" spans="1:14">
      <c r="A2218" s="2" t="s">
        <v>177</v>
      </c>
      <c r="B2218" s="3">
        <v>10127</v>
      </c>
      <c r="C2218" s="3">
        <v>29</v>
      </c>
      <c r="D2218" s="13">
        <v>70.84</v>
      </c>
      <c r="E2218" s="5">
        <v>37775</v>
      </c>
      <c r="F2218" s="2" t="s">
        <v>13</v>
      </c>
      <c r="G2218" s="2" t="s">
        <v>217</v>
      </c>
      <c r="H2218" s="3">
        <v>2</v>
      </c>
      <c r="I2218" s="6">
        <v>2003</v>
      </c>
      <c r="J2218" s="2" t="s">
        <v>15</v>
      </c>
      <c r="K2218" s="2" t="s">
        <v>178</v>
      </c>
      <c r="L2218" s="7">
        <f t="shared" si="102"/>
        <v>2054.36</v>
      </c>
      <c r="M2218" s="2" t="str">
        <f t="shared" si="103"/>
        <v>June</v>
      </c>
      <c r="N2218" s="6">
        <f t="shared" si="104"/>
        <v>2003</v>
      </c>
    </row>
    <row r="2219" spans="1:14">
      <c r="A2219" s="2" t="s">
        <v>103</v>
      </c>
      <c r="B2219" s="3">
        <v>10142</v>
      </c>
      <c r="C2219" s="3">
        <v>42</v>
      </c>
      <c r="D2219" s="13">
        <v>74.57</v>
      </c>
      <c r="E2219" s="5">
        <v>37841</v>
      </c>
      <c r="F2219" s="2" t="s">
        <v>13</v>
      </c>
      <c r="G2219" s="2" t="s">
        <v>217</v>
      </c>
      <c r="H2219" s="3">
        <v>3</v>
      </c>
      <c r="I2219" s="6">
        <v>2003</v>
      </c>
      <c r="J2219" s="2" t="s">
        <v>22</v>
      </c>
      <c r="K2219" s="2" t="s">
        <v>104</v>
      </c>
      <c r="L2219" s="7">
        <f t="shared" si="102"/>
        <v>3131.94</v>
      </c>
      <c r="M2219" s="2" t="str">
        <f t="shared" si="103"/>
        <v>August</v>
      </c>
      <c r="N2219" s="6">
        <f t="shared" si="104"/>
        <v>2003</v>
      </c>
    </row>
    <row r="2220" spans="1:14">
      <c r="A2220" s="2" t="s">
        <v>81</v>
      </c>
      <c r="B2220" s="3">
        <v>10152</v>
      </c>
      <c r="C2220" s="3">
        <v>33</v>
      </c>
      <c r="D2220" s="13">
        <v>50.95</v>
      </c>
      <c r="E2220" s="5">
        <v>37889</v>
      </c>
      <c r="F2220" s="2" t="s">
        <v>13</v>
      </c>
      <c r="G2220" s="2" t="s">
        <v>217</v>
      </c>
      <c r="H2220" s="3">
        <v>3</v>
      </c>
      <c r="I2220" s="6">
        <v>2003</v>
      </c>
      <c r="J2220" s="2" t="s">
        <v>15</v>
      </c>
      <c r="K2220" s="2" t="s">
        <v>82</v>
      </c>
      <c r="L2220" s="7">
        <f t="shared" si="102"/>
        <v>1681.35</v>
      </c>
      <c r="M2220" s="2" t="str">
        <f t="shared" si="103"/>
        <v>September</v>
      </c>
      <c r="N2220" s="6">
        <f t="shared" si="104"/>
        <v>2003</v>
      </c>
    </row>
    <row r="2221" spans="1:14">
      <c r="A2221" s="2" t="s">
        <v>77</v>
      </c>
      <c r="B2221" s="3">
        <v>10165</v>
      </c>
      <c r="C2221" s="3">
        <v>44</v>
      </c>
      <c r="D2221" s="13">
        <v>53.44</v>
      </c>
      <c r="E2221" s="5">
        <v>37916</v>
      </c>
      <c r="F2221" s="2" t="s">
        <v>13</v>
      </c>
      <c r="G2221" s="2" t="s">
        <v>217</v>
      </c>
      <c r="H2221" s="3">
        <v>4</v>
      </c>
      <c r="I2221" s="6">
        <v>2003</v>
      </c>
      <c r="J2221" s="2" t="s">
        <v>15</v>
      </c>
      <c r="K2221" s="2" t="s">
        <v>78</v>
      </c>
      <c r="L2221" s="7">
        <f t="shared" si="102"/>
        <v>2351.36</v>
      </c>
      <c r="M2221" s="2" t="str">
        <f t="shared" si="103"/>
        <v>October</v>
      </c>
      <c r="N2221" s="6">
        <f t="shared" si="104"/>
        <v>2003</v>
      </c>
    </row>
    <row r="2222" spans="1:14">
      <c r="A2222" s="2" t="s">
        <v>169</v>
      </c>
      <c r="B2222" s="3">
        <v>10176</v>
      </c>
      <c r="C2222" s="3">
        <v>22</v>
      </c>
      <c r="D2222" s="13">
        <v>64</v>
      </c>
      <c r="E2222" s="5">
        <v>37931</v>
      </c>
      <c r="F2222" s="2" t="s">
        <v>13</v>
      </c>
      <c r="G2222" s="2" t="s">
        <v>217</v>
      </c>
      <c r="H2222" s="3">
        <v>4</v>
      </c>
      <c r="I2222" s="6">
        <v>2003</v>
      </c>
      <c r="J2222" s="2" t="s">
        <v>15</v>
      </c>
      <c r="K2222" s="2" t="s">
        <v>170</v>
      </c>
      <c r="L2222" s="7">
        <f t="shared" si="102"/>
        <v>1408</v>
      </c>
      <c r="M2222" s="2" t="str">
        <f t="shared" si="103"/>
        <v>November</v>
      </c>
      <c r="N2222" s="6">
        <f t="shared" si="104"/>
        <v>2003</v>
      </c>
    </row>
    <row r="2223" spans="1:14">
      <c r="A2223" s="2" t="s">
        <v>192</v>
      </c>
      <c r="B2223" s="3">
        <v>10184</v>
      </c>
      <c r="C2223" s="3">
        <v>48</v>
      </c>
      <c r="D2223" s="13">
        <v>50.95</v>
      </c>
      <c r="E2223" s="5">
        <v>37939</v>
      </c>
      <c r="F2223" s="2" t="s">
        <v>13</v>
      </c>
      <c r="G2223" s="2" t="s">
        <v>217</v>
      </c>
      <c r="H2223" s="3">
        <v>4</v>
      </c>
      <c r="I2223" s="6">
        <v>2003</v>
      </c>
      <c r="J2223" s="2" t="s">
        <v>15</v>
      </c>
      <c r="K2223" s="2" t="s">
        <v>193</v>
      </c>
      <c r="L2223" s="7">
        <f t="shared" si="102"/>
        <v>2445.6</v>
      </c>
      <c r="M2223" s="2" t="str">
        <f t="shared" si="103"/>
        <v>November</v>
      </c>
      <c r="N2223" s="6">
        <f t="shared" si="104"/>
        <v>2003</v>
      </c>
    </row>
    <row r="2224" spans="1:14">
      <c r="A2224" s="2" t="s">
        <v>120</v>
      </c>
      <c r="B2224" s="3">
        <v>10195</v>
      </c>
      <c r="C2224" s="3">
        <v>33</v>
      </c>
      <c r="D2224" s="13">
        <v>54.68</v>
      </c>
      <c r="E2224" s="5">
        <v>37950</v>
      </c>
      <c r="F2224" s="2" t="s">
        <v>13</v>
      </c>
      <c r="G2224" s="2" t="s">
        <v>217</v>
      </c>
      <c r="H2224" s="3">
        <v>4</v>
      </c>
      <c r="I2224" s="6">
        <v>2003</v>
      </c>
      <c r="J2224" s="2" t="s">
        <v>15</v>
      </c>
      <c r="K2224" s="2" t="s">
        <v>121</v>
      </c>
      <c r="L2224" s="7">
        <f t="shared" si="102"/>
        <v>1804.44</v>
      </c>
      <c r="M2224" s="2" t="str">
        <f t="shared" si="103"/>
        <v>November</v>
      </c>
      <c r="N2224" s="6">
        <f t="shared" si="104"/>
        <v>2003</v>
      </c>
    </row>
    <row r="2225" spans="1:14">
      <c r="A2225" s="2" t="s">
        <v>157</v>
      </c>
      <c r="B2225" s="3">
        <v>10207</v>
      </c>
      <c r="C2225" s="3">
        <v>45</v>
      </c>
      <c r="D2225" s="13">
        <v>56.55</v>
      </c>
      <c r="E2225" s="5">
        <v>37964</v>
      </c>
      <c r="F2225" s="2" t="s">
        <v>13</v>
      </c>
      <c r="G2225" s="2" t="s">
        <v>217</v>
      </c>
      <c r="H2225" s="3">
        <v>4</v>
      </c>
      <c r="I2225" s="6">
        <v>2003</v>
      </c>
      <c r="J2225" s="2" t="s">
        <v>15</v>
      </c>
      <c r="K2225" s="2" t="s">
        <v>158</v>
      </c>
      <c r="L2225" s="7">
        <f t="shared" si="102"/>
        <v>2544.75</v>
      </c>
      <c r="M2225" s="2" t="str">
        <f t="shared" si="103"/>
        <v>December</v>
      </c>
      <c r="N2225" s="6">
        <f t="shared" si="104"/>
        <v>2003</v>
      </c>
    </row>
    <row r="2226" spans="1:14">
      <c r="A2226" s="2" t="s">
        <v>179</v>
      </c>
      <c r="B2226" s="3">
        <v>10220</v>
      </c>
      <c r="C2226" s="3">
        <v>20</v>
      </c>
      <c r="D2226" s="13">
        <v>52.82</v>
      </c>
      <c r="E2226" s="5">
        <v>38029</v>
      </c>
      <c r="F2226" s="2" t="s">
        <v>13</v>
      </c>
      <c r="G2226" s="2" t="s">
        <v>217</v>
      </c>
      <c r="H2226" s="3">
        <v>1</v>
      </c>
      <c r="I2226" s="6">
        <v>2004</v>
      </c>
      <c r="J2226" s="2" t="s">
        <v>15</v>
      </c>
      <c r="K2226" s="2" t="s">
        <v>180</v>
      </c>
      <c r="L2226" s="7">
        <f t="shared" si="102"/>
        <v>1056.4</v>
      </c>
      <c r="M2226" s="2" t="str">
        <f t="shared" si="103"/>
        <v>February</v>
      </c>
      <c r="N2226" s="6">
        <f t="shared" si="104"/>
        <v>2004</v>
      </c>
    </row>
    <row r="2227" spans="1:14">
      <c r="A2227" s="2" t="s">
        <v>173</v>
      </c>
      <c r="B2227" s="3">
        <v>10230</v>
      </c>
      <c r="C2227" s="3">
        <v>46</v>
      </c>
      <c r="D2227" s="13">
        <v>60.9</v>
      </c>
      <c r="E2227" s="5">
        <v>38061</v>
      </c>
      <c r="F2227" s="2" t="s">
        <v>13</v>
      </c>
      <c r="G2227" s="2" t="s">
        <v>217</v>
      </c>
      <c r="H2227" s="3">
        <v>1</v>
      </c>
      <c r="I2227" s="6">
        <v>2004</v>
      </c>
      <c r="J2227" s="2" t="s">
        <v>15</v>
      </c>
      <c r="K2227" s="2" t="s">
        <v>174</v>
      </c>
      <c r="L2227" s="7">
        <f t="shared" si="102"/>
        <v>2801.4</v>
      </c>
      <c r="M2227" s="2" t="str">
        <f t="shared" si="103"/>
        <v>March</v>
      </c>
      <c r="N2227" s="6">
        <f t="shared" si="104"/>
        <v>2004</v>
      </c>
    </row>
    <row r="2228" spans="1:14">
      <c r="A2228" s="2" t="s">
        <v>175</v>
      </c>
      <c r="B2228" s="3">
        <v>10247</v>
      </c>
      <c r="C2228" s="3">
        <v>40</v>
      </c>
      <c r="D2228" s="13">
        <v>49.71</v>
      </c>
      <c r="E2228" s="5">
        <v>38112</v>
      </c>
      <c r="F2228" s="2" t="s">
        <v>13</v>
      </c>
      <c r="G2228" s="2" t="s">
        <v>217</v>
      </c>
      <c r="H2228" s="3">
        <v>2</v>
      </c>
      <c r="I2228" s="6">
        <v>2004</v>
      </c>
      <c r="J2228" s="2" t="s">
        <v>15</v>
      </c>
      <c r="K2228" s="2" t="s">
        <v>176</v>
      </c>
      <c r="L2228" s="7">
        <f t="shared" si="102"/>
        <v>1988.4</v>
      </c>
      <c r="M2228" s="2" t="str">
        <f t="shared" si="103"/>
        <v>May</v>
      </c>
      <c r="N2228" s="6">
        <f t="shared" si="104"/>
        <v>2004</v>
      </c>
    </row>
    <row r="2229" spans="1:14">
      <c r="A2229" s="2" t="s">
        <v>58</v>
      </c>
      <c r="B2229" s="3">
        <v>10272</v>
      </c>
      <c r="C2229" s="3">
        <v>45</v>
      </c>
      <c r="D2229" s="13">
        <v>64.63</v>
      </c>
      <c r="E2229" s="5">
        <v>38188</v>
      </c>
      <c r="F2229" s="2" t="s">
        <v>13</v>
      </c>
      <c r="G2229" s="2" t="s">
        <v>217</v>
      </c>
      <c r="H2229" s="3">
        <v>3</v>
      </c>
      <c r="I2229" s="6">
        <v>2004</v>
      </c>
      <c r="J2229" s="2" t="s">
        <v>15</v>
      </c>
      <c r="K2229" s="2" t="s">
        <v>59</v>
      </c>
      <c r="L2229" s="7">
        <f t="shared" si="102"/>
        <v>2908.35</v>
      </c>
      <c r="M2229" s="2" t="str">
        <f t="shared" si="103"/>
        <v>July</v>
      </c>
      <c r="N2229" s="6">
        <f t="shared" si="104"/>
        <v>2004</v>
      </c>
    </row>
    <row r="2230" spans="1:14">
      <c r="A2230" s="2" t="s">
        <v>103</v>
      </c>
      <c r="B2230" s="3">
        <v>10282</v>
      </c>
      <c r="C2230" s="3">
        <v>36</v>
      </c>
      <c r="D2230" s="13">
        <v>59.65</v>
      </c>
      <c r="E2230" s="5">
        <v>38219</v>
      </c>
      <c r="F2230" s="2" t="s">
        <v>13</v>
      </c>
      <c r="G2230" s="2" t="s">
        <v>217</v>
      </c>
      <c r="H2230" s="3">
        <v>3</v>
      </c>
      <c r="I2230" s="6">
        <v>2004</v>
      </c>
      <c r="J2230" s="2" t="s">
        <v>15</v>
      </c>
      <c r="K2230" s="2" t="s">
        <v>104</v>
      </c>
      <c r="L2230" s="7">
        <f t="shared" si="102"/>
        <v>2147.4</v>
      </c>
      <c r="M2230" s="2" t="str">
        <f t="shared" si="103"/>
        <v>August</v>
      </c>
      <c r="N2230" s="6">
        <f t="shared" si="104"/>
        <v>2004</v>
      </c>
    </row>
    <row r="2231" spans="1:14">
      <c r="A2231" s="2" t="s">
        <v>12</v>
      </c>
      <c r="B2231" s="3">
        <v>10292</v>
      </c>
      <c r="C2231" s="3">
        <v>31</v>
      </c>
      <c r="D2231" s="13">
        <v>67.73</v>
      </c>
      <c r="E2231" s="5">
        <v>38238</v>
      </c>
      <c r="F2231" s="2" t="s">
        <v>13</v>
      </c>
      <c r="G2231" s="2" t="s">
        <v>217</v>
      </c>
      <c r="H2231" s="3">
        <v>3</v>
      </c>
      <c r="I2231" s="6">
        <v>2004</v>
      </c>
      <c r="J2231" s="2" t="s">
        <v>15</v>
      </c>
      <c r="K2231" s="2" t="s">
        <v>16</v>
      </c>
      <c r="L2231" s="7">
        <f t="shared" si="102"/>
        <v>2099.63</v>
      </c>
      <c r="M2231" s="2" t="str">
        <f t="shared" si="103"/>
        <v>September</v>
      </c>
      <c r="N2231" s="6">
        <f t="shared" si="104"/>
        <v>2004</v>
      </c>
    </row>
    <row r="2232" spans="1:14">
      <c r="A2232" s="2" t="s">
        <v>183</v>
      </c>
      <c r="B2232" s="3">
        <v>10306</v>
      </c>
      <c r="C2232" s="3">
        <v>46</v>
      </c>
      <c r="D2232" s="13">
        <v>50.33</v>
      </c>
      <c r="E2232" s="5">
        <v>38274</v>
      </c>
      <c r="F2232" s="2" t="s">
        <v>13</v>
      </c>
      <c r="G2232" s="2" t="s">
        <v>217</v>
      </c>
      <c r="H2232" s="3">
        <v>4</v>
      </c>
      <c r="I2232" s="6">
        <v>2004</v>
      </c>
      <c r="J2232" s="2" t="s">
        <v>15</v>
      </c>
      <c r="K2232" s="2" t="s">
        <v>184</v>
      </c>
      <c r="L2232" s="7">
        <f t="shared" si="102"/>
        <v>2315.18</v>
      </c>
      <c r="M2232" s="2" t="str">
        <f t="shared" si="103"/>
        <v>October</v>
      </c>
      <c r="N2232" s="6">
        <f t="shared" si="104"/>
        <v>2004</v>
      </c>
    </row>
    <row r="2233" spans="1:14">
      <c r="A2233" s="2" t="s">
        <v>185</v>
      </c>
      <c r="B2233" s="3">
        <v>10314</v>
      </c>
      <c r="C2233" s="3">
        <v>35</v>
      </c>
      <c r="D2233" s="13">
        <v>66.49</v>
      </c>
      <c r="E2233" s="5">
        <v>38282</v>
      </c>
      <c r="F2233" s="2" t="s">
        <v>13</v>
      </c>
      <c r="G2233" s="2" t="s">
        <v>217</v>
      </c>
      <c r="H2233" s="3">
        <v>4</v>
      </c>
      <c r="I2233" s="6">
        <v>2004</v>
      </c>
      <c r="J2233" s="2" t="s">
        <v>15</v>
      </c>
      <c r="K2233" s="2" t="s">
        <v>186</v>
      </c>
      <c r="L2233" s="7">
        <f t="shared" si="102"/>
        <v>2327.15</v>
      </c>
      <c r="M2233" s="2" t="str">
        <f t="shared" si="103"/>
        <v>October</v>
      </c>
      <c r="N2233" s="6">
        <f t="shared" si="104"/>
        <v>2004</v>
      </c>
    </row>
    <row r="2234" spans="1:14">
      <c r="A2234" s="2" t="s">
        <v>56</v>
      </c>
      <c r="B2234" s="3">
        <v>10325</v>
      </c>
      <c r="C2234" s="3">
        <v>28</v>
      </c>
      <c r="D2234" s="13">
        <v>100</v>
      </c>
      <c r="E2234" s="5">
        <v>38296</v>
      </c>
      <c r="F2234" s="2" t="s">
        <v>13</v>
      </c>
      <c r="G2234" s="2" t="s">
        <v>217</v>
      </c>
      <c r="H2234" s="3">
        <v>4</v>
      </c>
      <c r="I2234" s="6">
        <v>2004</v>
      </c>
      <c r="J2234" s="2" t="s">
        <v>22</v>
      </c>
      <c r="K2234" s="2" t="s">
        <v>57</v>
      </c>
      <c r="L2234" s="7">
        <f t="shared" si="102"/>
        <v>2800</v>
      </c>
      <c r="M2234" s="2" t="str">
        <f t="shared" si="103"/>
        <v>November</v>
      </c>
      <c r="N2234" s="6">
        <f t="shared" si="104"/>
        <v>2004</v>
      </c>
    </row>
    <row r="2235" spans="1:14">
      <c r="A2235" s="2" t="s">
        <v>152</v>
      </c>
      <c r="B2235" s="3">
        <v>10336</v>
      </c>
      <c r="C2235" s="3">
        <v>31</v>
      </c>
      <c r="D2235" s="13">
        <v>84.71</v>
      </c>
      <c r="E2235" s="5">
        <v>38311</v>
      </c>
      <c r="F2235" s="2" t="s">
        <v>13</v>
      </c>
      <c r="G2235" s="2" t="s">
        <v>217</v>
      </c>
      <c r="H2235" s="3">
        <v>4</v>
      </c>
      <c r="I2235" s="6">
        <v>2004</v>
      </c>
      <c r="J2235" s="2" t="s">
        <v>15</v>
      </c>
      <c r="K2235" s="2" t="s">
        <v>153</v>
      </c>
      <c r="L2235" s="7">
        <f t="shared" si="102"/>
        <v>2626.01</v>
      </c>
      <c r="M2235" s="2" t="str">
        <f t="shared" si="103"/>
        <v>November</v>
      </c>
      <c r="N2235" s="6">
        <f t="shared" si="104"/>
        <v>2004</v>
      </c>
    </row>
    <row r="2236" spans="1:14">
      <c r="A2236" s="2" t="s">
        <v>69</v>
      </c>
      <c r="B2236" s="3">
        <v>10350</v>
      </c>
      <c r="C2236" s="3">
        <v>27</v>
      </c>
      <c r="D2236" s="13">
        <v>100</v>
      </c>
      <c r="E2236" s="5">
        <v>38323</v>
      </c>
      <c r="F2236" s="2" t="s">
        <v>13</v>
      </c>
      <c r="G2236" s="2" t="s">
        <v>217</v>
      </c>
      <c r="H2236" s="3">
        <v>4</v>
      </c>
      <c r="I2236" s="6">
        <v>2004</v>
      </c>
      <c r="J2236" s="2" t="s">
        <v>22</v>
      </c>
      <c r="K2236" s="2" t="s">
        <v>71</v>
      </c>
      <c r="L2236" s="7">
        <f t="shared" si="102"/>
        <v>2700</v>
      </c>
      <c r="M2236" s="2" t="str">
        <f t="shared" si="103"/>
        <v>December</v>
      </c>
      <c r="N2236" s="6">
        <f t="shared" si="104"/>
        <v>2004</v>
      </c>
    </row>
    <row r="2237" spans="1:14">
      <c r="A2237" s="2" t="s">
        <v>18</v>
      </c>
      <c r="B2237" s="3">
        <v>10359</v>
      </c>
      <c r="C2237" s="3">
        <v>22</v>
      </c>
      <c r="D2237" s="13">
        <v>100</v>
      </c>
      <c r="E2237" s="5">
        <v>38336</v>
      </c>
      <c r="F2237" s="2" t="s">
        <v>13</v>
      </c>
      <c r="G2237" s="2" t="s">
        <v>217</v>
      </c>
      <c r="H2237" s="3">
        <v>4</v>
      </c>
      <c r="I2237" s="6">
        <v>2004</v>
      </c>
      <c r="J2237" s="2" t="s">
        <v>22</v>
      </c>
      <c r="K2237" s="2" t="s">
        <v>19</v>
      </c>
      <c r="L2237" s="7">
        <f t="shared" si="102"/>
        <v>2200</v>
      </c>
      <c r="M2237" s="2" t="str">
        <f t="shared" si="103"/>
        <v>December</v>
      </c>
      <c r="N2237" s="6">
        <f t="shared" si="104"/>
        <v>2004</v>
      </c>
    </row>
    <row r="2238" spans="1:14">
      <c r="A2238" s="2" t="s">
        <v>103</v>
      </c>
      <c r="B2238" s="3">
        <v>10371</v>
      </c>
      <c r="C2238" s="3">
        <v>30</v>
      </c>
      <c r="D2238" s="13">
        <v>99.55</v>
      </c>
      <c r="E2238" s="5">
        <v>38375</v>
      </c>
      <c r="F2238" s="2" t="s">
        <v>13</v>
      </c>
      <c r="G2238" s="2" t="s">
        <v>217</v>
      </c>
      <c r="H2238" s="3">
        <v>1</v>
      </c>
      <c r="I2238" s="6">
        <v>2005</v>
      </c>
      <c r="J2238" s="2" t="s">
        <v>15</v>
      </c>
      <c r="K2238" s="2" t="s">
        <v>104</v>
      </c>
      <c r="L2238" s="7">
        <f t="shared" si="102"/>
        <v>2986.5</v>
      </c>
      <c r="M2238" s="2" t="str">
        <f t="shared" si="103"/>
        <v>January</v>
      </c>
      <c r="N2238" s="6">
        <f t="shared" si="104"/>
        <v>2005</v>
      </c>
    </row>
    <row r="2239" spans="1:14">
      <c r="A2239" s="2" t="s">
        <v>69</v>
      </c>
      <c r="B2239" s="3">
        <v>10383</v>
      </c>
      <c r="C2239" s="3">
        <v>44</v>
      </c>
      <c r="D2239" s="13">
        <v>36.07</v>
      </c>
      <c r="E2239" s="5">
        <v>38405</v>
      </c>
      <c r="F2239" s="2" t="s">
        <v>13</v>
      </c>
      <c r="G2239" s="2" t="s">
        <v>217</v>
      </c>
      <c r="H2239" s="3">
        <v>1</v>
      </c>
      <c r="I2239" s="6">
        <v>2005</v>
      </c>
      <c r="J2239" s="2" t="s">
        <v>15</v>
      </c>
      <c r="K2239" s="2" t="s">
        <v>71</v>
      </c>
      <c r="L2239" s="7">
        <f t="shared" si="102"/>
        <v>1587.08</v>
      </c>
      <c r="M2239" s="2" t="str">
        <f t="shared" si="103"/>
        <v>February</v>
      </c>
      <c r="N2239" s="6">
        <f t="shared" si="104"/>
        <v>2005</v>
      </c>
    </row>
    <row r="2240" spans="1:14">
      <c r="A2240" s="2" t="s">
        <v>69</v>
      </c>
      <c r="B2240" s="3">
        <v>10394</v>
      </c>
      <c r="C2240" s="3">
        <v>30</v>
      </c>
      <c r="D2240" s="13">
        <v>60.28</v>
      </c>
      <c r="E2240" s="5">
        <v>38426</v>
      </c>
      <c r="F2240" s="2" t="s">
        <v>13</v>
      </c>
      <c r="G2240" s="2" t="s">
        <v>217</v>
      </c>
      <c r="H2240" s="3">
        <v>1</v>
      </c>
      <c r="I2240" s="6">
        <v>2005</v>
      </c>
      <c r="J2240" s="2" t="s">
        <v>15</v>
      </c>
      <c r="K2240" s="2" t="s">
        <v>71</v>
      </c>
      <c r="L2240" s="7">
        <f t="shared" si="102"/>
        <v>1808.4</v>
      </c>
      <c r="M2240" s="2" t="str">
        <f t="shared" si="103"/>
        <v>March</v>
      </c>
      <c r="N2240" s="6">
        <f t="shared" si="104"/>
        <v>2005</v>
      </c>
    </row>
    <row r="2241" spans="1:14">
      <c r="A2241" s="2" t="s">
        <v>48</v>
      </c>
      <c r="B2241" s="3">
        <v>10413</v>
      </c>
      <c r="C2241" s="3">
        <v>24</v>
      </c>
      <c r="D2241" s="13">
        <v>49.71</v>
      </c>
      <c r="E2241" s="5">
        <v>38477</v>
      </c>
      <c r="F2241" s="2" t="s">
        <v>13</v>
      </c>
      <c r="G2241" s="2" t="s">
        <v>217</v>
      </c>
      <c r="H2241" s="3">
        <v>2</v>
      </c>
      <c r="I2241" s="6">
        <v>2005</v>
      </c>
      <c r="J2241" s="2" t="s">
        <v>15</v>
      </c>
      <c r="K2241" s="2" t="s">
        <v>49</v>
      </c>
      <c r="L2241" s="7">
        <f t="shared" si="102"/>
        <v>1193.04</v>
      </c>
      <c r="M2241" s="2" t="str">
        <f t="shared" si="103"/>
        <v>May</v>
      </c>
      <c r="N2241" s="6">
        <f t="shared" si="104"/>
        <v>2005</v>
      </c>
    </row>
    <row r="2242" spans="1:14">
      <c r="A2242" s="2" t="s">
        <v>56</v>
      </c>
      <c r="B2242" s="3">
        <v>10103</v>
      </c>
      <c r="C2242" s="3">
        <v>45</v>
      </c>
      <c r="D2242" s="13">
        <v>75.63</v>
      </c>
      <c r="E2242" s="5">
        <v>37650</v>
      </c>
      <c r="F2242" s="2" t="s">
        <v>13</v>
      </c>
      <c r="G2242" s="2" t="s">
        <v>187</v>
      </c>
      <c r="H2242" s="3">
        <v>1</v>
      </c>
      <c r="I2242" s="6">
        <v>2003</v>
      </c>
      <c r="J2242" s="2" t="s">
        <v>22</v>
      </c>
      <c r="K2242" s="2" t="s">
        <v>57</v>
      </c>
      <c r="L2242" s="7">
        <f t="shared" ref="L2242:L2305" si="105">PRODUCT(C2242,D2242)</f>
        <v>3403.35</v>
      </c>
      <c r="M2242" s="2" t="str">
        <f t="shared" ref="M2242:M2305" si="106">TEXT(E2242,"MMMM")</f>
        <v>January</v>
      </c>
      <c r="N2242" s="6">
        <f t="shared" ref="N2242:N2305" si="107">YEAR(E2242)</f>
        <v>2003</v>
      </c>
    </row>
    <row r="2243" spans="1:14">
      <c r="A2243" s="2" t="s">
        <v>103</v>
      </c>
      <c r="B2243" s="3">
        <v>10113</v>
      </c>
      <c r="C2243" s="3">
        <v>23</v>
      </c>
      <c r="D2243" s="13">
        <v>68.52</v>
      </c>
      <c r="E2243" s="5">
        <v>37706</v>
      </c>
      <c r="F2243" s="2" t="s">
        <v>13</v>
      </c>
      <c r="G2243" s="2" t="s">
        <v>187</v>
      </c>
      <c r="H2243" s="3">
        <v>1</v>
      </c>
      <c r="I2243" s="6">
        <v>2003</v>
      </c>
      <c r="J2243" s="2" t="s">
        <v>15</v>
      </c>
      <c r="K2243" s="2" t="s">
        <v>104</v>
      </c>
      <c r="L2243" s="7">
        <f t="shared" si="105"/>
        <v>1575.96</v>
      </c>
      <c r="M2243" s="2" t="str">
        <f t="shared" si="106"/>
        <v>March</v>
      </c>
      <c r="N2243" s="6">
        <f t="shared" si="107"/>
        <v>2003</v>
      </c>
    </row>
    <row r="2244" spans="1:14">
      <c r="A2244" s="2" t="s">
        <v>75</v>
      </c>
      <c r="B2244" s="3">
        <v>10126</v>
      </c>
      <c r="C2244" s="3">
        <v>26</v>
      </c>
      <c r="D2244" s="13">
        <v>62.7</v>
      </c>
      <c r="E2244" s="5">
        <v>37769</v>
      </c>
      <c r="F2244" s="2" t="s">
        <v>13</v>
      </c>
      <c r="G2244" s="2" t="s">
        <v>187</v>
      </c>
      <c r="H2244" s="3">
        <v>2</v>
      </c>
      <c r="I2244" s="6">
        <v>2003</v>
      </c>
      <c r="J2244" s="2" t="s">
        <v>15</v>
      </c>
      <c r="K2244" s="2" t="s">
        <v>76</v>
      </c>
      <c r="L2244" s="7">
        <f t="shared" si="105"/>
        <v>1630.2</v>
      </c>
      <c r="M2244" s="2" t="str">
        <f t="shared" si="106"/>
        <v>May</v>
      </c>
      <c r="N2244" s="6">
        <f t="shared" si="107"/>
        <v>2003</v>
      </c>
    </row>
    <row r="2245" spans="1:14">
      <c r="A2245" s="2" t="s">
        <v>31</v>
      </c>
      <c r="B2245" s="3">
        <v>10140</v>
      </c>
      <c r="C2245" s="3">
        <v>28</v>
      </c>
      <c r="D2245" s="13">
        <v>60.76</v>
      </c>
      <c r="E2245" s="5">
        <v>37826</v>
      </c>
      <c r="F2245" s="2" t="s">
        <v>13</v>
      </c>
      <c r="G2245" s="2" t="s">
        <v>187</v>
      </c>
      <c r="H2245" s="3">
        <v>3</v>
      </c>
      <c r="I2245" s="6">
        <v>2003</v>
      </c>
      <c r="J2245" s="2" t="s">
        <v>15</v>
      </c>
      <c r="K2245" s="2" t="s">
        <v>32</v>
      </c>
      <c r="L2245" s="7">
        <f t="shared" si="105"/>
        <v>1701.28</v>
      </c>
      <c r="M2245" s="2" t="str">
        <f t="shared" si="106"/>
        <v>July</v>
      </c>
      <c r="N2245" s="6">
        <f t="shared" si="107"/>
        <v>2003</v>
      </c>
    </row>
    <row r="2246" spans="1:14">
      <c r="A2246" s="2" t="s">
        <v>77</v>
      </c>
      <c r="B2246" s="3">
        <v>10150</v>
      </c>
      <c r="C2246" s="3">
        <v>49</v>
      </c>
      <c r="D2246" s="13">
        <v>58.18</v>
      </c>
      <c r="E2246" s="5">
        <v>37883</v>
      </c>
      <c r="F2246" s="2" t="s">
        <v>13</v>
      </c>
      <c r="G2246" s="2" t="s">
        <v>187</v>
      </c>
      <c r="H2246" s="3">
        <v>3</v>
      </c>
      <c r="I2246" s="6">
        <v>2003</v>
      </c>
      <c r="J2246" s="2" t="s">
        <v>15</v>
      </c>
      <c r="K2246" s="2" t="s">
        <v>78</v>
      </c>
      <c r="L2246" s="7">
        <f t="shared" si="105"/>
        <v>2850.82</v>
      </c>
      <c r="M2246" s="2" t="str">
        <f t="shared" si="106"/>
        <v>September</v>
      </c>
      <c r="N2246" s="6">
        <f t="shared" si="107"/>
        <v>2003</v>
      </c>
    </row>
    <row r="2247" spans="1:14">
      <c r="A2247" s="2" t="s">
        <v>154</v>
      </c>
      <c r="B2247" s="3">
        <v>10164</v>
      </c>
      <c r="C2247" s="3">
        <v>49</v>
      </c>
      <c r="D2247" s="13">
        <v>54.94</v>
      </c>
      <c r="E2247" s="5">
        <v>37915</v>
      </c>
      <c r="F2247" s="2" t="s">
        <v>155</v>
      </c>
      <c r="G2247" s="2" t="s">
        <v>187</v>
      </c>
      <c r="H2247" s="3">
        <v>4</v>
      </c>
      <c r="I2247" s="6">
        <v>2003</v>
      </c>
      <c r="J2247" s="2" t="s">
        <v>15</v>
      </c>
      <c r="K2247" s="2" t="s">
        <v>156</v>
      </c>
      <c r="L2247" s="7">
        <f t="shared" si="105"/>
        <v>2692.06</v>
      </c>
      <c r="M2247" s="2" t="str">
        <f t="shared" si="106"/>
        <v>October</v>
      </c>
      <c r="N2247" s="6">
        <f t="shared" si="107"/>
        <v>2003</v>
      </c>
    </row>
    <row r="2248" spans="1:14">
      <c r="A2248" s="2" t="s">
        <v>124</v>
      </c>
      <c r="B2248" s="3">
        <v>10175</v>
      </c>
      <c r="C2248" s="3">
        <v>29</v>
      </c>
      <c r="D2248" s="13">
        <v>74.98</v>
      </c>
      <c r="E2248" s="5">
        <v>37931</v>
      </c>
      <c r="F2248" s="2" t="s">
        <v>13</v>
      </c>
      <c r="G2248" s="2" t="s">
        <v>187</v>
      </c>
      <c r="H2248" s="3">
        <v>4</v>
      </c>
      <c r="I2248" s="6">
        <v>2003</v>
      </c>
      <c r="J2248" s="2" t="s">
        <v>15</v>
      </c>
      <c r="K2248" s="2" t="s">
        <v>125</v>
      </c>
      <c r="L2248" s="7">
        <f t="shared" si="105"/>
        <v>2174.42</v>
      </c>
      <c r="M2248" s="2" t="str">
        <f t="shared" si="106"/>
        <v>November</v>
      </c>
      <c r="N2248" s="6">
        <f t="shared" si="107"/>
        <v>2003</v>
      </c>
    </row>
    <row r="2249" spans="1:14">
      <c r="A2249" s="2" t="s">
        <v>83</v>
      </c>
      <c r="B2249" s="3">
        <v>10183</v>
      </c>
      <c r="C2249" s="3">
        <v>49</v>
      </c>
      <c r="D2249" s="13">
        <v>64.64</v>
      </c>
      <c r="E2249" s="5">
        <v>37938</v>
      </c>
      <c r="F2249" s="2" t="s">
        <v>13</v>
      </c>
      <c r="G2249" s="2" t="s">
        <v>187</v>
      </c>
      <c r="H2249" s="3">
        <v>4</v>
      </c>
      <c r="I2249" s="6">
        <v>2003</v>
      </c>
      <c r="J2249" s="2" t="s">
        <v>22</v>
      </c>
      <c r="K2249" s="2" t="s">
        <v>84</v>
      </c>
      <c r="L2249" s="7">
        <f t="shared" si="105"/>
        <v>3167.36</v>
      </c>
      <c r="M2249" s="2" t="str">
        <f t="shared" si="106"/>
        <v>November</v>
      </c>
      <c r="N2249" s="6">
        <f t="shared" si="107"/>
        <v>2003</v>
      </c>
    </row>
    <row r="2250" spans="1:14">
      <c r="A2250" s="2" t="s">
        <v>85</v>
      </c>
      <c r="B2250" s="3">
        <v>10194</v>
      </c>
      <c r="C2250" s="3">
        <v>39</v>
      </c>
      <c r="D2250" s="13">
        <v>54.94</v>
      </c>
      <c r="E2250" s="5">
        <v>37950</v>
      </c>
      <c r="F2250" s="2" t="s">
        <v>13</v>
      </c>
      <c r="G2250" s="2" t="s">
        <v>187</v>
      </c>
      <c r="H2250" s="3">
        <v>4</v>
      </c>
      <c r="I2250" s="6">
        <v>2003</v>
      </c>
      <c r="J2250" s="2" t="s">
        <v>15</v>
      </c>
      <c r="K2250" s="2" t="s">
        <v>86</v>
      </c>
      <c r="L2250" s="7">
        <f t="shared" si="105"/>
        <v>2142.66</v>
      </c>
      <c r="M2250" s="2" t="str">
        <f t="shared" si="106"/>
        <v>November</v>
      </c>
      <c r="N2250" s="6">
        <f t="shared" si="107"/>
        <v>2003</v>
      </c>
    </row>
    <row r="2251" spans="1:14">
      <c r="A2251" s="2" t="s">
        <v>87</v>
      </c>
      <c r="B2251" s="3">
        <v>10206</v>
      </c>
      <c r="C2251" s="3">
        <v>36</v>
      </c>
      <c r="D2251" s="13">
        <v>58.82</v>
      </c>
      <c r="E2251" s="5">
        <v>37960</v>
      </c>
      <c r="F2251" s="2" t="s">
        <v>13</v>
      </c>
      <c r="G2251" s="2" t="s">
        <v>187</v>
      </c>
      <c r="H2251" s="3">
        <v>4</v>
      </c>
      <c r="I2251" s="6">
        <v>2003</v>
      </c>
      <c r="J2251" s="2" t="s">
        <v>15</v>
      </c>
      <c r="K2251" s="2" t="s">
        <v>88</v>
      </c>
      <c r="L2251" s="7">
        <f t="shared" si="105"/>
        <v>2117.52</v>
      </c>
      <c r="M2251" s="2" t="str">
        <f t="shared" si="106"/>
        <v>December</v>
      </c>
      <c r="N2251" s="6">
        <f t="shared" si="107"/>
        <v>2003</v>
      </c>
    </row>
    <row r="2252" spans="1:14">
      <c r="A2252" s="2" t="s">
        <v>159</v>
      </c>
      <c r="B2252" s="3">
        <v>10217</v>
      </c>
      <c r="C2252" s="3">
        <v>39</v>
      </c>
      <c r="D2252" s="13">
        <v>62.05</v>
      </c>
      <c r="E2252" s="5">
        <v>38021</v>
      </c>
      <c r="F2252" s="2" t="s">
        <v>13</v>
      </c>
      <c r="G2252" s="2" t="s">
        <v>187</v>
      </c>
      <c r="H2252" s="3">
        <v>1</v>
      </c>
      <c r="I2252" s="6">
        <v>2004</v>
      </c>
      <c r="J2252" s="2" t="s">
        <v>15</v>
      </c>
      <c r="K2252" s="2" t="s">
        <v>160</v>
      </c>
      <c r="L2252" s="7">
        <f t="shared" si="105"/>
        <v>2419.95</v>
      </c>
      <c r="M2252" s="2" t="str">
        <f t="shared" si="106"/>
        <v>February</v>
      </c>
      <c r="N2252" s="6">
        <f t="shared" si="107"/>
        <v>2004</v>
      </c>
    </row>
    <row r="2253" spans="1:14">
      <c r="A2253" s="2" t="s">
        <v>103</v>
      </c>
      <c r="B2253" s="3">
        <v>10229</v>
      </c>
      <c r="C2253" s="3">
        <v>30</v>
      </c>
      <c r="D2253" s="13">
        <v>73.04</v>
      </c>
      <c r="E2253" s="5">
        <v>38057</v>
      </c>
      <c r="F2253" s="2" t="s">
        <v>13</v>
      </c>
      <c r="G2253" s="2" t="s">
        <v>187</v>
      </c>
      <c r="H2253" s="3">
        <v>1</v>
      </c>
      <c r="I2253" s="6">
        <v>2004</v>
      </c>
      <c r="J2253" s="2" t="s">
        <v>15</v>
      </c>
      <c r="K2253" s="2" t="s">
        <v>104</v>
      </c>
      <c r="L2253" s="7">
        <f t="shared" si="105"/>
        <v>2191.2</v>
      </c>
      <c r="M2253" s="2" t="str">
        <f t="shared" si="106"/>
        <v>March</v>
      </c>
      <c r="N2253" s="6">
        <f t="shared" si="107"/>
        <v>2004</v>
      </c>
    </row>
    <row r="2254" spans="1:14">
      <c r="A2254" s="2" t="s">
        <v>93</v>
      </c>
      <c r="B2254" s="3">
        <v>10245</v>
      </c>
      <c r="C2254" s="3">
        <v>44</v>
      </c>
      <c r="D2254" s="13">
        <v>69.16</v>
      </c>
      <c r="E2254" s="5">
        <v>38111</v>
      </c>
      <c r="F2254" s="2" t="s">
        <v>13</v>
      </c>
      <c r="G2254" s="2" t="s">
        <v>187</v>
      </c>
      <c r="H2254" s="3">
        <v>2</v>
      </c>
      <c r="I2254" s="6">
        <v>2004</v>
      </c>
      <c r="J2254" s="2" t="s">
        <v>22</v>
      </c>
      <c r="K2254" s="2" t="s">
        <v>94</v>
      </c>
      <c r="L2254" s="7">
        <f t="shared" si="105"/>
        <v>3043.04</v>
      </c>
      <c r="M2254" s="2" t="str">
        <f t="shared" si="106"/>
        <v>May</v>
      </c>
      <c r="N2254" s="6">
        <f t="shared" si="107"/>
        <v>2004</v>
      </c>
    </row>
    <row r="2255" spans="1:14">
      <c r="A2255" s="2" t="s">
        <v>95</v>
      </c>
      <c r="B2255" s="3">
        <v>10258</v>
      </c>
      <c r="C2255" s="3">
        <v>20</v>
      </c>
      <c r="D2255" s="13">
        <v>61.41</v>
      </c>
      <c r="E2255" s="5">
        <v>38153</v>
      </c>
      <c r="F2255" s="2" t="s">
        <v>13</v>
      </c>
      <c r="G2255" s="2" t="s">
        <v>187</v>
      </c>
      <c r="H2255" s="3">
        <v>2</v>
      </c>
      <c r="I2255" s="6">
        <v>2004</v>
      </c>
      <c r="J2255" s="2" t="s">
        <v>15</v>
      </c>
      <c r="K2255" s="2" t="s">
        <v>96</v>
      </c>
      <c r="L2255" s="7">
        <f t="shared" si="105"/>
        <v>1228.2</v>
      </c>
      <c r="M2255" s="2" t="str">
        <f t="shared" si="106"/>
        <v>June</v>
      </c>
      <c r="N2255" s="6">
        <f t="shared" si="107"/>
        <v>2004</v>
      </c>
    </row>
    <row r="2256" spans="1:14">
      <c r="A2256" s="2" t="s">
        <v>63</v>
      </c>
      <c r="B2256" s="3">
        <v>10270</v>
      </c>
      <c r="C2256" s="3">
        <v>21</v>
      </c>
      <c r="D2256" s="13">
        <v>63.35</v>
      </c>
      <c r="E2256" s="5">
        <v>38187</v>
      </c>
      <c r="F2256" s="2" t="s">
        <v>13</v>
      </c>
      <c r="G2256" s="2" t="s">
        <v>187</v>
      </c>
      <c r="H2256" s="3">
        <v>3</v>
      </c>
      <c r="I2256" s="6">
        <v>2004</v>
      </c>
      <c r="J2256" s="2" t="s">
        <v>15</v>
      </c>
      <c r="K2256" s="2" t="s">
        <v>64</v>
      </c>
      <c r="L2256" s="7">
        <f t="shared" si="105"/>
        <v>1330.35</v>
      </c>
      <c r="M2256" s="2" t="str">
        <f t="shared" si="106"/>
        <v>July</v>
      </c>
      <c r="N2256" s="6">
        <f t="shared" si="107"/>
        <v>2004</v>
      </c>
    </row>
    <row r="2257" spans="1:14">
      <c r="A2257" s="2" t="s">
        <v>58</v>
      </c>
      <c r="B2257" s="3">
        <v>10281</v>
      </c>
      <c r="C2257" s="3">
        <v>36</v>
      </c>
      <c r="D2257" s="13">
        <v>77.57</v>
      </c>
      <c r="E2257" s="5">
        <v>38218</v>
      </c>
      <c r="F2257" s="2" t="s">
        <v>13</v>
      </c>
      <c r="G2257" s="2" t="s">
        <v>187</v>
      </c>
      <c r="H2257" s="3">
        <v>3</v>
      </c>
      <c r="I2257" s="6">
        <v>2004</v>
      </c>
      <c r="J2257" s="2" t="s">
        <v>15</v>
      </c>
      <c r="K2257" s="2" t="s">
        <v>59</v>
      </c>
      <c r="L2257" s="7">
        <f t="shared" si="105"/>
        <v>2792.52</v>
      </c>
      <c r="M2257" s="2" t="str">
        <f t="shared" si="106"/>
        <v>August</v>
      </c>
      <c r="N2257" s="6">
        <f t="shared" si="107"/>
        <v>2004</v>
      </c>
    </row>
    <row r="2258" spans="1:14">
      <c r="A2258" s="2" t="s">
        <v>99</v>
      </c>
      <c r="B2258" s="3">
        <v>10291</v>
      </c>
      <c r="C2258" s="3">
        <v>32</v>
      </c>
      <c r="D2258" s="13">
        <v>71.75</v>
      </c>
      <c r="E2258" s="5">
        <v>38238</v>
      </c>
      <c r="F2258" s="2" t="s">
        <v>13</v>
      </c>
      <c r="G2258" s="2" t="s">
        <v>187</v>
      </c>
      <c r="H2258" s="3">
        <v>3</v>
      </c>
      <c r="I2258" s="6">
        <v>2004</v>
      </c>
      <c r="J2258" s="2" t="s">
        <v>15</v>
      </c>
      <c r="K2258" s="2" t="s">
        <v>100</v>
      </c>
      <c r="L2258" s="7">
        <f t="shared" si="105"/>
        <v>2296</v>
      </c>
      <c r="M2258" s="2" t="str">
        <f t="shared" si="106"/>
        <v>September</v>
      </c>
      <c r="N2258" s="6">
        <f t="shared" si="107"/>
        <v>2004</v>
      </c>
    </row>
    <row r="2259" spans="1:14">
      <c r="A2259" s="2" t="s">
        <v>101</v>
      </c>
      <c r="B2259" s="3">
        <v>10304</v>
      </c>
      <c r="C2259" s="3">
        <v>36</v>
      </c>
      <c r="D2259" s="13">
        <v>73.04</v>
      </c>
      <c r="E2259" s="5">
        <v>38271</v>
      </c>
      <c r="F2259" s="2" t="s">
        <v>13</v>
      </c>
      <c r="G2259" s="2" t="s">
        <v>187</v>
      </c>
      <c r="H2259" s="3">
        <v>4</v>
      </c>
      <c r="I2259" s="6">
        <v>2004</v>
      </c>
      <c r="J2259" s="2" t="s">
        <v>15</v>
      </c>
      <c r="K2259" s="2" t="s">
        <v>102</v>
      </c>
      <c r="L2259" s="7">
        <f t="shared" si="105"/>
        <v>2629.44</v>
      </c>
      <c r="M2259" s="2" t="str">
        <f t="shared" si="106"/>
        <v>October</v>
      </c>
      <c r="N2259" s="6">
        <f t="shared" si="107"/>
        <v>2004</v>
      </c>
    </row>
    <row r="2260" spans="1:14">
      <c r="A2260" s="2" t="s">
        <v>87</v>
      </c>
      <c r="B2260" s="3">
        <v>10313</v>
      </c>
      <c r="C2260" s="3">
        <v>34</v>
      </c>
      <c r="D2260" s="13">
        <v>56.24</v>
      </c>
      <c r="E2260" s="5">
        <v>38282</v>
      </c>
      <c r="F2260" s="2" t="s">
        <v>13</v>
      </c>
      <c r="G2260" s="2" t="s">
        <v>187</v>
      </c>
      <c r="H2260" s="3">
        <v>4</v>
      </c>
      <c r="I2260" s="6">
        <v>2004</v>
      </c>
      <c r="J2260" s="2" t="s">
        <v>15</v>
      </c>
      <c r="K2260" s="2" t="s">
        <v>88</v>
      </c>
      <c r="L2260" s="7">
        <f t="shared" si="105"/>
        <v>1912.16</v>
      </c>
      <c r="M2260" s="2" t="str">
        <f t="shared" si="106"/>
        <v>October</v>
      </c>
      <c r="N2260" s="6">
        <f t="shared" si="107"/>
        <v>2004</v>
      </c>
    </row>
    <row r="2261" spans="1:14">
      <c r="A2261" s="2" t="s">
        <v>44</v>
      </c>
      <c r="B2261" s="3">
        <v>10324</v>
      </c>
      <c r="C2261" s="3">
        <v>48</v>
      </c>
      <c r="D2261" s="13">
        <v>100</v>
      </c>
      <c r="E2261" s="5">
        <v>38296</v>
      </c>
      <c r="F2261" s="2" t="s">
        <v>13</v>
      </c>
      <c r="G2261" s="2" t="s">
        <v>187</v>
      </c>
      <c r="H2261" s="3">
        <v>4</v>
      </c>
      <c r="I2261" s="6">
        <v>2004</v>
      </c>
      <c r="J2261" s="2" t="s">
        <v>61</v>
      </c>
      <c r="K2261" s="2" t="s">
        <v>45</v>
      </c>
      <c r="L2261" s="7">
        <f t="shared" si="105"/>
        <v>4800</v>
      </c>
      <c r="M2261" s="2" t="str">
        <f t="shared" si="106"/>
        <v>November</v>
      </c>
      <c r="N2261" s="6">
        <f t="shared" si="107"/>
        <v>2004</v>
      </c>
    </row>
    <row r="2262" spans="1:14">
      <c r="A2262" s="2" t="s">
        <v>38</v>
      </c>
      <c r="B2262" s="3">
        <v>10333</v>
      </c>
      <c r="C2262" s="3">
        <v>33</v>
      </c>
      <c r="D2262" s="13">
        <v>73.69</v>
      </c>
      <c r="E2262" s="5">
        <v>38309</v>
      </c>
      <c r="F2262" s="2" t="s">
        <v>13</v>
      </c>
      <c r="G2262" s="2" t="s">
        <v>187</v>
      </c>
      <c r="H2262" s="3">
        <v>4</v>
      </c>
      <c r="I2262" s="6">
        <v>2004</v>
      </c>
      <c r="J2262" s="2" t="s">
        <v>15</v>
      </c>
      <c r="K2262" s="2" t="s">
        <v>39</v>
      </c>
      <c r="L2262" s="7">
        <f t="shared" si="105"/>
        <v>2431.77</v>
      </c>
      <c r="M2262" s="2" t="str">
        <f t="shared" si="106"/>
        <v>November</v>
      </c>
      <c r="N2262" s="6">
        <f t="shared" si="107"/>
        <v>2004</v>
      </c>
    </row>
    <row r="2263" spans="1:14">
      <c r="A2263" s="2" t="s">
        <v>75</v>
      </c>
      <c r="B2263" s="3">
        <v>10348</v>
      </c>
      <c r="C2263" s="3">
        <v>31</v>
      </c>
      <c r="D2263" s="13">
        <v>100</v>
      </c>
      <c r="E2263" s="5">
        <v>38292</v>
      </c>
      <c r="F2263" s="2" t="s">
        <v>13</v>
      </c>
      <c r="G2263" s="2" t="s">
        <v>187</v>
      </c>
      <c r="H2263" s="3">
        <v>4</v>
      </c>
      <c r="I2263" s="6">
        <v>2004</v>
      </c>
      <c r="J2263" s="2" t="s">
        <v>22</v>
      </c>
      <c r="K2263" s="2" t="s">
        <v>76</v>
      </c>
      <c r="L2263" s="7">
        <f t="shared" si="105"/>
        <v>3100</v>
      </c>
      <c r="M2263" s="2" t="str">
        <f t="shared" si="106"/>
        <v>November</v>
      </c>
      <c r="N2263" s="6">
        <f t="shared" si="107"/>
        <v>2004</v>
      </c>
    </row>
    <row r="2264" spans="1:14">
      <c r="A2264" s="2" t="s">
        <v>69</v>
      </c>
      <c r="B2264" s="3">
        <v>10358</v>
      </c>
      <c r="C2264" s="3">
        <v>36</v>
      </c>
      <c r="D2264" s="13">
        <v>100</v>
      </c>
      <c r="E2264" s="5">
        <v>38331</v>
      </c>
      <c r="F2264" s="2" t="s">
        <v>13</v>
      </c>
      <c r="G2264" s="2" t="s">
        <v>187</v>
      </c>
      <c r="H2264" s="3">
        <v>4</v>
      </c>
      <c r="I2264" s="6">
        <v>2004</v>
      </c>
      <c r="J2264" s="2" t="s">
        <v>22</v>
      </c>
      <c r="K2264" s="2" t="s">
        <v>71</v>
      </c>
      <c r="L2264" s="7">
        <f t="shared" si="105"/>
        <v>3600</v>
      </c>
      <c r="M2264" s="2" t="str">
        <f t="shared" si="106"/>
        <v>December</v>
      </c>
      <c r="N2264" s="6">
        <f t="shared" si="107"/>
        <v>2004</v>
      </c>
    </row>
    <row r="2265" spans="1:14">
      <c r="A2265" s="2" t="s">
        <v>109</v>
      </c>
      <c r="B2265" s="3">
        <v>10370</v>
      </c>
      <c r="C2265" s="3">
        <v>25</v>
      </c>
      <c r="D2265" s="13">
        <v>100</v>
      </c>
      <c r="E2265" s="5">
        <v>38372</v>
      </c>
      <c r="F2265" s="2" t="s">
        <v>13</v>
      </c>
      <c r="G2265" s="2" t="s">
        <v>187</v>
      </c>
      <c r="H2265" s="3">
        <v>1</v>
      </c>
      <c r="I2265" s="6">
        <v>2005</v>
      </c>
      <c r="J2265" s="2" t="s">
        <v>22</v>
      </c>
      <c r="K2265" s="2" t="s">
        <v>110</v>
      </c>
      <c r="L2265" s="7">
        <f t="shared" si="105"/>
        <v>2500</v>
      </c>
      <c r="M2265" s="2" t="str">
        <f t="shared" si="106"/>
        <v>January</v>
      </c>
      <c r="N2265" s="6">
        <f t="shared" si="107"/>
        <v>2005</v>
      </c>
    </row>
    <row r="2266" spans="1:14">
      <c r="A2266" s="2" t="s">
        <v>103</v>
      </c>
      <c r="B2266" s="3">
        <v>10382</v>
      </c>
      <c r="C2266" s="3">
        <v>48</v>
      </c>
      <c r="D2266" s="13">
        <v>100</v>
      </c>
      <c r="E2266" s="5">
        <v>38400</v>
      </c>
      <c r="F2266" s="2" t="s">
        <v>13</v>
      </c>
      <c r="G2266" s="2" t="s">
        <v>187</v>
      </c>
      <c r="H2266" s="3">
        <v>1</v>
      </c>
      <c r="I2266" s="6">
        <v>2005</v>
      </c>
      <c r="J2266" s="2" t="s">
        <v>22</v>
      </c>
      <c r="K2266" s="2" t="s">
        <v>104</v>
      </c>
      <c r="L2266" s="7">
        <f t="shared" si="105"/>
        <v>4800</v>
      </c>
      <c r="M2266" s="2" t="str">
        <f t="shared" si="106"/>
        <v>February</v>
      </c>
      <c r="N2266" s="6">
        <f t="shared" si="107"/>
        <v>2005</v>
      </c>
    </row>
    <row r="2267" spans="1:14">
      <c r="A2267" s="2" t="s">
        <v>111</v>
      </c>
      <c r="B2267" s="3">
        <v>10411</v>
      </c>
      <c r="C2267" s="3">
        <v>27</v>
      </c>
      <c r="D2267" s="13">
        <v>69.16</v>
      </c>
      <c r="E2267" s="5">
        <v>38473</v>
      </c>
      <c r="F2267" s="2" t="s">
        <v>13</v>
      </c>
      <c r="G2267" s="2" t="s">
        <v>187</v>
      </c>
      <c r="H2267" s="3">
        <v>2</v>
      </c>
      <c r="I2267" s="6">
        <v>2005</v>
      </c>
      <c r="J2267" s="2" t="s">
        <v>15</v>
      </c>
      <c r="K2267" s="2" t="s">
        <v>112</v>
      </c>
      <c r="L2267" s="7">
        <f t="shared" si="105"/>
        <v>1867.32</v>
      </c>
      <c r="M2267" s="2" t="str">
        <f t="shared" si="106"/>
        <v>May</v>
      </c>
      <c r="N2267" s="6">
        <f t="shared" si="107"/>
        <v>2005</v>
      </c>
    </row>
    <row r="2268" spans="1:14">
      <c r="A2268" s="2" t="s">
        <v>69</v>
      </c>
      <c r="B2268" s="3">
        <v>10424</v>
      </c>
      <c r="C2268" s="3">
        <v>44</v>
      </c>
      <c r="D2268" s="13">
        <v>61.41</v>
      </c>
      <c r="E2268" s="5">
        <v>38503</v>
      </c>
      <c r="F2268" s="2" t="s">
        <v>113</v>
      </c>
      <c r="G2268" s="2" t="s">
        <v>187</v>
      </c>
      <c r="H2268" s="3">
        <v>2</v>
      </c>
      <c r="I2268" s="6">
        <v>2005</v>
      </c>
      <c r="J2268" s="2" t="s">
        <v>15</v>
      </c>
      <c r="K2268" s="2" t="s">
        <v>71</v>
      </c>
      <c r="L2268" s="7">
        <f t="shared" si="105"/>
        <v>2702.04</v>
      </c>
      <c r="M2268" s="2" t="str">
        <f t="shared" si="106"/>
        <v>May</v>
      </c>
      <c r="N2268" s="6">
        <f t="shared" si="107"/>
        <v>2005</v>
      </c>
    </row>
    <row r="2269" spans="1:14">
      <c r="A2269" s="2" t="s">
        <v>203</v>
      </c>
      <c r="B2269" s="3">
        <v>10106</v>
      </c>
      <c r="C2269" s="3">
        <v>33</v>
      </c>
      <c r="D2269" s="13">
        <v>72.92</v>
      </c>
      <c r="E2269" s="5">
        <v>37669</v>
      </c>
      <c r="F2269" s="2" t="s">
        <v>13</v>
      </c>
      <c r="G2269" s="2" t="s">
        <v>202</v>
      </c>
      <c r="H2269" s="3">
        <v>1</v>
      </c>
      <c r="I2269" s="6">
        <v>2003</v>
      </c>
      <c r="J2269" s="2" t="s">
        <v>15</v>
      </c>
      <c r="K2269" s="2" t="s">
        <v>204</v>
      </c>
      <c r="L2269" s="7">
        <f t="shared" si="105"/>
        <v>2406.36</v>
      </c>
      <c r="M2269" s="2" t="str">
        <f t="shared" si="106"/>
        <v>February</v>
      </c>
      <c r="N2269" s="6">
        <f t="shared" si="107"/>
        <v>2003</v>
      </c>
    </row>
    <row r="2270" spans="1:14">
      <c r="A2270" s="2" t="s">
        <v>42</v>
      </c>
      <c r="B2270" s="3">
        <v>10120</v>
      </c>
      <c r="C2270" s="3">
        <v>29</v>
      </c>
      <c r="D2270" s="13">
        <v>72.23</v>
      </c>
      <c r="E2270" s="5">
        <v>37740</v>
      </c>
      <c r="F2270" s="2" t="s">
        <v>13</v>
      </c>
      <c r="G2270" s="2" t="s">
        <v>202</v>
      </c>
      <c r="H2270" s="3">
        <v>2</v>
      </c>
      <c r="I2270" s="6">
        <v>2003</v>
      </c>
      <c r="J2270" s="2" t="s">
        <v>15</v>
      </c>
      <c r="K2270" s="2" t="s">
        <v>43</v>
      </c>
      <c r="L2270" s="7">
        <f t="shared" si="105"/>
        <v>2094.67</v>
      </c>
      <c r="M2270" s="2" t="str">
        <f t="shared" si="106"/>
        <v>April</v>
      </c>
      <c r="N2270" s="6">
        <f t="shared" si="107"/>
        <v>2003</v>
      </c>
    </row>
    <row r="2271" spans="1:14">
      <c r="A2271" s="2" t="s">
        <v>69</v>
      </c>
      <c r="B2271" s="3">
        <v>10133</v>
      </c>
      <c r="C2271" s="3">
        <v>49</v>
      </c>
      <c r="D2271" s="13">
        <v>57.1</v>
      </c>
      <c r="E2271" s="5">
        <v>37799</v>
      </c>
      <c r="F2271" s="2" t="s">
        <v>13</v>
      </c>
      <c r="G2271" s="2" t="s">
        <v>202</v>
      </c>
      <c r="H2271" s="3">
        <v>2</v>
      </c>
      <c r="I2271" s="6">
        <v>2003</v>
      </c>
      <c r="J2271" s="2" t="s">
        <v>15</v>
      </c>
      <c r="K2271" s="2" t="s">
        <v>71</v>
      </c>
      <c r="L2271" s="7">
        <f t="shared" si="105"/>
        <v>2797.9</v>
      </c>
      <c r="M2271" s="2" t="str">
        <f t="shared" si="106"/>
        <v>June</v>
      </c>
      <c r="N2271" s="6">
        <f t="shared" si="107"/>
        <v>2003</v>
      </c>
    </row>
    <row r="2272" spans="1:14">
      <c r="A2272" s="2" t="s">
        <v>212</v>
      </c>
      <c r="B2272" s="3">
        <v>10144</v>
      </c>
      <c r="C2272" s="3">
        <v>20</v>
      </c>
      <c r="D2272" s="13">
        <v>81.86</v>
      </c>
      <c r="E2272" s="5">
        <v>37846</v>
      </c>
      <c r="F2272" s="2" t="s">
        <v>13</v>
      </c>
      <c r="G2272" s="2" t="s">
        <v>202</v>
      </c>
      <c r="H2272" s="3">
        <v>3</v>
      </c>
      <c r="I2272" s="6">
        <v>2003</v>
      </c>
      <c r="J2272" s="2" t="s">
        <v>15</v>
      </c>
      <c r="K2272" s="2" t="s">
        <v>213</v>
      </c>
      <c r="L2272" s="7">
        <f t="shared" si="105"/>
        <v>1637.2</v>
      </c>
      <c r="M2272" s="2" t="str">
        <f t="shared" si="106"/>
        <v>August</v>
      </c>
      <c r="N2272" s="6">
        <f t="shared" si="107"/>
        <v>2003</v>
      </c>
    </row>
    <row r="2273" spans="1:14">
      <c r="A2273" s="2" t="s">
        <v>31</v>
      </c>
      <c r="B2273" s="3">
        <v>10168</v>
      </c>
      <c r="C2273" s="3">
        <v>31</v>
      </c>
      <c r="D2273" s="13">
        <v>73.61</v>
      </c>
      <c r="E2273" s="5">
        <v>37922</v>
      </c>
      <c r="F2273" s="2" t="s">
        <v>13</v>
      </c>
      <c r="G2273" s="2" t="s">
        <v>202</v>
      </c>
      <c r="H2273" s="3">
        <v>4</v>
      </c>
      <c r="I2273" s="6">
        <v>2003</v>
      </c>
      <c r="J2273" s="2" t="s">
        <v>15</v>
      </c>
      <c r="K2273" s="2" t="s">
        <v>32</v>
      </c>
      <c r="L2273" s="7">
        <f t="shared" si="105"/>
        <v>2281.91</v>
      </c>
      <c r="M2273" s="2" t="str">
        <f t="shared" si="106"/>
        <v>October</v>
      </c>
      <c r="N2273" s="6">
        <f t="shared" si="107"/>
        <v>2003</v>
      </c>
    </row>
    <row r="2274" spans="1:14">
      <c r="A2274" s="2" t="s">
        <v>114</v>
      </c>
      <c r="B2274" s="3">
        <v>10210</v>
      </c>
      <c r="C2274" s="3">
        <v>39</v>
      </c>
      <c r="D2274" s="13">
        <v>59.16</v>
      </c>
      <c r="E2274" s="5">
        <v>37998</v>
      </c>
      <c r="F2274" s="2" t="s">
        <v>13</v>
      </c>
      <c r="G2274" s="2" t="s">
        <v>202</v>
      </c>
      <c r="H2274" s="3">
        <v>1</v>
      </c>
      <c r="I2274" s="6">
        <v>2004</v>
      </c>
      <c r="J2274" s="2" t="s">
        <v>15</v>
      </c>
      <c r="K2274" s="2" t="s">
        <v>115</v>
      </c>
      <c r="L2274" s="7">
        <f t="shared" si="105"/>
        <v>2307.24</v>
      </c>
      <c r="M2274" s="2" t="str">
        <f t="shared" si="106"/>
        <v>January</v>
      </c>
      <c r="N2274" s="6">
        <f t="shared" si="107"/>
        <v>2004</v>
      </c>
    </row>
    <row r="2275" spans="1:14">
      <c r="A2275" s="2" t="s">
        <v>42</v>
      </c>
      <c r="B2275" s="3">
        <v>10223</v>
      </c>
      <c r="C2275" s="3">
        <v>20</v>
      </c>
      <c r="D2275" s="13">
        <v>66.04</v>
      </c>
      <c r="E2275" s="5">
        <v>38037</v>
      </c>
      <c r="F2275" s="2" t="s">
        <v>13</v>
      </c>
      <c r="G2275" s="2" t="s">
        <v>202</v>
      </c>
      <c r="H2275" s="3">
        <v>1</v>
      </c>
      <c r="I2275" s="6">
        <v>2004</v>
      </c>
      <c r="J2275" s="2" t="s">
        <v>15</v>
      </c>
      <c r="K2275" s="2" t="s">
        <v>43</v>
      </c>
      <c r="L2275" s="7">
        <f t="shared" si="105"/>
        <v>1320.8</v>
      </c>
      <c r="M2275" s="2" t="str">
        <f t="shared" si="106"/>
        <v>February</v>
      </c>
      <c r="N2275" s="6">
        <f t="shared" si="107"/>
        <v>2004</v>
      </c>
    </row>
    <row r="2276" spans="1:14">
      <c r="A2276" s="2" t="s">
        <v>141</v>
      </c>
      <c r="B2276" s="3">
        <v>10235</v>
      </c>
      <c r="C2276" s="3">
        <v>34</v>
      </c>
      <c r="D2276" s="13">
        <v>77.73</v>
      </c>
      <c r="E2276" s="5">
        <v>38079</v>
      </c>
      <c r="F2276" s="2" t="s">
        <v>13</v>
      </c>
      <c r="G2276" s="2" t="s">
        <v>202</v>
      </c>
      <c r="H2276" s="3">
        <v>2</v>
      </c>
      <c r="I2276" s="6">
        <v>2004</v>
      </c>
      <c r="J2276" s="2" t="s">
        <v>15</v>
      </c>
      <c r="K2276" s="2" t="s">
        <v>142</v>
      </c>
      <c r="L2276" s="7">
        <f t="shared" si="105"/>
        <v>2642.82</v>
      </c>
      <c r="M2276" s="2" t="str">
        <f t="shared" si="106"/>
        <v>April</v>
      </c>
      <c r="N2276" s="6">
        <f t="shared" si="107"/>
        <v>2004</v>
      </c>
    </row>
    <row r="2277" spans="1:14">
      <c r="A2277" s="2" t="s">
        <v>149</v>
      </c>
      <c r="B2277" s="3">
        <v>10250</v>
      </c>
      <c r="C2277" s="3">
        <v>50</v>
      </c>
      <c r="D2277" s="13">
        <v>61.22</v>
      </c>
      <c r="E2277" s="5">
        <v>38118</v>
      </c>
      <c r="F2277" s="2" t="s">
        <v>13</v>
      </c>
      <c r="G2277" s="2" t="s">
        <v>202</v>
      </c>
      <c r="H2277" s="3">
        <v>2</v>
      </c>
      <c r="I2277" s="6">
        <v>2004</v>
      </c>
      <c r="J2277" s="2" t="s">
        <v>22</v>
      </c>
      <c r="K2277" s="2" t="s">
        <v>150</v>
      </c>
      <c r="L2277" s="7">
        <f t="shared" si="105"/>
        <v>3061</v>
      </c>
      <c r="M2277" s="2" t="str">
        <f t="shared" si="106"/>
        <v>May</v>
      </c>
      <c r="N2277" s="6">
        <f t="shared" si="107"/>
        <v>2004</v>
      </c>
    </row>
    <row r="2278" spans="1:14">
      <c r="A2278" s="2" t="s">
        <v>69</v>
      </c>
      <c r="B2278" s="3">
        <v>10262</v>
      </c>
      <c r="C2278" s="3">
        <v>40</v>
      </c>
      <c r="D2278" s="13">
        <v>79.11</v>
      </c>
      <c r="E2278" s="5">
        <v>38162</v>
      </c>
      <c r="F2278" s="2" t="s">
        <v>128</v>
      </c>
      <c r="G2278" s="2" t="s">
        <v>202</v>
      </c>
      <c r="H2278" s="3">
        <v>2</v>
      </c>
      <c r="I2278" s="6">
        <v>2004</v>
      </c>
      <c r="J2278" s="2" t="s">
        <v>22</v>
      </c>
      <c r="K2278" s="2" t="s">
        <v>71</v>
      </c>
      <c r="L2278" s="7">
        <f t="shared" si="105"/>
        <v>3164.4</v>
      </c>
      <c r="M2278" s="2" t="str">
        <f t="shared" si="106"/>
        <v>June</v>
      </c>
      <c r="N2278" s="6">
        <f t="shared" si="107"/>
        <v>2004</v>
      </c>
    </row>
    <row r="2279" spans="1:14">
      <c r="A2279" s="2" t="s">
        <v>50</v>
      </c>
      <c r="B2279" s="3">
        <v>10275</v>
      </c>
      <c r="C2279" s="3">
        <v>28</v>
      </c>
      <c r="D2279" s="13">
        <v>63.97</v>
      </c>
      <c r="E2279" s="5">
        <v>38191</v>
      </c>
      <c r="F2279" s="2" t="s">
        <v>13</v>
      </c>
      <c r="G2279" s="2" t="s">
        <v>202</v>
      </c>
      <c r="H2279" s="3">
        <v>3</v>
      </c>
      <c r="I2279" s="6">
        <v>2004</v>
      </c>
      <c r="J2279" s="2" t="s">
        <v>15</v>
      </c>
      <c r="K2279" s="2" t="s">
        <v>51</v>
      </c>
      <c r="L2279" s="7">
        <f t="shared" si="105"/>
        <v>1791.16</v>
      </c>
      <c r="M2279" s="2" t="str">
        <f t="shared" si="106"/>
        <v>July</v>
      </c>
      <c r="N2279" s="6">
        <f t="shared" si="107"/>
        <v>2004</v>
      </c>
    </row>
    <row r="2280" spans="1:14">
      <c r="A2280" s="2" t="s">
        <v>200</v>
      </c>
      <c r="B2280" s="3">
        <v>10284</v>
      </c>
      <c r="C2280" s="3">
        <v>50</v>
      </c>
      <c r="D2280" s="13">
        <v>81.86</v>
      </c>
      <c r="E2280" s="5">
        <v>38220</v>
      </c>
      <c r="F2280" s="2" t="s">
        <v>13</v>
      </c>
      <c r="G2280" s="2" t="s">
        <v>202</v>
      </c>
      <c r="H2280" s="3">
        <v>3</v>
      </c>
      <c r="I2280" s="6">
        <v>2004</v>
      </c>
      <c r="J2280" s="2" t="s">
        <v>22</v>
      </c>
      <c r="K2280" s="2" t="s">
        <v>201</v>
      </c>
      <c r="L2280" s="7">
        <f t="shared" si="105"/>
        <v>4093</v>
      </c>
      <c r="M2280" s="2" t="str">
        <f t="shared" si="106"/>
        <v>August</v>
      </c>
      <c r="N2280" s="6">
        <f t="shared" si="107"/>
        <v>2004</v>
      </c>
    </row>
    <row r="2281" spans="1:14">
      <c r="A2281" s="2" t="s">
        <v>179</v>
      </c>
      <c r="B2281" s="3">
        <v>10297</v>
      </c>
      <c r="C2281" s="3">
        <v>28</v>
      </c>
      <c r="D2281" s="13">
        <v>79.8</v>
      </c>
      <c r="E2281" s="5">
        <v>38246</v>
      </c>
      <c r="F2281" s="2" t="s">
        <v>13</v>
      </c>
      <c r="G2281" s="2" t="s">
        <v>202</v>
      </c>
      <c r="H2281" s="3">
        <v>3</v>
      </c>
      <c r="I2281" s="6">
        <v>2004</v>
      </c>
      <c r="J2281" s="2" t="s">
        <v>15</v>
      </c>
      <c r="K2281" s="2" t="s">
        <v>180</v>
      </c>
      <c r="L2281" s="7">
        <f t="shared" si="105"/>
        <v>2234.4</v>
      </c>
      <c r="M2281" s="2" t="str">
        <f t="shared" si="106"/>
        <v>September</v>
      </c>
      <c r="N2281" s="6">
        <f t="shared" si="107"/>
        <v>2004</v>
      </c>
    </row>
    <row r="2282" spans="1:14">
      <c r="A2282" s="2" t="s">
        <v>120</v>
      </c>
      <c r="B2282" s="3">
        <v>10308</v>
      </c>
      <c r="C2282" s="3">
        <v>46</v>
      </c>
      <c r="D2282" s="13">
        <v>66.04</v>
      </c>
      <c r="E2282" s="5">
        <v>38275</v>
      </c>
      <c r="F2282" s="2" t="s">
        <v>13</v>
      </c>
      <c r="G2282" s="2" t="s">
        <v>202</v>
      </c>
      <c r="H2282" s="3">
        <v>4</v>
      </c>
      <c r="I2282" s="6">
        <v>2004</v>
      </c>
      <c r="J2282" s="2" t="s">
        <v>22</v>
      </c>
      <c r="K2282" s="2" t="s">
        <v>121</v>
      </c>
      <c r="L2282" s="7">
        <f t="shared" si="105"/>
        <v>3037.84</v>
      </c>
      <c r="M2282" s="2" t="str">
        <f t="shared" si="106"/>
        <v>October</v>
      </c>
      <c r="N2282" s="6">
        <f t="shared" si="107"/>
        <v>2004</v>
      </c>
    </row>
    <row r="2283" spans="1:14">
      <c r="A2283" s="2" t="s">
        <v>145</v>
      </c>
      <c r="B2283" s="3">
        <v>10316</v>
      </c>
      <c r="C2283" s="3">
        <v>24</v>
      </c>
      <c r="D2283" s="13">
        <v>59.16</v>
      </c>
      <c r="E2283" s="5">
        <v>38292</v>
      </c>
      <c r="F2283" s="2" t="s">
        <v>13</v>
      </c>
      <c r="G2283" s="2" t="s">
        <v>202</v>
      </c>
      <c r="H2283" s="3">
        <v>4</v>
      </c>
      <c r="I2283" s="6">
        <v>2004</v>
      </c>
      <c r="J2283" s="2" t="s">
        <v>15</v>
      </c>
      <c r="K2283" s="2" t="s">
        <v>146</v>
      </c>
      <c r="L2283" s="7">
        <f t="shared" si="105"/>
        <v>1419.84</v>
      </c>
      <c r="M2283" s="2" t="str">
        <f t="shared" si="106"/>
        <v>November</v>
      </c>
      <c r="N2283" s="6">
        <f t="shared" si="107"/>
        <v>2004</v>
      </c>
    </row>
    <row r="2284" spans="1:14">
      <c r="A2284" s="2" t="s">
        <v>203</v>
      </c>
      <c r="B2284" s="3">
        <v>10328</v>
      </c>
      <c r="C2284" s="3">
        <v>24</v>
      </c>
      <c r="D2284" s="13">
        <v>81.17</v>
      </c>
      <c r="E2284" s="5">
        <v>38303</v>
      </c>
      <c r="F2284" s="2" t="s">
        <v>13</v>
      </c>
      <c r="G2284" s="2" t="s">
        <v>202</v>
      </c>
      <c r="H2284" s="3">
        <v>4</v>
      </c>
      <c r="I2284" s="6">
        <v>2004</v>
      </c>
      <c r="J2284" s="2" t="s">
        <v>15</v>
      </c>
      <c r="K2284" s="2" t="s">
        <v>204</v>
      </c>
      <c r="L2284" s="7">
        <f t="shared" si="105"/>
        <v>1948.08</v>
      </c>
      <c r="M2284" s="2" t="str">
        <f t="shared" si="106"/>
        <v>November</v>
      </c>
      <c r="N2284" s="6">
        <f t="shared" si="107"/>
        <v>2004</v>
      </c>
    </row>
    <row r="2285" spans="1:14">
      <c r="A2285" s="2" t="s">
        <v>133</v>
      </c>
      <c r="B2285" s="3">
        <v>10340</v>
      </c>
      <c r="C2285" s="3">
        <v>39</v>
      </c>
      <c r="D2285" s="13">
        <v>59.16</v>
      </c>
      <c r="E2285" s="5">
        <v>38315</v>
      </c>
      <c r="F2285" s="2" t="s">
        <v>13</v>
      </c>
      <c r="G2285" s="2" t="s">
        <v>202</v>
      </c>
      <c r="H2285" s="3">
        <v>4</v>
      </c>
      <c r="I2285" s="6">
        <v>2004</v>
      </c>
      <c r="J2285" s="2" t="s">
        <v>15</v>
      </c>
      <c r="K2285" s="2" t="s">
        <v>134</v>
      </c>
      <c r="L2285" s="7">
        <f t="shared" si="105"/>
        <v>2307.24</v>
      </c>
      <c r="M2285" s="2" t="str">
        <f t="shared" si="106"/>
        <v>November</v>
      </c>
      <c r="N2285" s="6">
        <f t="shared" si="107"/>
        <v>2004</v>
      </c>
    </row>
    <row r="2286" spans="1:14">
      <c r="A2286" s="2" t="s">
        <v>208</v>
      </c>
      <c r="B2286" s="3">
        <v>10353</v>
      </c>
      <c r="C2286" s="3">
        <v>40</v>
      </c>
      <c r="D2286" s="13">
        <v>44.51</v>
      </c>
      <c r="E2286" s="5">
        <v>38325</v>
      </c>
      <c r="F2286" s="2" t="s">
        <v>13</v>
      </c>
      <c r="G2286" s="2" t="s">
        <v>202</v>
      </c>
      <c r="H2286" s="3">
        <v>4</v>
      </c>
      <c r="I2286" s="6">
        <v>2004</v>
      </c>
      <c r="J2286" s="2" t="s">
        <v>15</v>
      </c>
      <c r="K2286" s="2" t="s">
        <v>209</v>
      </c>
      <c r="L2286" s="7">
        <f t="shared" si="105"/>
        <v>1780.4</v>
      </c>
      <c r="M2286" s="2" t="str">
        <f t="shared" si="106"/>
        <v>December</v>
      </c>
      <c r="N2286" s="6">
        <f t="shared" si="107"/>
        <v>2004</v>
      </c>
    </row>
    <row r="2287" spans="1:14">
      <c r="A2287" s="2" t="s">
        <v>63</v>
      </c>
      <c r="B2287" s="3">
        <v>10361</v>
      </c>
      <c r="C2287" s="3">
        <v>49</v>
      </c>
      <c r="D2287" s="13">
        <v>72.33</v>
      </c>
      <c r="E2287" s="5">
        <v>38338</v>
      </c>
      <c r="F2287" s="2" t="s">
        <v>13</v>
      </c>
      <c r="G2287" s="2" t="s">
        <v>202</v>
      </c>
      <c r="H2287" s="3">
        <v>4</v>
      </c>
      <c r="I2287" s="6">
        <v>2004</v>
      </c>
      <c r="J2287" s="2" t="s">
        <v>22</v>
      </c>
      <c r="K2287" s="2" t="s">
        <v>64</v>
      </c>
      <c r="L2287" s="7">
        <f t="shared" si="105"/>
        <v>3544.17</v>
      </c>
      <c r="M2287" s="2" t="str">
        <f t="shared" si="106"/>
        <v>December</v>
      </c>
      <c r="N2287" s="6">
        <f t="shared" si="107"/>
        <v>2004</v>
      </c>
    </row>
    <row r="2288" spans="1:14">
      <c r="A2288" s="2" t="s">
        <v>50</v>
      </c>
      <c r="B2288" s="3">
        <v>10375</v>
      </c>
      <c r="C2288" s="3">
        <v>44</v>
      </c>
      <c r="D2288" s="13">
        <v>82.26</v>
      </c>
      <c r="E2288" s="5">
        <v>38386</v>
      </c>
      <c r="F2288" s="2" t="s">
        <v>13</v>
      </c>
      <c r="G2288" s="2" t="s">
        <v>202</v>
      </c>
      <c r="H2288" s="3">
        <v>1</v>
      </c>
      <c r="I2288" s="6">
        <v>2005</v>
      </c>
      <c r="J2288" s="2" t="s">
        <v>22</v>
      </c>
      <c r="K2288" s="2" t="s">
        <v>51</v>
      </c>
      <c r="L2288" s="7">
        <f t="shared" si="105"/>
        <v>3619.44</v>
      </c>
      <c r="M2288" s="2" t="str">
        <f t="shared" si="106"/>
        <v>February</v>
      </c>
      <c r="N2288" s="6">
        <f t="shared" si="107"/>
        <v>2005</v>
      </c>
    </row>
    <row r="2289" spans="1:14">
      <c r="A2289" s="2" t="s">
        <v>65</v>
      </c>
      <c r="B2289" s="3">
        <v>10388</v>
      </c>
      <c r="C2289" s="3">
        <v>35</v>
      </c>
      <c r="D2289" s="13">
        <v>100</v>
      </c>
      <c r="E2289" s="5">
        <v>38414</v>
      </c>
      <c r="F2289" s="2" t="s">
        <v>13</v>
      </c>
      <c r="G2289" s="2" t="s">
        <v>202</v>
      </c>
      <c r="H2289" s="3">
        <v>1</v>
      </c>
      <c r="I2289" s="6">
        <v>2005</v>
      </c>
      <c r="J2289" s="2" t="s">
        <v>22</v>
      </c>
      <c r="K2289" s="2" t="s">
        <v>66</v>
      </c>
      <c r="L2289" s="7">
        <f t="shared" si="105"/>
        <v>3500</v>
      </c>
      <c r="M2289" s="2" t="str">
        <f t="shared" si="106"/>
        <v>March</v>
      </c>
      <c r="N2289" s="6">
        <f t="shared" si="107"/>
        <v>2005</v>
      </c>
    </row>
    <row r="2290" spans="1:14">
      <c r="A2290" s="2" t="s">
        <v>18</v>
      </c>
      <c r="B2290" s="3">
        <v>10398</v>
      </c>
      <c r="C2290" s="3">
        <v>22</v>
      </c>
      <c r="D2290" s="13">
        <v>67.41</v>
      </c>
      <c r="E2290" s="5">
        <v>38441</v>
      </c>
      <c r="F2290" s="2" t="s">
        <v>13</v>
      </c>
      <c r="G2290" s="2" t="s">
        <v>202</v>
      </c>
      <c r="H2290" s="3">
        <v>1</v>
      </c>
      <c r="I2290" s="6">
        <v>2005</v>
      </c>
      <c r="J2290" s="2" t="s">
        <v>15</v>
      </c>
      <c r="K2290" s="2" t="s">
        <v>19</v>
      </c>
      <c r="L2290" s="7">
        <f t="shared" si="105"/>
        <v>1483.02</v>
      </c>
      <c r="M2290" s="2" t="str">
        <f t="shared" si="106"/>
        <v>March</v>
      </c>
      <c r="N2290" s="6">
        <f t="shared" si="107"/>
        <v>2005</v>
      </c>
    </row>
    <row r="2291" spans="1:14">
      <c r="A2291" s="2" t="s">
        <v>46</v>
      </c>
      <c r="B2291" s="3">
        <v>10401</v>
      </c>
      <c r="C2291" s="3">
        <v>62</v>
      </c>
      <c r="D2291" s="13">
        <v>77.73</v>
      </c>
      <c r="E2291" s="5">
        <v>38445</v>
      </c>
      <c r="F2291" s="2" t="s">
        <v>151</v>
      </c>
      <c r="G2291" s="2" t="s">
        <v>202</v>
      </c>
      <c r="H2291" s="3">
        <v>2</v>
      </c>
      <c r="I2291" s="6">
        <v>2005</v>
      </c>
      <c r="J2291" s="2" t="s">
        <v>22</v>
      </c>
      <c r="K2291" s="2" t="s">
        <v>47</v>
      </c>
      <c r="L2291" s="7">
        <f t="shared" si="105"/>
        <v>4819.26</v>
      </c>
      <c r="M2291" s="2" t="str">
        <f t="shared" si="106"/>
        <v>April</v>
      </c>
      <c r="N2291" s="6">
        <f t="shared" si="107"/>
        <v>2005</v>
      </c>
    </row>
    <row r="2292" spans="1:14">
      <c r="A2292" s="2" t="s">
        <v>169</v>
      </c>
      <c r="B2292" s="3">
        <v>10416</v>
      </c>
      <c r="C2292" s="3">
        <v>26</v>
      </c>
      <c r="D2292" s="13">
        <v>61.22</v>
      </c>
      <c r="E2292" s="5">
        <v>38482</v>
      </c>
      <c r="F2292" s="2" t="s">
        <v>13</v>
      </c>
      <c r="G2292" s="2" t="s">
        <v>202</v>
      </c>
      <c r="H2292" s="3">
        <v>2</v>
      </c>
      <c r="I2292" s="6">
        <v>2005</v>
      </c>
      <c r="J2292" s="2" t="s">
        <v>15</v>
      </c>
      <c r="K2292" s="2" t="s">
        <v>170</v>
      </c>
      <c r="L2292" s="7">
        <f t="shared" si="105"/>
        <v>1591.72</v>
      </c>
      <c r="M2292" s="2" t="str">
        <f t="shared" si="106"/>
        <v>May</v>
      </c>
      <c r="N2292" s="6">
        <f t="shared" si="107"/>
        <v>2005</v>
      </c>
    </row>
    <row r="2293" spans="1:14">
      <c r="A2293" s="2" t="s">
        <v>161</v>
      </c>
      <c r="B2293" s="3">
        <v>10108</v>
      </c>
      <c r="C2293" s="3">
        <v>31</v>
      </c>
      <c r="D2293" s="13">
        <v>100</v>
      </c>
      <c r="E2293" s="5">
        <v>37683</v>
      </c>
      <c r="F2293" s="2" t="s">
        <v>13</v>
      </c>
      <c r="G2293" s="2" t="s">
        <v>14</v>
      </c>
      <c r="H2293" s="3">
        <v>1</v>
      </c>
      <c r="I2293" s="6">
        <v>2003</v>
      </c>
      <c r="J2293" s="2" t="s">
        <v>22</v>
      </c>
      <c r="K2293" s="2" t="s">
        <v>162</v>
      </c>
      <c r="L2293" s="7">
        <f t="shared" si="105"/>
        <v>3100</v>
      </c>
      <c r="M2293" s="2" t="str">
        <f t="shared" si="106"/>
        <v>March</v>
      </c>
      <c r="N2293" s="6">
        <f t="shared" si="107"/>
        <v>2003</v>
      </c>
    </row>
    <row r="2294" spans="1:14">
      <c r="A2294" s="2" t="s">
        <v>18</v>
      </c>
      <c r="B2294" s="3">
        <v>10121</v>
      </c>
      <c r="C2294" s="3">
        <v>25</v>
      </c>
      <c r="D2294" s="13">
        <v>86.74</v>
      </c>
      <c r="E2294" s="5">
        <v>37748</v>
      </c>
      <c r="F2294" s="2" t="s">
        <v>13</v>
      </c>
      <c r="G2294" s="2" t="s">
        <v>14</v>
      </c>
      <c r="H2294" s="3">
        <v>2</v>
      </c>
      <c r="I2294" s="6">
        <v>2003</v>
      </c>
      <c r="J2294" s="2" t="s">
        <v>15</v>
      </c>
      <c r="K2294" s="2" t="s">
        <v>19</v>
      </c>
      <c r="L2294" s="7">
        <f t="shared" si="105"/>
        <v>2168.5</v>
      </c>
      <c r="M2294" s="2" t="str">
        <f t="shared" si="106"/>
        <v>May</v>
      </c>
      <c r="N2294" s="6">
        <f t="shared" si="107"/>
        <v>2003</v>
      </c>
    </row>
    <row r="2295" spans="1:14">
      <c r="A2295" s="2" t="s">
        <v>103</v>
      </c>
      <c r="B2295" s="3">
        <v>10135</v>
      </c>
      <c r="C2295" s="3">
        <v>30</v>
      </c>
      <c r="D2295" s="13">
        <v>89.8</v>
      </c>
      <c r="E2295" s="5">
        <v>37804</v>
      </c>
      <c r="F2295" s="2" t="s">
        <v>13</v>
      </c>
      <c r="G2295" s="2" t="s">
        <v>14</v>
      </c>
      <c r="H2295" s="3">
        <v>3</v>
      </c>
      <c r="I2295" s="6">
        <v>2003</v>
      </c>
      <c r="J2295" s="2" t="s">
        <v>15</v>
      </c>
      <c r="K2295" s="2" t="s">
        <v>104</v>
      </c>
      <c r="L2295" s="7">
        <f t="shared" si="105"/>
        <v>2694</v>
      </c>
      <c r="M2295" s="2" t="str">
        <f t="shared" si="106"/>
        <v>July</v>
      </c>
      <c r="N2295" s="6">
        <f t="shared" si="107"/>
        <v>2003</v>
      </c>
    </row>
    <row r="2296" spans="1:14">
      <c r="A2296" s="2" t="s">
        <v>25</v>
      </c>
      <c r="B2296" s="3">
        <v>10145</v>
      </c>
      <c r="C2296" s="3">
        <v>27</v>
      </c>
      <c r="D2296" s="13">
        <v>100</v>
      </c>
      <c r="E2296" s="5">
        <v>37858</v>
      </c>
      <c r="F2296" s="2" t="s">
        <v>13</v>
      </c>
      <c r="G2296" s="2" t="s">
        <v>14</v>
      </c>
      <c r="H2296" s="3">
        <v>3</v>
      </c>
      <c r="I2296" s="6">
        <v>2003</v>
      </c>
      <c r="J2296" s="2" t="s">
        <v>22</v>
      </c>
      <c r="K2296" s="2" t="s">
        <v>26</v>
      </c>
      <c r="L2296" s="7">
        <f t="shared" si="105"/>
        <v>2700</v>
      </c>
      <c r="M2296" s="2" t="str">
        <f t="shared" si="106"/>
        <v>August</v>
      </c>
      <c r="N2296" s="6">
        <f t="shared" si="107"/>
        <v>2003</v>
      </c>
    </row>
    <row r="2297" spans="1:14">
      <c r="A2297" s="2" t="s">
        <v>28</v>
      </c>
      <c r="B2297" s="3">
        <v>10159</v>
      </c>
      <c r="C2297" s="3">
        <v>23</v>
      </c>
      <c r="D2297" s="13">
        <v>100</v>
      </c>
      <c r="E2297" s="5">
        <v>37904</v>
      </c>
      <c r="F2297" s="2" t="s">
        <v>13</v>
      </c>
      <c r="G2297" s="2" t="s">
        <v>14</v>
      </c>
      <c r="H2297" s="3">
        <v>4</v>
      </c>
      <c r="I2297" s="6">
        <v>2003</v>
      </c>
      <c r="J2297" s="2" t="s">
        <v>15</v>
      </c>
      <c r="K2297" s="2" t="s">
        <v>29</v>
      </c>
      <c r="L2297" s="7">
        <f t="shared" si="105"/>
        <v>2300</v>
      </c>
      <c r="M2297" s="2" t="str">
        <f t="shared" si="106"/>
        <v>October</v>
      </c>
      <c r="N2297" s="6">
        <f t="shared" si="107"/>
        <v>2003</v>
      </c>
    </row>
    <row r="2298" spans="1:14">
      <c r="A2298" s="2" t="s">
        <v>109</v>
      </c>
      <c r="B2298" s="3">
        <v>10169</v>
      </c>
      <c r="C2298" s="3">
        <v>34</v>
      </c>
      <c r="D2298" s="13">
        <v>100</v>
      </c>
      <c r="E2298" s="5">
        <v>37929</v>
      </c>
      <c r="F2298" s="2" t="s">
        <v>13</v>
      </c>
      <c r="G2298" s="2" t="s">
        <v>14</v>
      </c>
      <c r="H2298" s="3">
        <v>4</v>
      </c>
      <c r="I2298" s="6">
        <v>2003</v>
      </c>
      <c r="J2298" s="2" t="s">
        <v>22</v>
      </c>
      <c r="K2298" s="2" t="s">
        <v>110</v>
      </c>
      <c r="L2298" s="7">
        <f t="shared" si="105"/>
        <v>3400</v>
      </c>
      <c r="M2298" s="2" t="str">
        <f t="shared" si="106"/>
        <v>November</v>
      </c>
      <c r="N2298" s="6">
        <f t="shared" si="107"/>
        <v>2003</v>
      </c>
    </row>
    <row r="2299" spans="1:14">
      <c r="A2299" s="2" t="s">
        <v>34</v>
      </c>
      <c r="B2299" s="3">
        <v>10180</v>
      </c>
      <c r="C2299" s="3">
        <v>22</v>
      </c>
      <c r="D2299" s="13">
        <v>100</v>
      </c>
      <c r="E2299" s="5">
        <v>37936</v>
      </c>
      <c r="F2299" s="2" t="s">
        <v>13</v>
      </c>
      <c r="G2299" s="2" t="s">
        <v>14</v>
      </c>
      <c r="H2299" s="3">
        <v>4</v>
      </c>
      <c r="I2299" s="6">
        <v>2003</v>
      </c>
      <c r="J2299" s="2" t="s">
        <v>15</v>
      </c>
      <c r="K2299" s="2" t="s">
        <v>35</v>
      </c>
      <c r="L2299" s="7">
        <f t="shared" si="105"/>
        <v>2200</v>
      </c>
      <c r="M2299" s="2" t="str">
        <f t="shared" si="106"/>
        <v>November</v>
      </c>
      <c r="N2299" s="6">
        <f t="shared" si="107"/>
        <v>2003</v>
      </c>
    </row>
    <row r="2300" spans="1:14">
      <c r="A2300" s="2" t="s">
        <v>69</v>
      </c>
      <c r="B2300" s="3">
        <v>10190</v>
      </c>
      <c r="C2300" s="3">
        <v>42</v>
      </c>
      <c r="D2300" s="13">
        <v>85.72</v>
      </c>
      <c r="E2300" s="5">
        <v>37944</v>
      </c>
      <c r="F2300" s="2" t="s">
        <v>13</v>
      </c>
      <c r="G2300" s="2" t="s">
        <v>14</v>
      </c>
      <c r="H2300" s="3">
        <v>4</v>
      </c>
      <c r="I2300" s="6">
        <v>2003</v>
      </c>
      <c r="J2300" s="2" t="s">
        <v>22</v>
      </c>
      <c r="K2300" s="2" t="s">
        <v>71</v>
      </c>
      <c r="L2300" s="7">
        <f t="shared" si="105"/>
        <v>3600.24</v>
      </c>
      <c r="M2300" s="2" t="str">
        <f t="shared" si="106"/>
        <v>November</v>
      </c>
      <c r="N2300" s="6">
        <f t="shared" si="107"/>
        <v>2003</v>
      </c>
    </row>
    <row r="2301" spans="1:14">
      <c r="A2301" s="2" t="s">
        <v>40</v>
      </c>
      <c r="B2301" s="3">
        <v>10211</v>
      </c>
      <c r="C2301" s="3">
        <v>37</v>
      </c>
      <c r="D2301" s="13">
        <v>100</v>
      </c>
      <c r="E2301" s="5">
        <v>38001</v>
      </c>
      <c r="F2301" s="2" t="s">
        <v>13</v>
      </c>
      <c r="G2301" s="2" t="s">
        <v>14</v>
      </c>
      <c r="H2301" s="3">
        <v>1</v>
      </c>
      <c r="I2301" s="6">
        <v>2004</v>
      </c>
      <c r="J2301" s="2" t="s">
        <v>22</v>
      </c>
      <c r="K2301" s="2" t="s">
        <v>41</v>
      </c>
      <c r="L2301" s="7">
        <f t="shared" si="105"/>
        <v>3700</v>
      </c>
      <c r="M2301" s="2" t="str">
        <f t="shared" si="106"/>
        <v>January</v>
      </c>
      <c r="N2301" s="6">
        <f t="shared" si="107"/>
        <v>2004</v>
      </c>
    </row>
    <row r="2302" spans="1:14">
      <c r="A2302" s="2" t="s">
        <v>34</v>
      </c>
      <c r="B2302" s="3">
        <v>10224</v>
      </c>
      <c r="C2302" s="3">
        <v>30</v>
      </c>
      <c r="D2302" s="13">
        <v>100</v>
      </c>
      <c r="E2302" s="5">
        <v>38038</v>
      </c>
      <c r="F2302" s="2" t="s">
        <v>13</v>
      </c>
      <c r="G2302" s="2" t="s">
        <v>14</v>
      </c>
      <c r="H2302" s="3">
        <v>1</v>
      </c>
      <c r="I2302" s="6">
        <v>2004</v>
      </c>
      <c r="J2302" s="2" t="s">
        <v>22</v>
      </c>
      <c r="K2302" s="2" t="s">
        <v>35</v>
      </c>
      <c r="L2302" s="7">
        <f t="shared" si="105"/>
        <v>3000</v>
      </c>
      <c r="M2302" s="2" t="str">
        <f t="shared" si="106"/>
        <v>February</v>
      </c>
      <c r="N2302" s="6">
        <f t="shared" si="107"/>
        <v>2004</v>
      </c>
    </row>
    <row r="2303" spans="1:14">
      <c r="A2303" s="2" t="s">
        <v>44</v>
      </c>
      <c r="B2303" s="3">
        <v>10237</v>
      </c>
      <c r="C2303" s="3">
        <v>27</v>
      </c>
      <c r="D2303" s="13">
        <v>100</v>
      </c>
      <c r="E2303" s="5">
        <v>38082</v>
      </c>
      <c r="F2303" s="2" t="s">
        <v>13</v>
      </c>
      <c r="G2303" s="2" t="s">
        <v>14</v>
      </c>
      <c r="H2303" s="3">
        <v>2</v>
      </c>
      <c r="I2303" s="6">
        <v>2004</v>
      </c>
      <c r="J2303" s="2" t="s">
        <v>22</v>
      </c>
      <c r="K2303" s="2" t="s">
        <v>45</v>
      </c>
      <c r="L2303" s="7">
        <f t="shared" si="105"/>
        <v>2700</v>
      </c>
      <c r="M2303" s="2" t="str">
        <f t="shared" si="106"/>
        <v>April</v>
      </c>
      <c r="N2303" s="6">
        <f t="shared" si="107"/>
        <v>2004</v>
      </c>
    </row>
    <row r="2304" spans="1:14">
      <c r="A2304" s="2" t="s">
        <v>40</v>
      </c>
      <c r="B2304" s="3">
        <v>10252</v>
      </c>
      <c r="C2304" s="3">
        <v>25</v>
      </c>
      <c r="D2304" s="13">
        <v>100</v>
      </c>
      <c r="E2304" s="5">
        <v>38133</v>
      </c>
      <c r="F2304" s="2" t="s">
        <v>13</v>
      </c>
      <c r="G2304" s="2" t="s">
        <v>14</v>
      </c>
      <c r="H2304" s="3">
        <v>2</v>
      </c>
      <c r="I2304" s="6">
        <v>2004</v>
      </c>
      <c r="J2304" s="2" t="s">
        <v>15</v>
      </c>
      <c r="K2304" s="2" t="s">
        <v>41</v>
      </c>
      <c r="L2304" s="7">
        <f t="shared" si="105"/>
        <v>2500</v>
      </c>
      <c r="M2304" s="2" t="str">
        <f t="shared" si="106"/>
        <v>May</v>
      </c>
      <c r="N2304" s="6">
        <f t="shared" si="107"/>
        <v>2004</v>
      </c>
    </row>
    <row r="2305" spans="1:14">
      <c r="A2305" s="2" t="s">
        <v>143</v>
      </c>
      <c r="B2305" s="3">
        <v>10264</v>
      </c>
      <c r="C2305" s="3">
        <v>34</v>
      </c>
      <c r="D2305" s="13">
        <v>97.97</v>
      </c>
      <c r="E2305" s="5">
        <v>38168</v>
      </c>
      <c r="F2305" s="2" t="s">
        <v>13</v>
      </c>
      <c r="G2305" s="2" t="s">
        <v>14</v>
      </c>
      <c r="H2305" s="3">
        <v>2</v>
      </c>
      <c r="I2305" s="6">
        <v>2004</v>
      </c>
      <c r="J2305" s="2" t="s">
        <v>22</v>
      </c>
      <c r="K2305" s="2" t="s">
        <v>144</v>
      </c>
      <c r="L2305" s="7">
        <f t="shared" si="105"/>
        <v>3330.98</v>
      </c>
      <c r="M2305" s="2" t="str">
        <f t="shared" si="106"/>
        <v>June</v>
      </c>
      <c r="N2305" s="6">
        <f t="shared" si="107"/>
        <v>2004</v>
      </c>
    </row>
    <row r="2306" spans="1:14">
      <c r="A2306" s="2" t="s">
        <v>171</v>
      </c>
      <c r="B2306" s="3">
        <v>10276</v>
      </c>
      <c r="C2306" s="3">
        <v>38</v>
      </c>
      <c r="D2306" s="13">
        <v>100</v>
      </c>
      <c r="E2306" s="5">
        <v>38201</v>
      </c>
      <c r="F2306" s="2" t="s">
        <v>13</v>
      </c>
      <c r="G2306" s="2" t="s">
        <v>14</v>
      </c>
      <c r="H2306" s="3">
        <v>3</v>
      </c>
      <c r="I2306" s="6">
        <v>2004</v>
      </c>
      <c r="J2306" s="2" t="s">
        <v>22</v>
      </c>
      <c r="K2306" s="2" t="s">
        <v>172</v>
      </c>
      <c r="L2306" s="7">
        <f t="shared" ref="L2306:L2369" si="108">PRODUCT(C2306,D2306)</f>
        <v>3800</v>
      </c>
      <c r="M2306" s="2" t="str">
        <f t="shared" ref="M2306:M2369" si="109">TEXT(E2306,"MMMM")</f>
        <v>August</v>
      </c>
      <c r="N2306" s="6">
        <f t="shared" ref="N2306:N2369" si="110">YEAR(E2306)</f>
        <v>2004</v>
      </c>
    </row>
    <row r="2307" spans="1:14">
      <c r="A2307" s="2" t="s">
        <v>52</v>
      </c>
      <c r="B2307" s="3">
        <v>10285</v>
      </c>
      <c r="C2307" s="3">
        <v>26</v>
      </c>
      <c r="D2307" s="13">
        <v>100</v>
      </c>
      <c r="E2307" s="5">
        <v>38226</v>
      </c>
      <c r="F2307" s="2" t="s">
        <v>13</v>
      </c>
      <c r="G2307" s="2" t="s">
        <v>14</v>
      </c>
      <c r="H2307" s="3">
        <v>3</v>
      </c>
      <c r="I2307" s="6">
        <v>2004</v>
      </c>
      <c r="J2307" s="2" t="s">
        <v>15</v>
      </c>
      <c r="K2307" s="2" t="s">
        <v>53</v>
      </c>
      <c r="L2307" s="7">
        <f t="shared" si="108"/>
        <v>2600</v>
      </c>
      <c r="M2307" s="2" t="str">
        <f t="shared" si="109"/>
        <v>August</v>
      </c>
      <c r="N2307" s="6">
        <f t="shared" si="110"/>
        <v>2004</v>
      </c>
    </row>
    <row r="2308" spans="1:14">
      <c r="A2308" s="2" t="s">
        <v>54</v>
      </c>
      <c r="B2308" s="3">
        <v>10299</v>
      </c>
      <c r="C2308" s="3">
        <v>38</v>
      </c>
      <c r="D2308" s="13">
        <v>100</v>
      </c>
      <c r="E2308" s="5">
        <v>38260</v>
      </c>
      <c r="F2308" s="2" t="s">
        <v>13</v>
      </c>
      <c r="G2308" s="2" t="s">
        <v>14</v>
      </c>
      <c r="H2308" s="3">
        <v>3</v>
      </c>
      <c r="I2308" s="6">
        <v>2004</v>
      </c>
      <c r="J2308" s="2" t="s">
        <v>22</v>
      </c>
      <c r="K2308" s="2" t="s">
        <v>55</v>
      </c>
      <c r="L2308" s="7">
        <f t="shared" si="108"/>
        <v>3800</v>
      </c>
      <c r="M2308" s="2" t="str">
        <f t="shared" si="109"/>
        <v>September</v>
      </c>
      <c r="N2308" s="6">
        <f t="shared" si="110"/>
        <v>2004</v>
      </c>
    </row>
    <row r="2309" spans="1:14">
      <c r="A2309" s="2" t="s">
        <v>56</v>
      </c>
      <c r="B2309" s="3">
        <v>10309</v>
      </c>
      <c r="C2309" s="3">
        <v>50</v>
      </c>
      <c r="D2309" s="13">
        <v>84.7</v>
      </c>
      <c r="E2309" s="5">
        <v>38275</v>
      </c>
      <c r="F2309" s="2" t="s">
        <v>13</v>
      </c>
      <c r="G2309" s="2" t="s">
        <v>14</v>
      </c>
      <c r="H2309" s="3">
        <v>4</v>
      </c>
      <c r="I2309" s="6">
        <v>2004</v>
      </c>
      <c r="J2309" s="2" t="s">
        <v>22</v>
      </c>
      <c r="K2309" s="2" t="s">
        <v>57</v>
      </c>
      <c r="L2309" s="7">
        <f t="shared" si="108"/>
        <v>4235</v>
      </c>
      <c r="M2309" s="2" t="str">
        <f t="shared" si="109"/>
        <v>October</v>
      </c>
      <c r="N2309" s="6">
        <f t="shared" si="110"/>
        <v>2004</v>
      </c>
    </row>
    <row r="2310" spans="1:14">
      <c r="A2310" s="2" t="s">
        <v>188</v>
      </c>
      <c r="B2310" s="3">
        <v>10319</v>
      </c>
      <c r="C2310" s="3">
        <v>22</v>
      </c>
      <c r="D2310" s="13">
        <v>100</v>
      </c>
      <c r="E2310" s="5">
        <v>38294</v>
      </c>
      <c r="F2310" s="2" t="s">
        <v>13</v>
      </c>
      <c r="G2310" s="2" t="s">
        <v>14</v>
      </c>
      <c r="H2310" s="3">
        <v>4</v>
      </c>
      <c r="I2310" s="6">
        <v>2004</v>
      </c>
      <c r="J2310" s="2" t="s">
        <v>15</v>
      </c>
      <c r="K2310" s="2" t="s">
        <v>189</v>
      </c>
      <c r="L2310" s="7">
        <f t="shared" si="108"/>
        <v>2200</v>
      </c>
      <c r="M2310" s="2" t="str">
        <f t="shared" si="109"/>
        <v>November</v>
      </c>
      <c r="N2310" s="6">
        <f t="shared" si="110"/>
        <v>2004</v>
      </c>
    </row>
    <row r="2311" spans="1:14">
      <c r="A2311" s="2" t="s">
        <v>116</v>
      </c>
      <c r="B2311" s="3">
        <v>10331</v>
      </c>
      <c r="C2311" s="3">
        <v>32</v>
      </c>
      <c r="D2311" s="13">
        <v>100</v>
      </c>
      <c r="E2311" s="5">
        <v>38308</v>
      </c>
      <c r="F2311" s="2" t="s">
        <v>13</v>
      </c>
      <c r="G2311" s="2" t="s">
        <v>14</v>
      </c>
      <c r="H2311" s="3">
        <v>4</v>
      </c>
      <c r="I2311" s="6">
        <v>2004</v>
      </c>
      <c r="J2311" s="2" t="s">
        <v>22</v>
      </c>
      <c r="K2311" s="2" t="s">
        <v>117</v>
      </c>
      <c r="L2311" s="7">
        <f t="shared" si="108"/>
        <v>3200</v>
      </c>
      <c r="M2311" s="2" t="str">
        <f t="shared" si="109"/>
        <v>November</v>
      </c>
      <c r="N2311" s="6">
        <f t="shared" si="110"/>
        <v>2004</v>
      </c>
    </row>
    <row r="2312" spans="1:14">
      <c r="A2312" s="2" t="s">
        <v>60</v>
      </c>
      <c r="B2312" s="3">
        <v>10341</v>
      </c>
      <c r="C2312" s="3">
        <v>31</v>
      </c>
      <c r="D2312" s="13">
        <v>71.02</v>
      </c>
      <c r="E2312" s="5">
        <v>38315</v>
      </c>
      <c r="F2312" s="2" t="s">
        <v>13</v>
      </c>
      <c r="G2312" s="2" t="s">
        <v>14</v>
      </c>
      <c r="H2312" s="3">
        <v>4</v>
      </c>
      <c r="I2312" s="6">
        <v>2004</v>
      </c>
      <c r="J2312" s="2" t="s">
        <v>15</v>
      </c>
      <c r="K2312" s="2" t="s">
        <v>62</v>
      </c>
      <c r="L2312" s="7">
        <f t="shared" si="108"/>
        <v>2201.62</v>
      </c>
      <c r="M2312" s="2" t="str">
        <f t="shared" si="109"/>
        <v>November</v>
      </c>
      <c r="N2312" s="6">
        <f t="shared" si="110"/>
        <v>2004</v>
      </c>
    </row>
    <row r="2313" spans="1:14">
      <c r="A2313" s="2" t="s">
        <v>69</v>
      </c>
      <c r="B2313" s="3">
        <v>10355</v>
      </c>
      <c r="C2313" s="3">
        <v>40</v>
      </c>
      <c r="D2313" s="13">
        <v>100</v>
      </c>
      <c r="E2313" s="5">
        <v>38328</v>
      </c>
      <c r="F2313" s="2" t="s">
        <v>13</v>
      </c>
      <c r="G2313" s="2" t="s">
        <v>14</v>
      </c>
      <c r="H2313" s="3">
        <v>4</v>
      </c>
      <c r="I2313" s="6">
        <v>2004</v>
      </c>
      <c r="J2313" s="2" t="s">
        <v>22</v>
      </c>
      <c r="K2313" s="2" t="s">
        <v>71</v>
      </c>
      <c r="L2313" s="7">
        <f t="shared" si="108"/>
        <v>4000</v>
      </c>
      <c r="M2313" s="2" t="str">
        <f t="shared" si="109"/>
        <v>December</v>
      </c>
      <c r="N2313" s="6">
        <f t="shared" si="110"/>
        <v>2004</v>
      </c>
    </row>
    <row r="2314" spans="1:14">
      <c r="A2314" s="2" t="s">
        <v>126</v>
      </c>
      <c r="B2314" s="3">
        <v>10365</v>
      </c>
      <c r="C2314" s="3">
        <v>22</v>
      </c>
      <c r="D2314" s="13">
        <v>100</v>
      </c>
      <c r="E2314" s="5">
        <v>38359</v>
      </c>
      <c r="F2314" s="2" t="s">
        <v>13</v>
      </c>
      <c r="G2314" s="2" t="s">
        <v>14</v>
      </c>
      <c r="H2314" s="3">
        <v>1</v>
      </c>
      <c r="I2314" s="6">
        <v>2005</v>
      </c>
      <c r="J2314" s="2" t="s">
        <v>22</v>
      </c>
      <c r="K2314" s="2" t="s">
        <v>127</v>
      </c>
      <c r="L2314" s="7">
        <f t="shared" si="108"/>
        <v>2200</v>
      </c>
      <c r="M2314" s="2" t="str">
        <f t="shared" si="109"/>
        <v>January</v>
      </c>
      <c r="N2314" s="6">
        <f t="shared" si="110"/>
        <v>2005</v>
      </c>
    </row>
    <row r="2315" spans="1:14">
      <c r="A2315" s="2" t="s">
        <v>50</v>
      </c>
      <c r="B2315" s="3">
        <v>10375</v>
      </c>
      <c r="C2315" s="3">
        <v>41</v>
      </c>
      <c r="D2315" s="13">
        <v>100</v>
      </c>
      <c r="E2315" s="5">
        <v>38386</v>
      </c>
      <c r="F2315" s="2" t="s">
        <v>13</v>
      </c>
      <c r="G2315" s="2" t="s">
        <v>14</v>
      </c>
      <c r="H2315" s="3">
        <v>1</v>
      </c>
      <c r="I2315" s="6">
        <v>2005</v>
      </c>
      <c r="J2315" s="2" t="s">
        <v>22</v>
      </c>
      <c r="K2315" s="2" t="s">
        <v>51</v>
      </c>
      <c r="L2315" s="7">
        <f t="shared" si="108"/>
        <v>4100</v>
      </c>
      <c r="M2315" s="2" t="str">
        <f t="shared" si="109"/>
        <v>February</v>
      </c>
      <c r="N2315" s="6">
        <f t="shared" si="110"/>
        <v>2005</v>
      </c>
    </row>
    <row r="2316" spans="1:14">
      <c r="A2316" s="2" t="s">
        <v>103</v>
      </c>
      <c r="B2316" s="3">
        <v>10390</v>
      </c>
      <c r="C2316" s="3">
        <v>45</v>
      </c>
      <c r="D2316" s="13">
        <v>48.98</v>
      </c>
      <c r="E2316" s="5">
        <v>38415</v>
      </c>
      <c r="F2316" s="2" t="s">
        <v>13</v>
      </c>
      <c r="G2316" s="2" t="s">
        <v>14</v>
      </c>
      <c r="H2316" s="3">
        <v>1</v>
      </c>
      <c r="I2316" s="6">
        <v>2005</v>
      </c>
      <c r="J2316" s="2" t="s">
        <v>15</v>
      </c>
      <c r="K2316" s="2" t="s">
        <v>104</v>
      </c>
      <c r="L2316" s="7">
        <f t="shared" si="108"/>
        <v>2204.1</v>
      </c>
      <c r="M2316" s="2" t="str">
        <f t="shared" si="109"/>
        <v>March</v>
      </c>
      <c r="N2316" s="6">
        <f t="shared" si="110"/>
        <v>2005</v>
      </c>
    </row>
    <row r="2317" spans="1:14">
      <c r="A2317" s="2" t="s">
        <v>67</v>
      </c>
      <c r="B2317" s="3">
        <v>10403</v>
      </c>
      <c r="C2317" s="3">
        <v>45</v>
      </c>
      <c r="D2317" s="13">
        <v>100</v>
      </c>
      <c r="E2317" s="5">
        <v>38450</v>
      </c>
      <c r="F2317" s="2" t="s">
        <v>13</v>
      </c>
      <c r="G2317" s="2" t="s">
        <v>14</v>
      </c>
      <c r="H2317" s="3">
        <v>2</v>
      </c>
      <c r="I2317" s="6">
        <v>2005</v>
      </c>
      <c r="J2317" s="2" t="s">
        <v>22</v>
      </c>
      <c r="K2317" s="2" t="s">
        <v>68</v>
      </c>
      <c r="L2317" s="7">
        <f t="shared" si="108"/>
        <v>4500</v>
      </c>
      <c r="M2317" s="2" t="str">
        <f t="shared" si="109"/>
        <v>April</v>
      </c>
      <c r="N2317" s="6">
        <f t="shared" si="110"/>
        <v>2005</v>
      </c>
    </row>
    <row r="2318" spans="1:14">
      <c r="A2318" s="2" t="s">
        <v>203</v>
      </c>
      <c r="B2318" s="3">
        <v>10106</v>
      </c>
      <c r="C2318" s="3">
        <v>39</v>
      </c>
      <c r="D2318" s="13">
        <v>40.15</v>
      </c>
      <c r="E2318" s="5">
        <v>37669</v>
      </c>
      <c r="F2318" s="2" t="s">
        <v>13</v>
      </c>
      <c r="G2318" s="2" t="s">
        <v>202</v>
      </c>
      <c r="H2318" s="3">
        <v>1</v>
      </c>
      <c r="I2318" s="6">
        <v>2003</v>
      </c>
      <c r="J2318" s="2" t="s">
        <v>15</v>
      </c>
      <c r="K2318" s="2" t="s">
        <v>204</v>
      </c>
      <c r="L2318" s="7">
        <f t="shared" si="108"/>
        <v>1565.85</v>
      </c>
      <c r="M2318" s="2" t="str">
        <f t="shared" si="109"/>
        <v>February</v>
      </c>
      <c r="N2318" s="6">
        <f t="shared" si="110"/>
        <v>2003</v>
      </c>
    </row>
    <row r="2319" spans="1:14">
      <c r="A2319" s="2" t="s">
        <v>42</v>
      </c>
      <c r="B2319" s="3">
        <v>10120</v>
      </c>
      <c r="C2319" s="3">
        <v>49</v>
      </c>
      <c r="D2319" s="13">
        <v>50.62</v>
      </c>
      <c r="E2319" s="5">
        <v>37740</v>
      </c>
      <c r="F2319" s="2" t="s">
        <v>13</v>
      </c>
      <c r="G2319" s="2" t="s">
        <v>202</v>
      </c>
      <c r="H2319" s="3">
        <v>2</v>
      </c>
      <c r="I2319" s="6">
        <v>2003</v>
      </c>
      <c r="J2319" s="2" t="s">
        <v>15</v>
      </c>
      <c r="K2319" s="2" t="s">
        <v>43</v>
      </c>
      <c r="L2319" s="7">
        <f t="shared" si="108"/>
        <v>2480.38</v>
      </c>
      <c r="M2319" s="2" t="str">
        <f t="shared" si="109"/>
        <v>April</v>
      </c>
      <c r="N2319" s="6">
        <f t="shared" si="110"/>
        <v>2003</v>
      </c>
    </row>
    <row r="2320" spans="1:14">
      <c r="A2320" s="2" t="s">
        <v>69</v>
      </c>
      <c r="B2320" s="3">
        <v>10133</v>
      </c>
      <c r="C2320" s="3">
        <v>27</v>
      </c>
      <c r="D2320" s="13">
        <v>50.19</v>
      </c>
      <c r="E2320" s="5">
        <v>37799</v>
      </c>
      <c r="F2320" s="2" t="s">
        <v>13</v>
      </c>
      <c r="G2320" s="2" t="s">
        <v>202</v>
      </c>
      <c r="H2320" s="3">
        <v>2</v>
      </c>
      <c r="I2320" s="6">
        <v>2003</v>
      </c>
      <c r="J2320" s="2" t="s">
        <v>15</v>
      </c>
      <c r="K2320" s="2" t="s">
        <v>71</v>
      </c>
      <c r="L2320" s="7">
        <f t="shared" si="108"/>
        <v>1355.13</v>
      </c>
      <c r="M2320" s="2" t="str">
        <f t="shared" si="109"/>
        <v>June</v>
      </c>
      <c r="N2320" s="6">
        <f t="shared" si="110"/>
        <v>2003</v>
      </c>
    </row>
    <row r="2321" spans="1:14">
      <c r="A2321" s="2" t="s">
        <v>126</v>
      </c>
      <c r="B2321" s="3">
        <v>10143</v>
      </c>
      <c r="C2321" s="3">
        <v>34</v>
      </c>
      <c r="D2321" s="13">
        <v>36.66</v>
      </c>
      <c r="E2321" s="5">
        <v>37843</v>
      </c>
      <c r="F2321" s="2" t="s">
        <v>13</v>
      </c>
      <c r="G2321" s="2" t="s">
        <v>202</v>
      </c>
      <c r="H2321" s="3">
        <v>3</v>
      </c>
      <c r="I2321" s="6">
        <v>2003</v>
      </c>
      <c r="J2321" s="2" t="s">
        <v>15</v>
      </c>
      <c r="K2321" s="2" t="s">
        <v>127</v>
      </c>
      <c r="L2321" s="7">
        <f t="shared" si="108"/>
        <v>1246.44</v>
      </c>
      <c r="M2321" s="2" t="str">
        <f t="shared" si="109"/>
        <v>August</v>
      </c>
      <c r="N2321" s="6">
        <f t="shared" si="110"/>
        <v>2003</v>
      </c>
    </row>
    <row r="2322" spans="1:14">
      <c r="A2322" s="2" t="s">
        <v>69</v>
      </c>
      <c r="B2322" s="3">
        <v>10156</v>
      </c>
      <c r="C2322" s="3">
        <v>20</v>
      </c>
      <c r="D2322" s="13">
        <v>41.02</v>
      </c>
      <c r="E2322" s="5">
        <v>37902</v>
      </c>
      <c r="F2322" s="2" t="s">
        <v>13</v>
      </c>
      <c r="G2322" s="2" t="s">
        <v>202</v>
      </c>
      <c r="H2322" s="3">
        <v>4</v>
      </c>
      <c r="I2322" s="6">
        <v>2003</v>
      </c>
      <c r="J2322" s="2" t="s">
        <v>15</v>
      </c>
      <c r="K2322" s="2" t="s">
        <v>71</v>
      </c>
      <c r="L2322" s="7">
        <f t="shared" si="108"/>
        <v>820.4</v>
      </c>
      <c r="M2322" s="2" t="str">
        <f t="shared" si="109"/>
        <v>October</v>
      </c>
      <c r="N2322" s="6">
        <f t="shared" si="110"/>
        <v>2003</v>
      </c>
    </row>
    <row r="2323" spans="1:14">
      <c r="A2323" s="2" t="s">
        <v>31</v>
      </c>
      <c r="B2323" s="3">
        <v>10168</v>
      </c>
      <c r="C2323" s="3">
        <v>48</v>
      </c>
      <c r="D2323" s="13">
        <v>51.93</v>
      </c>
      <c r="E2323" s="5">
        <v>37922</v>
      </c>
      <c r="F2323" s="2" t="s">
        <v>13</v>
      </c>
      <c r="G2323" s="2" t="s">
        <v>202</v>
      </c>
      <c r="H2323" s="3">
        <v>4</v>
      </c>
      <c r="I2323" s="6">
        <v>2003</v>
      </c>
      <c r="J2323" s="2" t="s">
        <v>15</v>
      </c>
      <c r="K2323" s="2" t="s">
        <v>32</v>
      </c>
      <c r="L2323" s="7">
        <f t="shared" si="108"/>
        <v>2492.64</v>
      </c>
      <c r="M2323" s="2" t="str">
        <f t="shared" si="109"/>
        <v>October</v>
      </c>
      <c r="N2323" s="6">
        <f t="shared" si="110"/>
        <v>2003</v>
      </c>
    </row>
    <row r="2324" spans="1:14">
      <c r="A2324" s="2" t="s">
        <v>89</v>
      </c>
      <c r="B2324" s="3">
        <v>10199</v>
      </c>
      <c r="C2324" s="3">
        <v>29</v>
      </c>
      <c r="D2324" s="13">
        <v>38.4</v>
      </c>
      <c r="E2324" s="5">
        <v>37956</v>
      </c>
      <c r="F2324" s="2" t="s">
        <v>13</v>
      </c>
      <c r="G2324" s="2" t="s">
        <v>202</v>
      </c>
      <c r="H2324" s="3">
        <v>4</v>
      </c>
      <c r="I2324" s="6">
        <v>2003</v>
      </c>
      <c r="J2324" s="2" t="s">
        <v>15</v>
      </c>
      <c r="K2324" s="2" t="s">
        <v>90</v>
      </c>
      <c r="L2324" s="7">
        <f t="shared" si="108"/>
        <v>1113.6</v>
      </c>
      <c r="M2324" s="2" t="str">
        <f t="shared" si="109"/>
        <v>December</v>
      </c>
      <c r="N2324" s="6">
        <f t="shared" si="110"/>
        <v>2003</v>
      </c>
    </row>
    <row r="2325" spans="1:14">
      <c r="A2325" s="2" t="s">
        <v>114</v>
      </c>
      <c r="B2325" s="3">
        <v>10210</v>
      </c>
      <c r="C2325" s="3">
        <v>43</v>
      </c>
      <c r="D2325" s="13">
        <v>41.02</v>
      </c>
      <c r="E2325" s="5">
        <v>37998</v>
      </c>
      <c r="F2325" s="2" t="s">
        <v>13</v>
      </c>
      <c r="G2325" s="2" t="s">
        <v>202</v>
      </c>
      <c r="H2325" s="3">
        <v>1</v>
      </c>
      <c r="I2325" s="6">
        <v>2004</v>
      </c>
      <c r="J2325" s="2" t="s">
        <v>15</v>
      </c>
      <c r="K2325" s="2" t="s">
        <v>115</v>
      </c>
      <c r="L2325" s="7">
        <f t="shared" si="108"/>
        <v>1763.86</v>
      </c>
      <c r="M2325" s="2" t="str">
        <f t="shared" si="109"/>
        <v>January</v>
      </c>
      <c r="N2325" s="6">
        <f t="shared" si="110"/>
        <v>2004</v>
      </c>
    </row>
    <row r="2326" spans="1:14">
      <c r="A2326" s="2" t="s">
        <v>42</v>
      </c>
      <c r="B2326" s="3">
        <v>10223</v>
      </c>
      <c r="C2326" s="3">
        <v>41</v>
      </c>
      <c r="D2326" s="13">
        <v>46.26</v>
      </c>
      <c r="E2326" s="5">
        <v>38037</v>
      </c>
      <c r="F2326" s="2" t="s">
        <v>13</v>
      </c>
      <c r="G2326" s="2" t="s">
        <v>202</v>
      </c>
      <c r="H2326" s="3">
        <v>1</v>
      </c>
      <c r="I2326" s="6">
        <v>2004</v>
      </c>
      <c r="J2326" s="2" t="s">
        <v>15</v>
      </c>
      <c r="K2326" s="2" t="s">
        <v>43</v>
      </c>
      <c r="L2326" s="7">
        <f t="shared" si="108"/>
        <v>1896.66</v>
      </c>
      <c r="M2326" s="2" t="str">
        <f t="shared" si="109"/>
        <v>February</v>
      </c>
      <c r="N2326" s="6">
        <f t="shared" si="110"/>
        <v>2004</v>
      </c>
    </row>
    <row r="2327" spans="1:14">
      <c r="A2327" s="2" t="s">
        <v>141</v>
      </c>
      <c r="B2327" s="3">
        <v>10235</v>
      </c>
      <c r="C2327" s="3">
        <v>41</v>
      </c>
      <c r="D2327" s="13">
        <v>35.35</v>
      </c>
      <c r="E2327" s="5">
        <v>38079</v>
      </c>
      <c r="F2327" s="2" t="s">
        <v>13</v>
      </c>
      <c r="G2327" s="2" t="s">
        <v>202</v>
      </c>
      <c r="H2327" s="3">
        <v>2</v>
      </c>
      <c r="I2327" s="6">
        <v>2004</v>
      </c>
      <c r="J2327" s="2" t="s">
        <v>15</v>
      </c>
      <c r="K2327" s="2" t="s">
        <v>142</v>
      </c>
      <c r="L2327" s="7">
        <f t="shared" si="108"/>
        <v>1449.35</v>
      </c>
      <c r="M2327" s="2" t="str">
        <f t="shared" si="109"/>
        <v>April</v>
      </c>
      <c r="N2327" s="6">
        <f t="shared" si="110"/>
        <v>2004</v>
      </c>
    </row>
    <row r="2328" spans="1:14">
      <c r="A2328" s="2" t="s">
        <v>149</v>
      </c>
      <c r="B2328" s="3">
        <v>10250</v>
      </c>
      <c r="C2328" s="3">
        <v>36</v>
      </c>
      <c r="D2328" s="13">
        <v>51.93</v>
      </c>
      <c r="E2328" s="5">
        <v>38118</v>
      </c>
      <c r="F2328" s="2" t="s">
        <v>13</v>
      </c>
      <c r="G2328" s="2" t="s">
        <v>202</v>
      </c>
      <c r="H2328" s="3">
        <v>2</v>
      </c>
      <c r="I2328" s="6">
        <v>2004</v>
      </c>
      <c r="J2328" s="2" t="s">
        <v>15</v>
      </c>
      <c r="K2328" s="2" t="s">
        <v>150</v>
      </c>
      <c r="L2328" s="7">
        <f t="shared" si="108"/>
        <v>1869.48</v>
      </c>
      <c r="M2328" s="2" t="str">
        <f t="shared" si="109"/>
        <v>May</v>
      </c>
      <c r="N2328" s="6">
        <f t="shared" si="110"/>
        <v>2004</v>
      </c>
    </row>
    <row r="2329" spans="1:14">
      <c r="A2329" s="2" t="s">
        <v>69</v>
      </c>
      <c r="B2329" s="3">
        <v>10262</v>
      </c>
      <c r="C2329" s="3">
        <v>49</v>
      </c>
      <c r="D2329" s="13">
        <v>37.97</v>
      </c>
      <c r="E2329" s="5">
        <v>38162</v>
      </c>
      <c r="F2329" s="2" t="s">
        <v>128</v>
      </c>
      <c r="G2329" s="2" t="s">
        <v>202</v>
      </c>
      <c r="H2329" s="3">
        <v>2</v>
      </c>
      <c r="I2329" s="6">
        <v>2004</v>
      </c>
      <c r="J2329" s="2" t="s">
        <v>15</v>
      </c>
      <c r="K2329" s="2" t="s">
        <v>71</v>
      </c>
      <c r="L2329" s="7">
        <f t="shared" si="108"/>
        <v>1860.53</v>
      </c>
      <c r="M2329" s="2" t="str">
        <f t="shared" si="109"/>
        <v>June</v>
      </c>
      <c r="N2329" s="6">
        <f t="shared" si="110"/>
        <v>2004</v>
      </c>
    </row>
    <row r="2330" spans="1:14">
      <c r="A2330" s="2" t="s">
        <v>50</v>
      </c>
      <c r="B2330" s="3">
        <v>10275</v>
      </c>
      <c r="C2330" s="3">
        <v>38</v>
      </c>
      <c r="D2330" s="13">
        <v>45.39</v>
      </c>
      <c r="E2330" s="5">
        <v>38191</v>
      </c>
      <c r="F2330" s="2" t="s">
        <v>13</v>
      </c>
      <c r="G2330" s="2" t="s">
        <v>202</v>
      </c>
      <c r="H2330" s="3">
        <v>3</v>
      </c>
      <c r="I2330" s="6">
        <v>2004</v>
      </c>
      <c r="J2330" s="2" t="s">
        <v>15</v>
      </c>
      <c r="K2330" s="2" t="s">
        <v>51</v>
      </c>
      <c r="L2330" s="7">
        <f t="shared" si="108"/>
        <v>1724.82</v>
      </c>
      <c r="M2330" s="2" t="str">
        <f t="shared" si="109"/>
        <v>July</v>
      </c>
      <c r="N2330" s="6">
        <f t="shared" si="110"/>
        <v>2004</v>
      </c>
    </row>
    <row r="2331" spans="1:14">
      <c r="A2331" s="2" t="s">
        <v>200</v>
      </c>
      <c r="B2331" s="3">
        <v>10284</v>
      </c>
      <c r="C2331" s="3">
        <v>33</v>
      </c>
      <c r="D2331" s="13">
        <v>51.93</v>
      </c>
      <c r="E2331" s="5">
        <v>38220</v>
      </c>
      <c r="F2331" s="2" t="s">
        <v>13</v>
      </c>
      <c r="G2331" s="2" t="s">
        <v>202</v>
      </c>
      <c r="H2331" s="3">
        <v>3</v>
      </c>
      <c r="I2331" s="6">
        <v>2004</v>
      </c>
      <c r="J2331" s="2" t="s">
        <v>15</v>
      </c>
      <c r="K2331" s="2" t="s">
        <v>201</v>
      </c>
      <c r="L2331" s="7">
        <f t="shared" si="108"/>
        <v>1713.69</v>
      </c>
      <c r="M2331" s="2" t="str">
        <f t="shared" si="109"/>
        <v>August</v>
      </c>
      <c r="N2331" s="6">
        <f t="shared" si="110"/>
        <v>2004</v>
      </c>
    </row>
    <row r="2332" spans="1:14">
      <c r="A2332" s="2" t="s">
        <v>210</v>
      </c>
      <c r="B2332" s="3">
        <v>10296</v>
      </c>
      <c r="C2332" s="3">
        <v>26</v>
      </c>
      <c r="D2332" s="13">
        <v>48.44</v>
      </c>
      <c r="E2332" s="5">
        <v>38245</v>
      </c>
      <c r="F2332" s="2" t="s">
        <v>13</v>
      </c>
      <c r="G2332" s="2" t="s">
        <v>202</v>
      </c>
      <c r="H2332" s="3">
        <v>3</v>
      </c>
      <c r="I2332" s="6">
        <v>2004</v>
      </c>
      <c r="J2332" s="2" t="s">
        <v>15</v>
      </c>
      <c r="K2332" s="2" t="s">
        <v>211</v>
      </c>
      <c r="L2332" s="7">
        <f t="shared" si="108"/>
        <v>1259.44</v>
      </c>
      <c r="M2332" s="2" t="str">
        <f t="shared" si="109"/>
        <v>September</v>
      </c>
      <c r="N2332" s="6">
        <f t="shared" si="110"/>
        <v>2004</v>
      </c>
    </row>
    <row r="2333" spans="1:14">
      <c r="A2333" s="2" t="s">
        <v>120</v>
      </c>
      <c r="B2333" s="3">
        <v>10308</v>
      </c>
      <c r="C2333" s="3">
        <v>47</v>
      </c>
      <c r="D2333" s="13">
        <v>43.64</v>
      </c>
      <c r="E2333" s="5">
        <v>38275</v>
      </c>
      <c r="F2333" s="2" t="s">
        <v>13</v>
      </c>
      <c r="G2333" s="2" t="s">
        <v>202</v>
      </c>
      <c r="H2333" s="3">
        <v>4</v>
      </c>
      <c r="I2333" s="6">
        <v>2004</v>
      </c>
      <c r="J2333" s="2" t="s">
        <v>15</v>
      </c>
      <c r="K2333" s="2" t="s">
        <v>121</v>
      </c>
      <c r="L2333" s="7">
        <f t="shared" si="108"/>
        <v>2051.08</v>
      </c>
      <c r="M2333" s="2" t="str">
        <f t="shared" si="109"/>
        <v>October</v>
      </c>
      <c r="N2333" s="6">
        <f t="shared" si="110"/>
        <v>2004</v>
      </c>
    </row>
    <row r="2334" spans="1:14">
      <c r="A2334" s="2" t="s">
        <v>145</v>
      </c>
      <c r="B2334" s="3">
        <v>10316</v>
      </c>
      <c r="C2334" s="3">
        <v>34</v>
      </c>
      <c r="D2334" s="13">
        <v>47.57</v>
      </c>
      <c r="E2334" s="5">
        <v>38292</v>
      </c>
      <c r="F2334" s="2" t="s">
        <v>13</v>
      </c>
      <c r="G2334" s="2" t="s">
        <v>202</v>
      </c>
      <c r="H2334" s="3">
        <v>4</v>
      </c>
      <c r="I2334" s="6">
        <v>2004</v>
      </c>
      <c r="J2334" s="2" t="s">
        <v>15</v>
      </c>
      <c r="K2334" s="2" t="s">
        <v>146</v>
      </c>
      <c r="L2334" s="7">
        <f t="shared" si="108"/>
        <v>1617.38</v>
      </c>
      <c r="M2334" s="2" t="str">
        <f t="shared" si="109"/>
        <v>November</v>
      </c>
      <c r="N2334" s="6">
        <f t="shared" si="110"/>
        <v>2004</v>
      </c>
    </row>
    <row r="2335" spans="1:14">
      <c r="A2335" s="2" t="s">
        <v>203</v>
      </c>
      <c r="B2335" s="3">
        <v>10328</v>
      </c>
      <c r="C2335" s="3">
        <v>34</v>
      </c>
      <c r="D2335" s="13">
        <v>51.93</v>
      </c>
      <c r="E2335" s="5">
        <v>38303</v>
      </c>
      <c r="F2335" s="2" t="s">
        <v>13</v>
      </c>
      <c r="G2335" s="2" t="s">
        <v>202</v>
      </c>
      <c r="H2335" s="3">
        <v>4</v>
      </c>
      <c r="I2335" s="6">
        <v>2004</v>
      </c>
      <c r="J2335" s="2" t="s">
        <v>15</v>
      </c>
      <c r="K2335" s="2" t="s">
        <v>204</v>
      </c>
      <c r="L2335" s="7">
        <f t="shared" si="108"/>
        <v>1765.62</v>
      </c>
      <c r="M2335" s="2" t="str">
        <f t="shared" si="109"/>
        <v>November</v>
      </c>
      <c r="N2335" s="6">
        <f t="shared" si="110"/>
        <v>2004</v>
      </c>
    </row>
    <row r="2336" spans="1:14">
      <c r="A2336" s="2" t="s">
        <v>133</v>
      </c>
      <c r="B2336" s="3">
        <v>10340</v>
      </c>
      <c r="C2336" s="3">
        <v>40</v>
      </c>
      <c r="D2336" s="13">
        <v>50.62</v>
      </c>
      <c r="E2336" s="5">
        <v>38315</v>
      </c>
      <c r="F2336" s="2" t="s">
        <v>13</v>
      </c>
      <c r="G2336" s="2" t="s">
        <v>202</v>
      </c>
      <c r="H2336" s="3">
        <v>4</v>
      </c>
      <c r="I2336" s="6">
        <v>2004</v>
      </c>
      <c r="J2336" s="2" t="s">
        <v>15</v>
      </c>
      <c r="K2336" s="2" t="s">
        <v>134</v>
      </c>
      <c r="L2336" s="7">
        <f t="shared" si="108"/>
        <v>2024.8</v>
      </c>
      <c r="M2336" s="2" t="str">
        <f t="shared" si="109"/>
        <v>November</v>
      </c>
      <c r="N2336" s="6">
        <f t="shared" si="110"/>
        <v>2004</v>
      </c>
    </row>
    <row r="2337" spans="1:14">
      <c r="A2337" s="2" t="s">
        <v>208</v>
      </c>
      <c r="B2337" s="3">
        <v>10353</v>
      </c>
      <c r="C2337" s="3">
        <v>40</v>
      </c>
      <c r="D2337" s="13">
        <v>82.21</v>
      </c>
      <c r="E2337" s="5">
        <v>38325</v>
      </c>
      <c r="F2337" s="2" t="s">
        <v>13</v>
      </c>
      <c r="G2337" s="2" t="s">
        <v>202</v>
      </c>
      <c r="H2337" s="3">
        <v>4</v>
      </c>
      <c r="I2337" s="6">
        <v>2004</v>
      </c>
      <c r="J2337" s="2" t="s">
        <v>22</v>
      </c>
      <c r="K2337" s="2" t="s">
        <v>209</v>
      </c>
      <c r="L2337" s="7">
        <f t="shared" si="108"/>
        <v>3288.4</v>
      </c>
      <c r="M2337" s="2" t="str">
        <f t="shared" si="109"/>
        <v>December</v>
      </c>
      <c r="N2337" s="6">
        <f t="shared" si="110"/>
        <v>2004</v>
      </c>
    </row>
    <row r="2338" spans="1:14">
      <c r="A2338" s="2" t="s">
        <v>63</v>
      </c>
      <c r="B2338" s="3">
        <v>10361</v>
      </c>
      <c r="C2338" s="3">
        <v>33</v>
      </c>
      <c r="D2338" s="13">
        <v>82.59</v>
      </c>
      <c r="E2338" s="5">
        <v>38338</v>
      </c>
      <c r="F2338" s="2" t="s">
        <v>13</v>
      </c>
      <c r="G2338" s="2" t="s">
        <v>202</v>
      </c>
      <c r="H2338" s="3">
        <v>4</v>
      </c>
      <c r="I2338" s="6">
        <v>2004</v>
      </c>
      <c r="J2338" s="2" t="s">
        <v>15</v>
      </c>
      <c r="K2338" s="2" t="s">
        <v>64</v>
      </c>
      <c r="L2338" s="7">
        <f t="shared" si="108"/>
        <v>2725.47</v>
      </c>
      <c r="M2338" s="2" t="str">
        <f t="shared" si="109"/>
        <v>December</v>
      </c>
      <c r="N2338" s="6">
        <f t="shared" si="110"/>
        <v>2004</v>
      </c>
    </row>
    <row r="2339" spans="1:14">
      <c r="A2339" s="2" t="s">
        <v>50</v>
      </c>
      <c r="B2339" s="3">
        <v>10375</v>
      </c>
      <c r="C2339" s="3">
        <v>49</v>
      </c>
      <c r="D2339" s="13">
        <v>65.8</v>
      </c>
      <c r="E2339" s="5">
        <v>38386</v>
      </c>
      <c r="F2339" s="2" t="s">
        <v>13</v>
      </c>
      <c r="G2339" s="2" t="s">
        <v>202</v>
      </c>
      <c r="H2339" s="3">
        <v>1</v>
      </c>
      <c r="I2339" s="6">
        <v>2005</v>
      </c>
      <c r="J2339" s="2" t="s">
        <v>22</v>
      </c>
      <c r="K2339" s="2" t="s">
        <v>51</v>
      </c>
      <c r="L2339" s="7">
        <f t="shared" si="108"/>
        <v>3224.2</v>
      </c>
      <c r="M2339" s="2" t="str">
        <f t="shared" si="109"/>
        <v>February</v>
      </c>
      <c r="N2339" s="6">
        <f t="shared" si="110"/>
        <v>2005</v>
      </c>
    </row>
    <row r="2340" spans="1:14">
      <c r="A2340" s="2" t="s">
        <v>65</v>
      </c>
      <c r="B2340" s="3">
        <v>10388</v>
      </c>
      <c r="C2340" s="3">
        <v>27</v>
      </c>
      <c r="D2340" s="13">
        <v>100</v>
      </c>
      <c r="E2340" s="5">
        <v>38414</v>
      </c>
      <c r="F2340" s="2" t="s">
        <v>13</v>
      </c>
      <c r="G2340" s="2" t="s">
        <v>202</v>
      </c>
      <c r="H2340" s="3">
        <v>1</v>
      </c>
      <c r="I2340" s="6">
        <v>2005</v>
      </c>
      <c r="J2340" s="2" t="s">
        <v>22</v>
      </c>
      <c r="K2340" s="2" t="s">
        <v>66</v>
      </c>
      <c r="L2340" s="7">
        <f t="shared" si="108"/>
        <v>2700</v>
      </c>
      <c r="M2340" s="2" t="str">
        <f t="shared" si="109"/>
        <v>March</v>
      </c>
      <c r="N2340" s="6">
        <f t="shared" si="110"/>
        <v>2005</v>
      </c>
    </row>
    <row r="2341" spans="1:14">
      <c r="A2341" s="2" t="s">
        <v>18</v>
      </c>
      <c r="B2341" s="3">
        <v>10398</v>
      </c>
      <c r="C2341" s="3">
        <v>49</v>
      </c>
      <c r="D2341" s="13">
        <v>36.66</v>
      </c>
      <c r="E2341" s="5">
        <v>38441</v>
      </c>
      <c r="F2341" s="2" t="s">
        <v>13</v>
      </c>
      <c r="G2341" s="2" t="s">
        <v>202</v>
      </c>
      <c r="H2341" s="3">
        <v>1</v>
      </c>
      <c r="I2341" s="6">
        <v>2005</v>
      </c>
      <c r="J2341" s="2" t="s">
        <v>15</v>
      </c>
      <c r="K2341" s="2" t="s">
        <v>19</v>
      </c>
      <c r="L2341" s="7">
        <f t="shared" si="108"/>
        <v>1796.34</v>
      </c>
      <c r="M2341" s="2" t="str">
        <f t="shared" si="109"/>
        <v>March</v>
      </c>
      <c r="N2341" s="6">
        <f t="shared" si="110"/>
        <v>2005</v>
      </c>
    </row>
    <row r="2342" spans="1:14">
      <c r="A2342" s="2" t="s">
        <v>46</v>
      </c>
      <c r="B2342" s="3">
        <v>10401</v>
      </c>
      <c r="C2342" s="3">
        <v>56</v>
      </c>
      <c r="D2342" s="13">
        <v>35.35</v>
      </c>
      <c r="E2342" s="5">
        <v>38445</v>
      </c>
      <c r="F2342" s="2" t="s">
        <v>151</v>
      </c>
      <c r="G2342" s="2" t="s">
        <v>202</v>
      </c>
      <c r="H2342" s="3">
        <v>2</v>
      </c>
      <c r="I2342" s="6">
        <v>2005</v>
      </c>
      <c r="J2342" s="2" t="s">
        <v>15</v>
      </c>
      <c r="K2342" s="2" t="s">
        <v>47</v>
      </c>
      <c r="L2342" s="7">
        <f t="shared" si="108"/>
        <v>1979.6</v>
      </c>
      <c r="M2342" s="2" t="str">
        <f t="shared" si="109"/>
        <v>April</v>
      </c>
      <c r="N2342" s="6">
        <f t="shared" si="110"/>
        <v>2005</v>
      </c>
    </row>
    <row r="2343" spans="1:14">
      <c r="A2343" s="2" t="s">
        <v>169</v>
      </c>
      <c r="B2343" s="3">
        <v>10416</v>
      </c>
      <c r="C2343" s="3">
        <v>37</v>
      </c>
      <c r="D2343" s="13">
        <v>51.93</v>
      </c>
      <c r="E2343" s="5">
        <v>38482</v>
      </c>
      <c r="F2343" s="2" t="s">
        <v>13</v>
      </c>
      <c r="G2343" s="2" t="s">
        <v>202</v>
      </c>
      <c r="H2343" s="3">
        <v>2</v>
      </c>
      <c r="I2343" s="6">
        <v>2005</v>
      </c>
      <c r="J2343" s="2" t="s">
        <v>15</v>
      </c>
      <c r="K2343" s="2" t="s">
        <v>170</v>
      </c>
      <c r="L2343" s="7">
        <f t="shared" si="108"/>
        <v>1921.41</v>
      </c>
      <c r="M2343" s="2" t="str">
        <f t="shared" si="109"/>
        <v>May</v>
      </c>
      <c r="N2343" s="6">
        <f t="shared" si="110"/>
        <v>2005</v>
      </c>
    </row>
    <row r="2344" spans="1:14">
      <c r="A2344" s="2" t="s">
        <v>69</v>
      </c>
      <c r="B2344" s="3">
        <v>10104</v>
      </c>
      <c r="C2344" s="3">
        <v>33</v>
      </c>
      <c r="D2344" s="13">
        <v>100</v>
      </c>
      <c r="E2344" s="5">
        <v>37652</v>
      </c>
      <c r="F2344" s="2" t="s">
        <v>13</v>
      </c>
      <c r="G2344" s="2" t="s">
        <v>187</v>
      </c>
      <c r="H2344" s="3">
        <v>1</v>
      </c>
      <c r="I2344" s="6">
        <v>2003</v>
      </c>
      <c r="J2344" s="2" t="s">
        <v>22</v>
      </c>
      <c r="K2344" s="2" t="s">
        <v>71</v>
      </c>
      <c r="L2344" s="7">
        <f t="shared" si="108"/>
        <v>3300</v>
      </c>
      <c r="M2344" s="2" t="str">
        <f t="shared" si="109"/>
        <v>January</v>
      </c>
      <c r="N2344" s="6">
        <f t="shared" si="110"/>
        <v>2003</v>
      </c>
    </row>
    <row r="2345" spans="1:14">
      <c r="A2345" s="2" t="s">
        <v>79</v>
      </c>
      <c r="B2345" s="3">
        <v>10115</v>
      </c>
      <c r="C2345" s="3">
        <v>27</v>
      </c>
      <c r="D2345" s="13">
        <v>100</v>
      </c>
      <c r="E2345" s="5">
        <v>37715</v>
      </c>
      <c r="F2345" s="2" t="s">
        <v>13</v>
      </c>
      <c r="G2345" s="2" t="s">
        <v>187</v>
      </c>
      <c r="H2345" s="3">
        <v>2</v>
      </c>
      <c r="I2345" s="6">
        <v>2003</v>
      </c>
      <c r="J2345" s="2" t="s">
        <v>15</v>
      </c>
      <c r="K2345" s="2" t="s">
        <v>80</v>
      </c>
      <c r="L2345" s="7">
        <f t="shared" si="108"/>
        <v>2700</v>
      </c>
      <c r="M2345" s="2" t="str">
        <f t="shared" si="109"/>
        <v>April</v>
      </c>
      <c r="N2345" s="6">
        <f t="shared" si="110"/>
        <v>2003</v>
      </c>
    </row>
    <row r="2346" spans="1:14">
      <c r="A2346" s="2" t="s">
        <v>177</v>
      </c>
      <c r="B2346" s="3">
        <v>10127</v>
      </c>
      <c r="C2346" s="3">
        <v>46</v>
      </c>
      <c r="D2346" s="13">
        <v>100</v>
      </c>
      <c r="E2346" s="5">
        <v>37775</v>
      </c>
      <c r="F2346" s="2" t="s">
        <v>13</v>
      </c>
      <c r="G2346" s="2" t="s">
        <v>187</v>
      </c>
      <c r="H2346" s="3">
        <v>2</v>
      </c>
      <c r="I2346" s="6">
        <v>2003</v>
      </c>
      <c r="J2346" s="2" t="s">
        <v>22</v>
      </c>
      <c r="K2346" s="2" t="s">
        <v>178</v>
      </c>
      <c r="L2346" s="7">
        <f t="shared" si="108"/>
        <v>4600</v>
      </c>
      <c r="M2346" s="2" t="str">
        <f t="shared" si="109"/>
        <v>June</v>
      </c>
      <c r="N2346" s="6">
        <f t="shared" si="110"/>
        <v>2003</v>
      </c>
    </row>
    <row r="2347" spans="1:14">
      <c r="A2347" s="2" t="s">
        <v>175</v>
      </c>
      <c r="B2347" s="3">
        <v>10141</v>
      </c>
      <c r="C2347" s="3">
        <v>44</v>
      </c>
      <c r="D2347" s="13">
        <v>100</v>
      </c>
      <c r="E2347" s="5">
        <v>37834</v>
      </c>
      <c r="F2347" s="2" t="s">
        <v>13</v>
      </c>
      <c r="G2347" s="2" t="s">
        <v>187</v>
      </c>
      <c r="H2347" s="3">
        <v>3</v>
      </c>
      <c r="I2347" s="6">
        <v>2003</v>
      </c>
      <c r="J2347" s="2" t="s">
        <v>22</v>
      </c>
      <c r="K2347" s="2" t="s">
        <v>176</v>
      </c>
      <c r="L2347" s="7">
        <f t="shared" si="108"/>
        <v>4400</v>
      </c>
      <c r="M2347" s="2" t="str">
        <f t="shared" si="109"/>
        <v>August</v>
      </c>
      <c r="N2347" s="6">
        <f t="shared" si="110"/>
        <v>2003</v>
      </c>
    </row>
    <row r="2348" spans="1:14">
      <c r="A2348" s="2" t="s">
        <v>147</v>
      </c>
      <c r="B2348" s="3">
        <v>10151</v>
      </c>
      <c r="C2348" s="3">
        <v>26</v>
      </c>
      <c r="D2348" s="13">
        <v>100</v>
      </c>
      <c r="E2348" s="5">
        <v>37885</v>
      </c>
      <c r="F2348" s="2" t="s">
        <v>13</v>
      </c>
      <c r="G2348" s="2" t="s">
        <v>187</v>
      </c>
      <c r="H2348" s="3">
        <v>3</v>
      </c>
      <c r="I2348" s="6">
        <v>2003</v>
      </c>
      <c r="J2348" s="2" t="s">
        <v>22</v>
      </c>
      <c r="K2348" s="2" t="s">
        <v>148</v>
      </c>
      <c r="L2348" s="7">
        <f t="shared" si="108"/>
        <v>2600</v>
      </c>
      <c r="M2348" s="2" t="str">
        <f t="shared" si="109"/>
        <v>September</v>
      </c>
      <c r="N2348" s="6">
        <f t="shared" si="110"/>
        <v>2003</v>
      </c>
    </row>
    <row r="2349" spans="1:14">
      <c r="A2349" s="2" t="s">
        <v>77</v>
      </c>
      <c r="B2349" s="3">
        <v>10165</v>
      </c>
      <c r="C2349" s="3">
        <v>48</v>
      </c>
      <c r="D2349" s="13">
        <v>94.92</v>
      </c>
      <c r="E2349" s="5">
        <v>37916</v>
      </c>
      <c r="F2349" s="2" t="s">
        <v>13</v>
      </c>
      <c r="G2349" s="2" t="s">
        <v>187</v>
      </c>
      <c r="H2349" s="3">
        <v>4</v>
      </c>
      <c r="I2349" s="6">
        <v>2003</v>
      </c>
      <c r="J2349" s="2" t="s">
        <v>22</v>
      </c>
      <c r="K2349" s="2" t="s">
        <v>78</v>
      </c>
      <c r="L2349" s="7">
        <f t="shared" si="108"/>
        <v>4556.16</v>
      </c>
      <c r="M2349" s="2" t="str">
        <f t="shared" si="109"/>
        <v>October</v>
      </c>
      <c r="N2349" s="6">
        <f t="shared" si="110"/>
        <v>2003</v>
      </c>
    </row>
    <row r="2350" spans="1:14">
      <c r="A2350" s="2" t="s">
        <v>169</v>
      </c>
      <c r="B2350" s="3">
        <v>10176</v>
      </c>
      <c r="C2350" s="3">
        <v>23</v>
      </c>
      <c r="D2350" s="13">
        <v>100</v>
      </c>
      <c r="E2350" s="5">
        <v>37931</v>
      </c>
      <c r="F2350" s="2" t="s">
        <v>13</v>
      </c>
      <c r="G2350" s="2" t="s">
        <v>187</v>
      </c>
      <c r="H2350" s="3">
        <v>4</v>
      </c>
      <c r="I2350" s="6">
        <v>2003</v>
      </c>
      <c r="J2350" s="2" t="s">
        <v>22</v>
      </c>
      <c r="K2350" s="2" t="s">
        <v>170</v>
      </c>
      <c r="L2350" s="7">
        <f t="shared" si="108"/>
        <v>2300</v>
      </c>
      <c r="M2350" s="2" t="str">
        <f t="shared" si="109"/>
        <v>November</v>
      </c>
      <c r="N2350" s="6">
        <f t="shared" si="110"/>
        <v>2003</v>
      </c>
    </row>
    <row r="2351" spans="1:14">
      <c r="A2351" s="2" t="s">
        <v>192</v>
      </c>
      <c r="B2351" s="3">
        <v>10184</v>
      </c>
      <c r="C2351" s="3">
        <v>45</v>
      </c>
      <c r="D2351" s="13">
        <v>100</v>
      </c>
      <c r="E2351" s="5">
        <v>37939</v>
      </c>
      <c r="F2351" s="2" t="s">
        <v>13</v>
      </c>
      <c r="G2351" s="2" t="s">
        <v>187</v>
      </c>
      <c r="H2351" s="3">
        <v>4</v>
      </c>
      <c r="I2351" s="6">
        <v>2003</v>
      </c>
      <c r="J2351" s="2" t="s">
        <v>22</v>
      </c>
      <c r="K2351" s="2" t="s">
        <v>193</v>
      </c>
      <c r="L2351" s="7">
        <f t="shared" si="108"/>
        <v>4500</v>
      </c>
      <c r="M2351" s="2" t="str">
        <f t="shared" si="109"/>
        <v>November</v>
      </c>
      <c r="N2351" s="6">
        <f t="shared" si="110"/>
        <v>2003</v>
      </c>
    </row>
    <row r="2352" spans="1:14">
      <c r="A2352" s="2" t="s">
        <v>157</v>
      </c>
      <c r="B2352" s="3">
        <v>10207</v>
      </c>
      <c r="C2352" s="3">
        <v>28</v>
      </c>
      <c r="D2352" s="13">
        <v>94.92</v>
      </c>
      <c r="E2352" s="5">
        <v>37964</v>
      </c>
      <c r="F2352" s="2" t="s">
        <v>13</v>
      </c>
      <c r="G2352" s="2" t="s">
        <v>187</v>
      </c>
      <c r="H2352" s="3">
        <v>4</v>
      </c>
      <c r="I2352" s="6">
        <v>2003</v>
      </c>
      <c r="J2352" s="2" t="s">
        <v>15</v>
      </c>
      <c r="K2352" s="2" t="s">
        <v>158</v>
      </c>
      <c r="L2352" s="7">
        <f t="shared" si="108"/>
        <v>2657.76</v>
      </c>
      <c r="M2352" s="2" t="str">
        <f t="shared" si="109"/>
        <v>December</v>
      </c>
      <c r="N2352" s="6">
        <f t="shared" si="110"/>
        <v>2003</v>
      </c>
    </row>
    <row r="2353" spans="1:14">
      <c r="A2353" s="2" t="s">
        <v>179</v>
      </c>
      <c r="B2353" s="3">
        <v>10220</v>
      </c>
      <c r="C2353" s="3">
        <v>37</v>
      </c>
      <c r="D2353" s="13">
        <v>100</v>
      </c>
      <c r="E2353" s="5">
        <v>38029</v>
      </c>
      <c r="F2353" s="2" t="s">
        <v>13</v>
      </c>
      <c r="G2353" s="2" t="s">
        <v>187</v>
      </c>
      <c r="H2353" s="3">
        <v>1</v>
      </c>
      <c r="I2353" s="6">
        <v>2004</v>
      </c>
      <c r="J2353" s="2" t="s">
        <v>22</v>
      </c>
      <c r="K2353" s="2" t="s">
        <v>180</v>
      </c>
      <c r="L2353" s="7">
        <f t="shared" si="108"/>
        <v>3700</v>
      </c>
      <c r="M2353" s="2" t="str">
        <f t="shared" si="109"/>
        <v>February</v>
      </c>
      <c r="N2353" s="6">
        <f t="shared" si="110"/>
        <v>2004</v>
      </c>
    </row>
    <row r="2354" spans="1:14">
      <c r="A2354" s="2" t="s">
        <v>173</v>
      </c>
      <c r="B2354" s="3">
        <v>10230</v>
      </c>
      <c r="C2354" s="3">
        <v>34</v>
      </c>
      <c r="D2354" s="13">
        <v>100</v>
      </c>
      <c r="E2354" s="5">
        <v>38061</v>
      </c>
      <c r="F2354" s="2" t="s">
        <v>13</v>
      </c>
      <c r="G2354" s="2" t="s">
        <v>187</v>
      </c>
      <c r="H2354" s="3">
        <v>1</v>
      </c>
      <c r="I2354" s="6">
        <v>2004</v>
      </c>
      <c r="J2354" s="2" t="s">
        <v>22</v>
      </c>
      <c r="K2354" s="2" t="s">
        <v>174</v>
      </c>
      <c r="L2354" s="7">
        <f t="shared" si="108"/>
        <v>3400</v>
      </c>
      <c r="M2354" s="2" t="str">
        <f t="shared" si="109"/>
        <v>March</v>
      </c>
      <c r="N2354" s="6">
        <f t="shared" si="110"/>
        <v>2004</v>
      </c>
    </row>
    <row r="2355" spans="1:14">
      <c r="A2355" s="2" t="s">
        <v>69</v>
      </c>
      <c r="B2355" s="3">
        <v>10246</v>
      </c>
      <c r="C2355" s="3">
        <v>22</v>
      </c>
      <c r="D2355" s="13">
        <v>100</v>
      </c>
      <c r="E2355" s="5">
        <v>38112</v>
      </c>
      <c r="F2355" s="2" t="s">
        <v>13</v>
      </c>
      <c r="G2355" s="2" t="s">
        <v>187</v>
      </c>
      <c r="H2355" s="3">
        <v>2</v>
      </c>
      <c r="I2355" s="6">
        <v>2004</v>
      </c>
      <c r="J2355" s="2" t="s">
        <v>15</v>
      </c>
      <c r="K2355" s="2" t="s">
        <v>71</v>
      </c>
      <c r="L2355" s="7">
        <f t="shared" si="108"/>
        <v>2200</v>
      </c>
      <c r="M2355" s="2" t="str">
        <f t="shared" si="109"/>
        <v>May</v>
      </c>
      <c r="N2355" s="6">
        <f t="shared" si="110"/>
        <v>2004</v>
      </c>
    </row>
    <row r="2356" spans="1:14">
      <c r="A2356" s="2" t="s">
        <v>159</v>
      </c>
      <c r="B2356" s="3">
        <v>10259</v>
      </c>
      <c r="C2356" s="3">
        <v>29</v>
      </c>
      <c r="D2356" s="13">
        <v>100</v>
      </c>
      <c r="E2356" s="5">
        <v>38153</v>
      </c>
      <c r="F2356" s="2" t="s">
        <v>13</v>
      </c>
      <c r="G2356" s="2" t="s">
        <v>187</v>
      </c>
      <c r="H2356" s="3">
        <v>2</v>
      </c>
      <c r="I2356" s="6">
        <v>2004</v>
      </c>
      <c r="J2356" s="2" t="s">
        <v>22</v>
      </c>
      <c r="K2356" s="2" t="s">
        <v>160</v>
      </c>
      <c r="L2356" s="7">
        <f t="shared" si="108"/>
        <v>2900</v>
      </c>
      <c r="M2356" s="2" t="str">
        <f t="shared" si="109"/>
        <v>June</v>
      </c>
      <c r="N2356" s="6">
        <f t="shared" si="110"/>
        <v>2004</v>
      </c>
    </row>
    <row r="2357" spans="1:14">
      <c r="A2357" s="2" t="s">
        <v>103</v>
      </c>
      <c r="B2357" s="3">
        <v>10271</v>
      </c>
      <c r="C2357" s="3">
        <v>34</v>
      </c>
      <c r="D2357" s="13">
        <v>98.39</v>
      </c>
      <c r="E2357" s="5">
        <v>38188</v>
      </c>
      <c r="F2357" s="2" t="s">
        <v>13</v>
      </c>
      <c r="G2357" s="2" t="s">
        <v>187</v>
      </c>
      <c r="H2357" s="3">
        <v>3</v>
      </c>
      <c r="I2357" s="6">
        <v>2004</v>
      </c>
      <c r="J2357" s="2" t="s">
        <v>22</v>
      </c>
      <c r="K2357" s="2" t="s">
        <v>104</v>
      </c>
      <c r="L2357" s="7">
        <f t="shared" si="108"/>
        <v>3345.26</v>
      </c>
      <c r="M2357" s="2" t="str">
        <f t="shared" si="109"/>
        <v>July</v>
      </c>
      <c r="N2357" s="6">
        <f t="shared" si="110"/>
        <v>2004</v>
      </c>
    </row>
    <row r="2358" spans="1:14">
      <c r="A2358" s="2" t="s">
        <v>103</v>
      </c>
      <c r="B2358" s="3">
        <v>10282</v>
      </c>
      <c r="C2358" s="3">
        <v>38</v>
      </c>
      <c r="D2358" s="13">
        <v>100</v>
      </c>
      <c r="E2358" s="5">
        <v>38219</v>
      </c>
      <c r="F2358" s="2" t="s">
        <v>13</v>
      </c>
      <c r="G2358" s="2" t="s">
        <v>187</v>
      </c>
      <c r="H2358" s="3">
        <v>3</v>
      </c>
      <c r="I2358" s="6">
        <v>2004</v>
      </c>
      <c r="J2358" s="2" t="s">
        <v>22</v>
      </c>
      <c r="K2358" s="2" t="s">
        <v>104</v>
      </c>
      <c r="L2358" s="7">
        <f t="shared" si="108"/>
        <v>3800</v>
      </c>
      <c r="M2358" s="2" t="str">
        <f t="shared" si="109"/>
        <v>August</v>
      </c>
      <c r="N2358" s="6">
        <f t="shared" si="110"/>
        <v>2004</v>
      </c>
    </row>
    <row r="2359" spans="1:14">
      <c r="A2359" s="2" t="s">
        <v>52</v>
      </c>
      <c r="B2359" s="3">
        <v>10305</v>
      </c>
      <c r="C2359" s="3">
        <v>42</v>
      </c>
      <c r="D2359" s="13">
        <v>100</v>
      </c>
      <c r="E2359" s="5">
        <v>38273</v>
      </c>
      <c r="F2359" s="2" t="s">
        <v>13</v>
      </c>
      <c r="G2359" s="2" t="s">
        <v>187</v>
      </c>
      <c r="H2359" s="3">
        <v>4</v>
      </c>
      <c r="I2359" s="6">
        <v>2004</v>
      </c>
      <c r="J2359" s="2" t="s">
        <v>22</v>
      </c>
      <c r="K2359" s="2" t="s">
        <v>53</v>
      </c>
      <c r="L2359" s="7">
        <f t="shared" si="108"/>
        <v>4200</v>
      </c>
      <c r="M2359" s="2" t="str">
        <f t="shared" si="109"/>
        <v>October</v>
      </c>
      <c r="N2359" s="6">
        <f t="shared" si="110"/>
        <v>2004</v>
      </c>
    </row>
    <row r="2360" spans="1:14">
      <c r="A2360" s="2" t="s">
        <v>185</v>
      </c>
      <c r="B2360" s="3">
        <v>10314</v>
      </c>
      <c r="C2360" s="3">
        <v>28</v>
      </c>
      <c r="D2360" s="13">
        <v>100</v>
      </c>
      <c r="E2360" s="5">
        <v>38282</v>
      </c>
      <c r="F2360" s="2" t="s">
        <v>13</v>
      </c>
      <c r="G2360" s="2" t="s">
        <v>187</v>
      </c>
      <c r="H2360" s="3">
        <v>4</v>
      </c>
      <c r="I2360" s="6">
        <v>2004</v>
      </c>
      <c r="J2360" s="2" t="s">
        <v>22</v>
      </c>
      <c r="K2360" s="2" t="s">
        <v>186</v>
      </c>
      <c r="L2360" s="7">
        <f t="shared" si="108"/>
        <v>2800</v>
      </c>
      <c r="M2360" s="2" t="str">
        <f t="shared" si="109"/>
        <v>October</v>
      </c>
      <c r="N2360" s="6">
        <f t="shared" si="110"/>
        <v>2004</v>
      </c>
    </row>
    <row r="2361" spans="1:14">
      <c r="A2361" s="2" t="s">
        <v>56</v>
      </c>
      <c r="B2361" s="3">
        <v>10325</v>
      </c>
      <c r="C2361" s="3">
        <v>38</v>
      </c>
      <c r="D2361" s="13">
        <v>100</v>
      </c>
      <c r="E2361" s="5">
        <v>38296</v>
      </c>
      <c r="F2361" s="2" t="s">
        <v>13</v>
      </c>
      <c r="G2361" s="2" t="s">
        <v>187</v>
      </c>
      <c r="H2361" s="3">
        <v>4</v>
      </c>
      <c r="I2361" s="6">
        <v>2004</v>
      </c>
      <c r="J2361" s="2" t="s">
        <v>22</v>
      </c>
      <c r="K2361" s="2" t="s">
        <v>57</v>
      </c>
      <c r="L2361" s="7">
        <f t="shared" si="108"/>
        <v>3800</v>
      </c>
      <c r="M2361" s="2" t="str">
        <f t="shared" si="109"/>
        <v>November</v>
      </c>
      <c r="N2361" s="6">
        <f t="shared" si="110"/>
        <v>2004</v>
      </c>
    </row>
    <row r="2362" spans="1:14">
      <c r="A2362" s="2" t="s">
        <v>152</v>
      </c>
      <c r="B2362" s="3">
        <v>10336</v>
      </c>
      <c r="C2362" s="3">
        <v>23</v>
      </c>
      <c r="D2362" s="13">
        <v>100</v>
      </c>
      <c r="E2362" s="5">
        <v>38311</v>
      </c>
      <c r="F2362" s="2" t="s">
        <v>13</v>
      </c>
      <c r="G2362" s="2" t="s">
        <v>187</v>
      </c>
      <c r="H2362" s="3">
        <v>4</v>
      </c>
      <c r="I2362" s="6">
        <v>2004</v>
      </c>
      <c r="J2362" s="2" t="s">
        <v>22</v>
      </c>
      <c r="K2362" s="2" t="s">
        <v>153</v>
      </c>
      <c r="L2362" s="7">
        <f t="shared" si="108"/>
        <v>2300</v>
      </c>
      <c r="M2362" s="2" t="str">
        <f t="shared" si="109"/>
        <v>November</v>
      </c>
      <c r="N2362" s="6">
        <f t="shared" si="110"/>
        <v>2004</v>
      </c>
    </row>
    <row r="2363" spans="1:14">
      <c r="A2363" s="2" t="s">
        <v>69</v>
      </c>
      <c r="B2363" s="3">
        <v>10350</v>
      </c>
      <c r="C2363" s="3">
        <v>31</v>
      </c>
      <c r="D2363" s="13">
        <v>71.4</v>
      </c>
      <c r="E2363" s="5">
        <v>38323</v>
      </c>
      <c r="F2363" s="2" t="s">
        <v>13</v>
      </c>
      <c r="G2363" s="2" t="s">
        <v>187</v>
      </c>
      <c r="H2363" s="3">
        <v>4</v>
      </c>
      <c r="I2363" s="6">
        <v>2004</v>
      </c>
      <c r="J2363" s="2" t="s">
        <v>15</v>
      </c>
      <c r="K2363" s="2" t="s">
        <v>71</v>
      </c>
      <c r="L2363" s="7">
        <f t="shared" si="108"/>
        <v>2213.4</v>
      </c>
      <c r="M2363" s="2" t="str">
        <f t="shared" si="109"/>
        <v>December</v>
      </c>
      <c r="N2363" s="6">
        <f t="shared" si="110"/>
        <v>2004</v>
      </c>
    </row>
    <row r="2364" spans="1:14">
      <c r="A2364" s="2" t="s">
        <v>18</v>
      </c>
      <c r="B2364" s="3">
        <v>10359</v>
      </c>
      <c r="C2364" s="3">
        <v>46</v>
      </c>
      <c r="D2364" s="13">
        <v>100</v>
      </c>
      <c r="E2364" s="5">
        <v>38336</v>
      </c>
      <c r="F2364" s="2" t="s">
        <v>13</v>
      </c>
      <c r="G2364" s="2" t="s">
        <v>187</v>
      </c>
      <c r="H2364" s="3">
        <v>4</v>
      </c>
      <c r="I2364" s="6">
        <v>2004</v>
      </c>
      <c r="J2364" s="2" t="s">
        <v>22</v>
      </c>
      <c r="K2364" s="2" t="s">
        <v>19</v>
      </c>
      <c r="L2364" s="7">
        <f t="shared" si="108"/>
        <v>4600</v>
      </c>
      <c r="M2364" s="2" t="str">
        <f t="shared" si="109"/>
        <v>December</v>
      </c>
      <c r="N2364" s="6">
        <f t="shared" si="110"/>
        <v>2004</v>
      </c>
    </row>
    <row r="2365" spans="1:14">
      <c r="A2365" s="2" t="s">
        <v>103</v>
      </c>
      <c r="B2365" s="3">
        <v>10371</v>
      </c>
      <c r="C2365" s="3">
        <v>48</v>
      </c>
      <c r="D2365" s="13">
        <v>56.55</v>
      </c>
      <c r="E2365" s="5">
        <v>38375</v>
      </c>
      <c r="F2365" s="2" t="s">
        <v>13</v>
      </c>
      <c r="G2365" s="2" t="s">
        <v>187</v>
      </c>
      <c r="H2365" s="3">
        <v>1</v>
      </c>
      <c r="I2365" s="6">
        <v>2005</v>
      </c>
      <c r="J2365" s="2" t="s">
        <v>15</v>
      </c>
      <c r="K2365" s="2" t="s">
        <v>104</v>
      </c>
      <c r="L2365" s="7">
        <f t="shared" si="108"/>
        <v>2714.4</v>
      </c>
      <c r="M2365" s="2" t="str">
        <f t="shared" si="109"/>
        <v>January</v>
      </c>
      <c r="N2365" s="6">
        <f t="shared" si="110"/>
        <v>2005</v>
      </c>
    </row>
    <row r="2366" spans="1:14">
      <c r="A2366" s="2" t="s">
        <v>69</v>
      </c>
      <c r="B2366" s="3">
        <v>10383</v>
      </c>
      <c r="C2366" s="3">
        <v>29</v>
      </c>
      <c r="D2366" s="13">
        <v>100</v>
      </c>
      <c r="E2366" s="5">
        <v>38405</v>
      </c>
      <c r="F2366" s="2" t="s">
        <v>13</v>
      </c>
      <c r="G2366" s="2" t="s">
        <v>187</v>
      </c>
      <c r="H2366" s="3">
        <v>1</v>
      </c>
      <c r="I2366" s="6">
        <v>2005</v>
      </c>
      <c r="J2366" s="2" t="s">
        <v>22</v>
      </c>
      <c r="K2366" s="2" t="s">
        <v>71</v>
      </c>
      <c r="L2366" s="7">
        <f t="shared" si="108"/>
        <v>2900</v>
      </c>
      <c r="M2366" s="2" t="str">
        <f t="shared" si="109"/>
        <v>February</v>
      </c>
      <c r="N2366" s="6">
        <f t="shared" si="110"/>
        <v>2005</v>
      </c>
    </row>
    <row r="2367" spans="1:14">
      <c r="A2367" s="2" t="s">
        <v>21</v>
      </c>
      <c r="B2367" s="3">
        <v>10395</v>
      </c>
      <c r="C2367" s="3">
        <v>46</v>
      </c>
      <c r="D2367" s="13">
        <v>100</v>
      </c>
      <c r="E2367" s="5">
        <v>38428</v>
      </c>
      <c r="F2367" s="2" t="s">
        <v>13</v>
      </c>
      <c r="G2367" s="2" t="s">
        <v>187</v>
      </c>
      <c r="H2367" s="3">
        <v>1</v>
      </c>
      <c r="I2367" s="6">
        <v>2005</v>
      </c>
      <c r="J2367" s="2" t="s">
        <v>22</v>
      </c>
      <c r="K2367" s="2" t="s">
        <v>23</v>
      </c>
      <c r="L2367" s="7">
        <f t="shared" si="108"/>
        <v>4600</v>
      </c>
      <c r="M2367" s="2" t="str">
        <f t="shared" si="109"/>
        <v>March</v>
      </c>
      <c r="N2367" s="6">
        <f t="shared" si="110"/>
        <v>2005</v>
      </c>
    </row>
    <row r="2368" spans="1:14">
      <c r="A2368" s="2" t="s">
        <v>69</v>
      </c>
      <c r="B2368" s="3">
        <v>10412</v>
      </c>
      <c r="C2368" s="3">
        <v>26</v>
      </c>
      <c r="D2368" s="13">
        <v>100</v>
      </c>
      <c r="E2368" s="5">
        <v>38475</v>
      </c>
      <c r="F2368" s="2" t="s">
        <v>13</v>
      </c>
      <c r="G2368" s="2" t="s">
        <v>187</v>
      </c>
      <c r="H2368" s="3">
        <v>2</v>
      </c>
      <c r="I2368" s="6">
        <v>2005</v>
      </c>
      <c r="J2368" s="2" t="s">
        <v>22</v>
      </c>
      <c r="K2368" s="2" t="s">
        <v>71</v>
      </c>
      <c r="L2368" s="7">
        <f t="shared" si="108"/>
        <v>2600</v>
      </c>
      <c r="M2368" s="2" t="str">
        <f t="shared" si="109"/>
        <v>May</v>
      </c>
      <c r="N2368" s="6">
        <f t="shared" si="110"/>
        <v>2005</v>
      </c>
    </row>
    <row r="2369" spans="1:14">
      <c r="A2369" s="2" t="s">
        <v>50</v>
      </c>
      <c r="B2369" s="3">
        <v>10425</v>
      </c>
      <c r="C2369" s="3">
        <v>18</v>
      </c>
      <c r="D2369" s="13">
        <v>100</v>
      </c>
      <c r="E2369" s="5">
        <v>38503</v>
      </c>
      <c r="F2369" s="2" t="s">
        <v>113</v>
      </c>
      <c r="G2369" s="2" t="s">
        <v>187</v>
      </c>
      <c r="H2369" s="3">
        <v>2</v>
      </c>
      <c r="I2369" s="6">
        <v>2005</v>
      </c>
      <c r="J2369" s="2" t="s">
        <v>15</v>
      </c>
      <c r="K2369" s="2" t="s">
        <v>51</v>
      </c>
      <c r="L2369" s="7">
        <f t="shared" si="108"/>
        <v>1800</v>
      </c>
      <c r="M2369" s="2" t="str">
        <f t="shared" si="109"/>
        <v>May</v>
      </c>
      <c r="N2369" s="6">
        <f t="shared" si="110"/>
        <v>2005</v>
      </c>
    </row>
    <row r="2370" spans="1:14">
      <c r="A2370" s="2" t="s">
        <v>69</v>
      </c>
      <c r="B2370" s="3">
        <v>10104</v>
      </c>
      <c r="C2370" s="3">
        <v>32</v>
      </c>
      <c r="D2370" s="13">
        <v>53.31</v>
      </c>
      <c r="E2370" s="5">
        <v>37652</v>
      </c>
      <c r="F2370" s="2" t="s">
        <v>13</v>
      </c>
      <c r="G2370" s="2" t="s">
        <v>217</v>
      </c>
      <c r="H2370" s="3">
        <v>1</v>
      </c>
      <c r="I2370" s="6">
        <v>2003</v>
      </c>
      <c r="J2370" s="2" t="s">
        <v>15</v>
      </c>
      <c r="K2370" s="2" t="s">
        <v>71</v>
      </c>
      <c r="L2370" s="7">
        <f t="shared" ref="L2370:L2433" si="111">PRODUCT(C2370,D2370)</f>
        <v>1705.92</v>
      </c>
      <c r="M2370" s="2" t="str">
        <f t="shared" ref="M2370:M2433" si="112">TEXT(E2370,"MMMM")</f>
        <v>January</v>
      </c>
      <c r="N2370" s="6">
        <f t="shared" ref="N2370:N2433" si="113">YEAR(E2370)</f>
        <v>2003</v>
      </c>
    </row>
    <row r="2371" spans="1:14">
      <c r="A2371" s="2" t="s">
        <v>77</v>
      </c>
      <c r="B2371" s="3">
        <v>10117</v>
      </c>
      <c r="C2371" s="3">
        <v>21</v>
      </c>
      <c r="D2371" s="13">
        <v>49.21</v>
      </c>
      <c r="E2371" s="5">
        <v>37727</v>
      </c>
      <c r="F2371" s="2" t="s">
        <v>13</v>
      </c>
      <c r="G2371" s="2" t="s">
        <v>217</v>
      </c>
      <c r="H2371" s="3">
        <v>2</v>
      </c>
      <c r="I2371" s="6">
        <v>2003</v>
      </c>
      <c r="J2371" s="2" t="s">
        <v>15</v>
      </c>
      <c r="K2371" s="2" t="s">
        <v>78</v>
      </c>
      <c r="L2371" s="7">
        <f t="shared" si="111"/>
        <v>1033.41</v>
      </c>
      <c r="M2371" s="2" t="str">
        <f t="shared" si="112"/>
        <v>April</v>
      </c>
      <c r="N2371" s="6">
        <f t="shared" si="113"/>
        <v>2003</v>
      </c>
    </row>
    <row r="2372" spans="1:14">
      <c r="A2372" s="2" t="s">
        <v>177</v>
      </c>
      <c r="B2372" s="3">
        <v>10127</v>
      </c>
      <c r="C2372" s="3">
        <v>46</v>
      </c>
      <c r="D2372" s="13">
        <v>69.12</v>
      </c>
      <c r="E2372" s="5">
        <v>37775</v>
      </c>
      <c r="F2372" s="2" t="s">
        <v>13</v>
      </c>
      <c r="G2372" s="2" t="s">
        <v>217</v>
      </c>
      <c r="H2372" s="3">
        <v>2</v>
      </c>
      <c r="I2372" s="6">
        <v>2003</v>
      </c>
      <c r="J2372" s="2" t="s">
        <v>22</v>
      </c>
      <c r="K2372" s="2" t="s">
        <v>178</v>
      </c>
      <c r="L2372" s="7">
        <f t="shared" si="111"/>
        <v>3179.52</v>
      </c>
      <c r="M2372" s="2" t="str">
        <f t="shared" si="112"/>
        <v>June</v>
      </c>
      <c r="N2372" s="6">
        <f t="shared" si="113"/>
        <v>2003</v>
      </c>
    </row>
    <row r="2373" spans="1:14">
      <c r="A2373" s="2" t="s">
        <v>103</v>
      </c>
      <c r="B2373" s="3">
        <v>10142</v>
      </c>
      <c r="C2373" s="3">
        <v>42</v>
      </c>
      <c r="D2373" s="13">
        <v>49.79</v>
      </c>
      <c r="E2373" s="5">
        <v>37841</v>
      </c>
      <c r="F2373" s="2" t="s">
        <v>13</v>
      </c>
      <c r="G2373" s="2" t="s">
        <v>217</v>
      </c>
      <c r="H2373" s="3">
        <v>3</v>
      </c>
      <c r="I2373" s="6">
        <v>2003</v>
      </c>
      <c r="J2373" s="2" t="s">
        <v>15</v>
      </c>
      <c r="K2373" s="2" t="s">
        <v>104</v>
      </c>
      <c r="L2373" s="7">
        <f t="shared" si="111"/>
        <v>2091.18</v>
      </c>
      <c r="M2373" s="2" t="str">
        <f t="shared" si="112"/>
        <v>August</v>
      </c>
      <c r="N2373" s="6">
        <f t="shared" si="113"/>
        <v>2003</v>
      </c>
    </row>
    <row r="2374" spans="1:14">
      <c r="A2374" s="2" t="s">
        <v>69</v>
      </c>
      <c r="B2374" s="3">
        <v>10153</v>
      </c>
      <c r="C2374" s="3">
        <v>31</v>
      </c>
      <c r="D2374" s="13">
        <v>57.41</v>
      </c>
      <c r="E2374" s="5">
        <v>37892</v>
      </c>
      <c r="F2374" s="2" t="s">
        <v>13</v>
      </c>
      <c r="G2374" s="2" t="s">
        <v>217</v>
      </c>
      <c r="H2374" s="3">
        <v>3</v>
      </c>
      <c r="I2374" s="6">
        <v>2003</v>
      </c>
      <c r="J2374" s="2" t="s">
        <v>15</v>
      </c>
      <c r="K2374" s="2" t="s">
        <v>71</v>
      </c>
      <c r="L2374" s="7">
        <f t="shared" si="111"/>
        <v>1779.71</v>
      </c>
      <c r="M2374" s="2" t="str">
        <f t="shared" si="112"/>
        <v>September</v>
      </c>
      <c r="N2374" s="6">
        <f t="shared" si="113"/>
        <v>2003</v>
      </c>
    </row>
    <row r="2375" spans="1:14">
      <c r="A2375" s="2" t="s">
        <v>77</v>
      </c>
      <c r="B2375" s="3">
        <v>10165</v>
      </c>
      <c r="C2375" s="3">
        <v>38</v>
      </c>
      <c r="D2375" s="13">
        <v>66.78</v>
      </c>
      <c r="E2375" s="5">
        <v>37916</v>
      </c>
      <c r="F2375" s="2" t="s">
        <v>13</v>
      </c>
      <c r="G2375" s="2" t="s">
        <v>217</v>
      </c>
      <c r="H2375" s="3">
        <v>4</v>
      </c>
      <c r="I2375" s="6">
        <v>2003</v>
      </c>
      <c r="J2375" s="2" t="s">
        <v>15</v>
      </c>
      <c r="K2375" s="2" t="s">
        <v>78</v>
      </c>
      <c r="L2375" s="7">
        <f t="shared" si="111"/>
        <v>2537.64</v>
      </c>
      <c r="M2375" s="2" t="str">
        <f t="shared" si="112"/>
        <v>October</v>
      </c>
      <c r="N2375" s="6">
        <f t="shared" si="113"/>
        <v>2003</v>
      </c>
    </row>
    <row r="2376" spans="1:14">
      <c r="A2376" s="2" t="s">
        <v>169</v>
      </c>
      <c r="B2376" s="3">
        <v>10176</v>
      </c>
      <c r="C2376" s="3">
        <v>38</v>
      </c>
      <c r="D2376" s="13">
        <v>64.44</v>
      </c>
      <c r="E2376" s="5">
        <v>37931</v>
      </c>
      <c r="F2376" s="2" t="s">
        <v>13</v>
      </c>
      <c r="G2376" s="2" t="s">
        <v>217</v>
      </c>
      <c r="H2376" s="3">
        <v>4</v>
      </c>
      <c r="I2376" s="6">
        <v>2003</v>
      </c>
      <c r="J2376" s="2" t="s">
        <v>15</v>
      </c>
      <c r="K2376" s="2" t="s">
        <v>170</v>
      </c>
      <c r="L2376" s="7">
        <f t="shared" si="111"/>
        <v>2448.72</v>
      </c>
      <c r="M2376" s="2" t="str">
        <f t="shared" si="112"/>
        <v>November</v>
      </c>
      <c r="N2376" s="6">
        <f t="shared" si="113"/>
        <v>2003</v>
      </c>
    </row>
    <row r="2377" spans="1:14">
      <c r="A2377" s="2" t="s">
        <v>126</v>
      </c>
      <c r="B2377" s="3">
        <v>10185</v>
      </c>
      <c r="C2377" s="3">
        <v>20</v>
      </c>
      <c r="D2377" s="13">
        <v>48.62</v>
      </c>
      <c r="E2377" s="5">
        <v>37939</v>
      </c>
      <c r="F2377" s="2" t="s">
        <v>13</v>
      </c>
      <c r="G2377" s="2" t="s">
        <v>217</v>
      </c>
      <c r="H2377" s="3">
        <v>4</v>
      </c>
      <c r="I2377" s="6">
        <v>2003</v>
      </c>
      <c r="J2377" s="2" t="s">
        <v>15</v>
      </c>
      <c r="K2377" s="2" t="s">
        <v>127</v>
      </c>
      <c r="L2377" s="7">
        <f t="shared" si="111"/>
        <v>972.4</v>
      </c>
      <c r="M2377" s="2" t="str">
        <f t="shared" si="112"/>
        <v>November</v>
      </c>
      <c r="N2377" s="6">
        <f t="shared" si="113"/>
        <v>2003</v>
      </c>
    </row>
    <row r="2378" spans="1:14">
      <c r="A2378" s="2" t="s">
        <v>93</v>
      </c>
      <c r="B2378" s="3">
        <v>10196</v>
      </c>
      <c r="C2378" s="3">
        <v>46</v>
      </c>
      <c r="D2378" s="13">
        <v>62.09</v>
      </c>
      <c r="E2378" s="5">
        <v>37951</v>
      </c>
      <c r="F2378" s="2" t="s">
        <v>13</v>
      </c>
      <c r="G2378" s="2" t="s">
        <v>217</v>
      </c>
      <c r="H2378" s="3">
        <v>4</v>
      </c>
      <c r="I2378" s="6">
        <v>2003</v>
      </c>
      <c r="J2378" s="2" t="s">
        <v>15</v>
      </c>
      <c r="K2378" s="2" t="s">
        <v>94</v>
      </c>
      <c r="L2378" s="7">
        <f t="shared" si="111"/>
        <v>2856.14</v>
      </c>
      <c r="M2378" s="2" t="str">
        <f t="shared" si="112"/>
        <v>November</v>
      </c>
      <c r="N2378" s="6">
        <f t="shared" si="113"/>
        <v>2003</v>
      </c>
    </row>
    <row r="2379" spans="1:14">
      <c r="A2379" s="2" t="s">
        <v>85</v>
      </c>
      <c r="B2379" s="3">
        <v>10208</v>
      </c>
      <c r="C2379" s="3">
        <v>30</v>
      </c>
      <c r="D2379" s="13">
        <v>65.61</v>
      </c>
      <c r="E2379" s="5">
        <v>37988</v>
      </c>
      <c r="F2379" s="2" t="s">
        <v>13</v>
      </c>
      <c r="G2379" s="2" t="s">
        <v>217</v>
      </c>
      <c r="H2379" s="3">
        <v>1</v>
      </c>
      <c r="I2379" s="6">
        <v>2004</v>
      </c>
      <c r="J2379" s="2" t="s">
        <v>15</v>
      </c>
      <c r="K2379" s="2" t="s">
        <v>86</v>
      </c>
      <c r="L2379" s="7">
        <f t="shared" si="111"/>
        <v>1968.3</v>
      </c>
      <c r="M2379" s="2" t="str">
        <f t="shared" si="112"/>
        <v>January</v>
      </c>
      <c r="N2379" s="6">
        <f t="shared" si="113"/>
        <v>2004</v>
      </c>
    </row>
    <row r="2380" spans="1:14">
      <c r="A2380" s="2" t="s">
        <v>179</v>
      </c>
      <c r="B2380" s="3">
        <v>10220</v>
      </c>
      <c r="C2380" s="3">
        <v>30</v>
      </c>
      <c r="D2380" s="13">
        <v>68.54</v>
      </c>
      <c r="E2380" s="5">
        <v>38029</v>
      </c>
      <c r="F2380" s="2" t="s">
        <v>13</v>
      </c>
      <c r="G2380" s="2" t="s">
        <v>217</v>
      </c>
      <c r="H2380" s="3">
        <v>1</v>
      </c>
      <c r="I2380" s="6">
        <v>2004</v>
      </c>
      <c r="J2380" s="2" t="s">
        <v>15</v>
      </c>
      <c r="K2380" s="2" t="s">
        <v>180</v>
      </c>
      <c r="L2380" s="7">
        <f t="shared" si="111"/>
        <v>2056.2</v>
      </c>
      <c r="M2380" s="2" t="str">
        <f t="shared" si="112"/>
        <v>February</v>
      </c>
      <c r="N2380" s="6">
        <f t="shared" si="113"/>
        <v>2004</v>
      </c>
    </row>
    <row r="2381" spans="1:14">
      <c r="A2381" s="2" t="s">
        <v>173</v>
      </c>
      <c r="B2381" s="3">
        <v>10230</v>
      </c>
      <c r="C2381" s="3">
        <v>43</v>
      </c>
      <c r="D2381" s="13">
        <v>52.14</v>
      </c>
      <c r="E2381" s="5">
        <v>38061</v>
      </c>
      <c r="F2381" s="2" t="s">
        <v>13</v>
      </c>
      <c r="G2381" s="2" t="s">
        <v>217</v>
      </c>
      <c r="H2381" s="3">
        <v>1</v>
      </c>
      <c r="I2381" s="6">
        <v>2004</v>
      </c>
      <c r="J2381" s="2" t="s">
        <v>15</v>
      </c>
      <c r="K2381" s="2" t="s">
        <v>174</v>
      </c>
      <c r="L2381" s="7">
        <f t="shared" si="111"/>
        <v>2242.02</v>
      </c>
      <c r="M2381" s="2" t="str">
        <f t="shared" si="112"/>
        <v>March</v>
      </c>
      <c r="N2381" s="6">
        <f t="shared" si="113"/>
        <v>2004</v>
      </c>
    </row>
    <row r="2382" spans="1:14">
      <c r="A2382" s="2" t="s">
        <v>175</v>
      </c>
      <c r="B2382" s="3">
        <v>10247</v>
      </c>
      <c r="C2382" s="3">
        <v>49</v>
      </c>
      <c r="D2382" s="13">
        <v>63.85</v>
      </c>
      <c r="E2382" s="5">
        <v>38112</v>
      </c>
      <c r="F2382" s="2" t="s">
        <v>13</v>
      </c>
      <c r="G2382" s="2" t="s">
        <v>217</v>
      </c>
      <c r="H2382" s="3">
        <v>2</v>
      </c>
      <c r="I2382" s="6">
        <v>2004</v>
      </c>
      <c r="J2382" s="2" t="s">
        <v>22</v>
      </c>
      <c r="K2382" s="2" t="s">
        <v>176</v>
      </c>
      <c r="L2382" s="7">
        <f t="shared" si="111"/>
        <v>3128.65</v>
      </c>
      <c r="M2382" s="2" t="str">
        <f t="shared" si="112"/>
        <v>May</v>
      </c>
      <c r="N2382" s="6">
        <f t="shared" si="113"/>
        <v>2004</v>
      </c>
    </row>
    <row r="2383" spans="1:14">
      <c r="A2383" s="2" t="s">
        <v>58</v>
      </c>
      <c r="B2383" s="3">
        <v>10272</v>
      </c>
      <c r="C2383" s="3">
        <v>43</v>
      </c>
      <c r="D2383" s="13">
        <v>56.82</v>
      </c>
      <c r="E2383" s="5">
        <v>38188</v>
      </c>
      <c r="F2383" s="2" t="s">
        <v>13</v>
      </c>
      <c r="G2383" s="2" t="s">
        <v>217</v>
      </c>
      <c r="H2383" s="3">
        <v>3</v>
      </c>
      <c r="I2383" s="6">
        <v>2004</v>
      </c>
      <c r="J2383" s="2" t="s">
        <v>15</v>
      </c>
      <c r="K2383" s="2" t="s">
        <v>59</v>
      </c>
      <c r="L2383" s="7">
        <f t="shared" si="111"/>
        <v>2443.26</v>
      </c>
      <c r="M2383" s="2" t="str">
        <f t="shared" si="112"/>
        <v>July</v>
      </c>
      <c r="N2383" s="6">
        <f t="shared" si="113"/>
        <v>2004</v>
      </c>
    </row>
    <row r="2384" spans="1:14">
      <c r="A2384" s="2" t="s">
        <v>103</v>
      </c>
      <c r="B2384" s="3">
        <v>10282</v>
      </c>
      <c r="C2384" s="3">
        <v>37</v>
      </c>
      <c r="D2384" s="13">
        <v>66.78</v>
      </c>
      <c r="E2384" s="5">
        <v>38219</v>
      </c>
      <c r="F2384" s="2" t="s">
        <v>13</v>
      </c>
      <c r="G2384" s="2" t="s">
        <v>217</v>
      </c>
      <c r="H2384" s="3">
        <v>3</v>
      </c>
      <c r="I2384" s="6">
        <v>2004</v>
      </c>
      <c r="J2384" s="2" t="s">
        <v>15</v>
      </c>
      <c r="K2384" s="2" t="s">
        <v>104</v>
      </c>
      <c r="L2384" s="7">
        <f t="shared" si="111"/>
        <v>2470.86</v>
      </c>
      <c r="M2384" s="2" t="str">
        <f t="shared" si="112"/>
        <v>August</v>
      </c>
      <c r="N2384" s="6">
        <f t="shared" si="113"/>
        <v>2004</v>
      </c>
    </row>
    <row r="2385" spans="1:14">
      <c r="A2385" s="2" t="s">
        <v>12</v>
      </c>
      <c r="B2385" s="3">
        <v>10292</v>
      </c>
      <c r="C2385" s="3">
        <v>35</v>
      </c>
      <c r="D2385" s="13">
        <v>55.07</v>
      </c>
      <c r="E2385" s="5">
        <v>38238</v>
      </c>
      <c r="F2385" s="2" t="s">
        <v>13</v>
      </c>
      <c r="G2385" s="2" t="s">
        <v>217</v>
      </c>
      <c r="H2385" s="3">
        <v>3</v>
      </c>
      <c r="I2385" s="6">
        <v>2004</v>
      </c>
      <c r="J2385" s="2" t="s">
        <v>15</v>
      </c>
      <c r="K2385" s="2" t="s">
        <v>16</v>
      </c>
      <c r="L2385" s="7">
        <f t="shared" si="111"/>
        <v>1927.45</v>
      </c>
      <c r="M2385" s="2" t="str">
        <f t="shared" si="112"/>
        <v>September</v>
      </c>
      <c r="N2385" s="6">
        <f t="shared" si="113"/>
        <v>2004</v>
      </c>
    </row>
    <row r="2386" spans="1:14">
      <c r="A2386" s="2" t="s">
        <v>183</v>
      </c>
      <c r="B2386" s="3">
        <v>10306</v>
      </c>
      <c r="C2386" s="3">
        <v>34</v>
      </c>
      <c r="D2386" s="13">
        <v>60.34</v>
      </c>
      <c r="E2386" s="5">
        <v>38274</v>
      </c>
      <c r="F2386" s="2" t="s">
        <v>13</v>
      </c>
      <c r="G2386" s="2" t="s">
        <v>217</v>
      </c>
      <c r="H2386" s="3">
        <v>4</v>
      </c>
      <c r="I2386" s="6">
        <v>2004</v>
      </c>
      <c r="J2386" s="2" t="s">
        <v>15</v>
      </c>
      <c r="K2386" s="2" t="s">
        <v>184</v>
      </c>
      <c r="L2386" s="7">
        <f t="shared" si="111"/>
        <v>2051.56</v>
      </c>
      <c r="M2386" s="2" t="str">
        <f t="shared" si="112"/>
        <v>October</v>
      </c>
      <c r="N2386" s="6">
        <f t="shared" si="113"/>
        <v>2004</v>
      </c>
    </row>
    <row r="2387" spans="1:14">
      <c r="A2387" s="2" t="s">
        <v>185</v>
      </c>
      <c r="B2387" s="3">
        <v>10314</v>
      </c>
      <c r="C2387" s="3">
        <v>38</v>
      </c>
      <c r="D2387" s="13">
        <v>61.51</v>
      </c>
      <c r="E2387" s="5">
        <v>38282</v>
      </c>
      <c r="F2387" s="2" t="s">
        <v>13</v>
      </c>
      <c r="G2387" s="2" t="s">
        <v>217</v>
      </c>
      <c r="H2387" s="3">
        <v>4</v>
      </c>
      <c r="I2387" s="6">
        <v>2004</v>
      </c>
      <c r="J2387" s="2" t="s">
        <v>15</v>
      </c>
      <c r="K2387" s="2" t="s">
        <v>186</v>
      </c>
      <c r="L2387" s="7">
        <f t="shared" si="111"/>
        <v>2337.38</v>
      </c>
      <c r="M2387" s="2" t="str">
        <f t="shared" si="112"/>
        <v>October</v>
      </c>
      <c r="N2387" s="6">
        <f t="shared" si="113"/>
        <v>2004</v>
      </c>
    </row>
    <row r="2388" spans="1:14">
      <c r="A2388" s="2" t="s">
        <v>56</v>
      </c>
      <c r="B2388" s="3">
        <v>10325</v>
      </c>
      <c r="C2388" s="3">
        <v>44</v>
      </c>
      <c r="D2388" s="13">
        <v>100</v>
      </c>
      <c r="E2388" s="5">
        <v>38296</v>
      </c>
      <c r="F2388" s="2" t="s">
        <v>13</v>
      </c>
      <c r="G2388" s="2" t="s">
        <v>217</v>
      </c>
      <c r="H2388" s="3">
        <v>4</v>
      </c>
      <c r="I2388" s="6">
        <v>2004</v>
      </c>
      <c r="J2388" s="2" t="s">
        <v>22</v>
      </c>
      <c r="K2388" s="2" t="s">
        <v>57</v>
      </c>
      <c r="L2388" s="7">
        <f t="shared" si="111"/>
        <v>4400</v>
      </c>
      <c r="M2388" s="2" t="str">
        <f t="shared" si="112"/>
        <v>November</v>
      </c>
      <c r="N2388" s="6">
        <f t="shared" si="113"/>
        <v>2004</v>
      </c>
    </row>
    <row r="2389" spans="1:14">
      <c r="A2389" s="2" t="s">
        <v>79</v>
      </c>
      <c r="B2389" s="3">
        <v>10337</v>
      </c>
      <c r="C2389" s="3">
        <v>21</v>
      </c>
      <c r="D2389" s="13">
        <v>100</v>
      </c>
      <c r="E2389" s="5">
        <v>38312</v>
      </c>
      <c r="F2389" s="2" t="s">
        <v>13</v>
      </c>
      <c r="G2389" s="2" t="s">
        <v>217</v>
      </c>
      <c r="H2389" s="3">
        <v>4</v>
      </c>
      <c r="I2389" s="6">
        <v>2004</v>
      </c>
      <c r="J2389" s="2" t="s">
        <v>15</v>
      </c>
      <c r="K2389" s="2" t="s">
        <v>80</v>
      </c>
      <c r="L2389" s="7">
        <f t="shared" si="111"/>
        <v>2100</v>
      </c>
      <c r="M2389" s="2" t="str">
        <f t="shared" si="112"/>
        <v>November</v>
      </c>
      <c r="N2389" s="6">
        <f t="shared" si="113"/>
        <v>2004</v>
      </c>
    </row>
    <row r="2390" spans="1:14">
      <c r="A2390" s="2" t="s">
        <v>69</v>
      </c>
      <c r="B2390" s="3">
        <v>10350</v>
      </c>
      <c r="C2390" s="3">
        <v>44</v>
      </c>
      <c r="D2390" s="13">
        <v>100</v>
      </c>
      <c r="E2390" s="5">
        <v>38323</v>
      </c>
      <c r="F2390" s="2" t="s">
        <v>13</v>
      </c>
      <c r="G2390" s="2" t="s">
        <v>217</v>
      </c>
      <c r="H2390" s="3">
        <v>4</v>
      </c>
      <c r="I2390" s="6">
        <v>2004</v>
      </c>
      <c r="J2390" s="2" t="s">
        <v>22</v>
      </c>
      <c r="K2390" s="2" t="s">
        <v>71</v>
      </c>
      <c r="L2390" s="7">
        <f t="shared" si="111"/>
        <v>4400</v>
      </c>
      <c r="M2390" s="2" t="str">
        <f t="shared" si="112"/>
        <v>December</v>
      </c>
      <c r="N2390" s="6">
        <f t="shared" si="113"/>
        <v>2004</v>
      </c>
    </row>
    <row r="2391" spans="1:14">
      <c r="A2391" s="2" t="s">
        <v>18</v>
      </c>
      <c r="B2391" s="3">
        <v>10359</v>
      </c>
      <c r="C2391" s="3">
        <v>25</v>
      </c>
      <c r="D2391" s="13">
        <v>64.93</v>
      </c>
      <c r="E2391" s="5">
        <v>38336</v>
      </c>
      <c r="F2391" s="2" t="s">
        <v>13</v>
      </c>
      <c r="G2391" s="2" t="s">
        <v>217</v>
      </c>
      <c r="H2391" s="3">
        <v>4</v>
      </c>
      <c r="I2391" s="6">
        <v>2004</v>
      </c>
      <c r="J2391" s="2" t="s">
        <v>15</v>
      </c>
      <c r="K2391" s="2" t="s">
        <v>19</v>
      </c>
      <c r="L2391" s="7">
        <f t="shared" si="111"/>
        <v>1623.25</v>
      </c>
      <c r="M2391" s="2" t="str">
        <f t="shared" si="112"/>
        <v>December</v>
      </c>
      <c r="N2391" s="6">
        <f t="shared" si="113"/>
        <v>2004</v>
      </c>
    </row>
    <row r="2392" spans="1:14">
      <c r="A2392" s="2" t="s">
        <v>95</v>
      </c>
      <c r="B2392" s="3">
        <v>10372</v>
      </c>
      <c r="C2392" s="3">
        <v>24</v>
      </c>
      <c r="D2392" s="13">
        <v>58.58</v>
      </c>
      <c r="E2392" s="5">
        <v>38378</v>
      </c>
      <c r="F2392" s="2" t="s">
        <v>13</v>
      </c>
      <c r="G2392" s="2" t="s">
        <v>217</v>
      </c>
      <c r="H2392" s="3">
        <v>1</v>
      </c>
      <c r="I2392" s="6">
        <v>2005</v>
      </c>
      <c r="J2392" s="2" t="s">
        <v>15</v>
      </c>
      <c r="K2392" s="2" t="s">
        <v>96</v>
      </c>
      <c r="L2392" s="7">
        <f t="shared" si="111"/>
        <v>1405.92</v>
      </c>
      <c r="M2392" s="2" t="str">
        <f t="shared" si="112"/>
        <v>January</v>
      </c>
      <c r="N2392" s="6">
        <f t="shared" si="113"/>
        <v>2005</v>
      </c>
    </row>
    <row r="2393" spans="1:14">
      <c r="A2393" s="2" t="s">
        <v>69</v>
      </c>
      <c r="B2393" s="3">
        <v>10383</v>
      </c>
      <c r="C2393" s="3">
        <v>38</v>
      </c>
      <c r="D2393" s="13">
        <v>60.06</v>
      </c>
      <c r="E2393" s="5">
        <v>38405</v>
      </c>
      <c r="F2393" s="2" t="s">
        <v>13</v>
      </c>
      <c r="G2393" s="2" t="s">
        <v>217</v>
      </c>
      <c r="H2393" s="3">
        <v>1</v>
      </c>
      <c r="I2393" s="6">
        <v>2005</v>
      </c>
      <c r="J2393" s="2" t="s">
        <v>15</v>
      </c>
      <c r="K2393" s="2" t="s">
        <v>71</v>
      </c>
      <c r="L2393" s="7">
        <f t="shared" si="111"/>
        <v>2282.28</v>
      </c>
      <c r="M2393" s="2" t="str">
        <f t="shared" si="112"/>
        <v>February</v>
      </c>
      <c r="N2393" s="6">
        <f t="shared" si="113"/>
        <v>2005</v>
      </c>
    </row>
    <row r="2394" spans="1:14">
      <c r="A2394" s="2" t="s">
        <v>21</v>
      </c>
      <c r="B2394" s="3">
        <v>10395</v>
      </c>
      <c r="C2394" s="3">
        <v>45</v>
      </c>
      <c r="D2394" s="13">
        <v>100</v>
      </c>
      <c r="E2394" s="5">
        <v>38428</v>
      </c>
      <c r="F2394" s="2" t="s">
        <v>13</v>
      </c>
      <c r="G2394" s="2" t="s">
        <v>217</v>
      </c>
      <c r="H2394" s="3">
        <v>1</v>
      </c>
      <c r="I2394" s="6">
        <v>2005</v>
      </c>
      <c r="J2394" s="2" t="s">
        <v>61</v>
      </c>
      <c r="K2394" s="2" t="s">
        <v>23</v>
      </c>
      <c r="L2394" s="7">
        <f t="shared" si="111"/>
        <v>4500</v>
      </c>
      <c r="M2394" s="2" t="str">
        <f t="shared" si="112"/>
        <v>March</v>
      </c>
      <c r="N2394" s="6">
        <f t="shared" si="113"/>
        <v>2005</v>
      </c>
    </row>
    <row r="2395" spans="1:14">
      <c r="A2395" s="2" t="s">
        <v>48</v>
      </c>
      <c r="B2395" s="3">
        <v>10413</v>
      </c>
      <c r="C2395" s="3">
        <v>51</v>
      </c>
      <c r="D2395" s="13">
        <v>63.85</v>
      </c>
      <c r="E2395" s="5">
        <v>38477</v>
      </c>
      <c r="F2395" s="2" t="s">
        <v>13</v>
      </c>
      <c r="G2395" s="2" t="s">
        <v>217</v>
      </c>
      <c r="H2395" s="3">
        <v>2</v>
      </c>
      <c r="I2395" s="6">
        <v>2005</v>
      </c>
      <c r="J2395" s="2" t="s">
        <v>22</v>
      </c>
      <c r="K2395" s="2" t="s">
        <v>49</v>
      </c>
      <c r="L2395" s="7">
        <f t="shared" si="111"/>
        <v>3256.35</v>
      </c>
      <c r="M2395" s="2" t="str">
        <f t="shared" si="112"/>
        <v>May</v>
      </c>
      <c r="N2395" s="6">
        <f t="shared" si="113"/>
        <v>2005</v>
      </c>
    </row>
    <row r="2396" spans="1:14">
      <c r="A2396" s="2" t="s">
        <v>161</v>
      </c>
      <c r="B2396" s="3">
        <v>10108</v>
      </c>
      <c r="C2396" s="3">
        <v>34</v>
      </c>
      <c r="D2396" s="13">
        <v>82.99</v>
      </c>
      <c r="E2396" s="5">
        <v>37683</v>
      </c>
      <c r="F2396" s="2" t="s">
        <v>13</v>
      </c>
      <c r="G2396" s="2" t="s">
        <v>14</v>
      </c>
      <c r="H2396" s="3">
        <v>1</v>
      </c>
      <c r="I2396" s="6">
        <v>2003</v>
      </c>
      <c r="J2396" s="2" t="s">
        <v>15</v>
      </c>
      <c r="K2396" s="2" t="s">
        <v>162</v>
      </c>
      <c r="L2396" s="7">
        <f t="shared" si="111"/>
        <v>2821.66</v>
      </c>
      <c r="M2396" s="2" t="str">
        <f t="shared" si="112"/>
        <v>March</v>
      </c>
      <c r="N2396" s="6">
        <f t="shared" si="113"/>
        <v>2003</v>
      </c>
    </row>
    <row r="2397" spans="1:14">
      <c r="A2397" s="2" t="s">
        <v>18</v>
      </c>
      <c r="B2397" s="3">
        <v>10121</v>
      </c>
      <c r="C2397" s="3">
        <v>44</v>
      </c>
      <c r="D2397" s="13">
        <v>74.85</v>
      </c>
      <c r="E2397" s="5">
        <v>37748</v>
      </c>
      <c r="F2397" s="2" t="s">
        <v>13</v>
      </c>
      <c r="G2397" s="2" t="s">
        <v>14</v>
      </c>
      <c r="H2397" s="3">
        <v>2</v>
      </c>
      <c r="I2397" s="6">
        <v>2003</v>
      </c>
      <c r="J2397" s="2" t="s">
        <v>22</v>
      </c>
      <c r="K2397" s="2" t="s">
        <v>19</v>
      </c>
      <c r="L2397" s="7">
        <f t="shared" si="111"/>
        <v>3293.4</v>
      </c>
      <c r="M2397" s="2" t="str">
        <f t="shared" si="112"/>
        <v>May</v>
      </c>
      <c r="N2397" s="6">
        <f t="shared" si="113"/>
        <v>2003</v>
      </c>
    </row>
    <row r="2398" spans="1:14">
      <c r="A2398" s="2" t="s">
        <v>103</v>
      </c>
      <c r="B2398" s="3">
        <v>10135</v>
      </c>
      <c r="C2398" s="3">
        <v>44</v>
      </c>
      <c r="D2398" s="13">
        <v>96</v>
      </c>
      <c r="E2398" s="5">
        <v>37804</v>
      </c>
      <c r="F2398" s="2" t="s">
        <v>13</v>
      </c>
      <c r="G2398" s="2" t="s">
        <v>14</v>
      </c>
      <c r="H2398" s="3">
        <v>3</v>
      </c>
      <c r="I2398" s="6">
        <v>2003</v>
      </c>
      <c r="J2398" s="2" t="s">
        <v>22</v>
      </c>
      <c r="K2398" s="2" t="s">
        <v>104</v>
      </c>
      <c r="L2398" s="7">
        <f t="shared" si="111"/>
        <v>4224</v>
      </c>
      <c r="M2398" s="2" t="str">
        <f t="shared" si="112"/>
        <v>July</v>
      </c>
      <c r="N2398" s="6">
        <f t="shared" si="113"/>
        <v>2003</v>
      </c>
    </row>
    <row r="2399" spans="1:14">
      <c r="A2399" s="2" t="s">
        <v>25</v>
      </c>
      <c r="B2399" s="3">
        <v>10145</v>
      </c>
      <c r="C2399" s="3">
        <v>38</v>
      </c>
      <c r="D2399" s="13">
        <v>81.36</v>
      </c>
      <c r="E2399" s="5">
        <v>37858</v>
      </c>
      <c r="F2399" s="2" t="s">
        <v>13</v>
      </c>
      <c r="G2399" s="2" t="s">
        <v>14</v>
      </c>
      <c r="H2399" s="3">
        <v>3</v>
      </c>
      <c r="I2399" s="6">
        <v>2003</v>
      </c>
      <c r="J2399" s="2" t="s">
        <v>22</v>
      </c>
      <c r="K2399" s="2" t="s">
        <v>26</v>
      </c>
      <c r="L2399" s="7">
        <f t="shared" si="111"/>
        <v>3091.68</v>
      </c>
      <c r="M2399" s="2" t="str">
        <f t="shared" si="112"/>
        <v>August</v>
      </c>
      <c r="N2399" s="6">
        <f t="shared" si="113"/>
        <v>2003</v>
      </c>
    </row>
    <row r="2400" spans="1:14">
      <c r="A2400" s="2" t="s">
        <v>28</v>
      </c>
      <c r="B2400" s="3">
        <v>10159</v>
      </c>
      <c r="C2400" s="3">
        <v>31</v>
      </c>
      <c r="D2400" s="13">
        <v>71.6</v>
      </c>
      <c r="E2400" s="5">
        <v>37904</v>
      </c>
      <c r="F2400" s="2" t="s">
        <v>13</v>
      </c>
      <c r="G2400" s="2" t="s">
        <v>14</v>
      </c>
      <c r="H2400" s="3">
        <v>4</v>
      </c>
      <c r="I2400" s="6">
        <v>2003</v>
      </c>
      <c r="J2400" s="2" t="s">
        <v>15</v>
      </c>
      <c r="K2400" s="2" t="s">
        <v>29</v>
      </c>
      <c r="L2400" s="7">
        <f t="shared" si="111"/>
        <v>2219.6</v>
      </c>
      <c r="M2400" s="2" t="str">
        <f t="shared" si="112"/>
        <v>October</v>
      </c>
      <c r="N2400" s="6">
        <f t="shared" si="113"/>
        <v>2003</v>
      </c>
    </row>
    <row r="2401" spans="1:14">
      <c r="A2401" s="2" t="s">
        <v>109</v>
      </c>
      <c r="B2401" s="3">
        <v>10169</v>
      </c>
      <c r="C2401" s="3">
        <v>48</v>
      </c>
      <c r="D2401" s="13">
        <v>80.55</v>
      </c>
      <c r="E2401" s="5">
        <v>37929</v>
      </c>
      <c r="F2401" s="2" t="s">
        <v>13</v>
      </c>
      <c r="G2401" s="2" t="s">
        <v>14</v>
      </c>
      <c r="H2401" s="3">
        <v>4</v>
      </c>
      <c r="I2401" s="6">
        <v>2003</v>
      </c>
      <c r="J2401" s="2" t="s">
        <v>22</v>
      </c>
      <c r="K2401" s="2" t="s">
        <v>110</v>
      </c>
      <c r="L2401" s="7">
        <f t="shared" si="111"/>
        <v>3866.4</v>
      </c>
      <c r="M2401" s="2" t="str">
        <f t="shared" si="112"/>
        <v>November</v>
      </c>
      <c r="N2401" s="6">
        <f t="shared" si="113"/>
        <v>2003</v>
      </c>
    </row>
    <row r="2402" spans="1:14">
      <c r="A2402" s="2" t="s">
        <v>34</v>
      </c>
      <c r="B2402" s="3">
        <v>10180</v>
      </c>
      <c r="C2402" s="3">
        <v>21</v>
      </c>
      <c r="D2402" s="13">
        <v>93.56</v>
      </c>
      <c r="E2402" s="5">
        <v>37936</v>
      </c>
      <c r="F2402" s="2" t="s">
        <v>13</v>
      </c>
      <c r="G2402" s="2" t="s">
        <v>14</v>
      </c>
      <c r="H2402" s="3">
        <v>4</v>
      </c>
      <c r="I2402" s="6">
        <v>2003</v>
      </c>
      <c r="J2402" s="2" t="s">
        <v>15</v>
      </c>
      <c r="K2402" s="2" t="s">
        <v>35</v>
      </c>
      <c r="L2402" s="7">
        <f t="shared" si="111"/>
        <v>1964.76</v>
      </c>
      <c r="M2402" s="2" t="str">
        <f t="shared" si="112"/>
        <v>November</v>
      </c>
      <c r="N2402" s="6">
        <f t="shared" si="113"/>
        <v>2003</v>
      </c>
    </row>
    <row r="2403" spans="1:14">
      <c r="A2403" s="2" t="s">
        <v>69</v>
      </c>
      <c r="B2403" s="3">
        <v>10190</v>
      </c>
      <c r="C2403" s="3">
        <v>40</v>
      </c>
      <c r="D2403" s="13">
        <v>66.72</v>
      </c>
      <c r="E2403" s="5">
        <v>37944</v>
      </c>
      <c r="F2403" s="2" t="s">
        <v>13</v>
      </c>
      <c r="G2403" s="2" t="s">
        <v>14</v>
      </c>
      <c r="H2403" s="3">
        <v>4</v>
      </c>
      <c r="I2403" s="6">
        <v>2003</v>
      </c>
      <c r="J2403" s="2" t="s">
        <v>15</v>
      </c>
      <c r="K2403" s="2" t="s">
        <v>71</v>
      </c>
      <c r="L2403" s="7">
        <f t="shared" si="111"/>
        <v>2668.8</v>
      </c>
      <c r="M2403" s="2" t="str">
        <f t="shared" si="112"/>
        <v>November</v>
      </c>
      <c r="N2403" s="6">
        <f t="shared" si="113"/>
        <v>2003</v>
      </c>
    </row>
    <row r="2404" spans="1:14">
      <c r="A2404" s="2" t="s">
        <v>40</v>
      </c>
      <c r="B2404" s="3">
        <v>10211</v>
      </c>
      <c r="C2404" s="3">
        <v>40</v>
      </c>
      <c r="D2404" s="13">
        <v>80.55</v>
      </c>
      <c r="E2404" s="5">
        <v>38001</v>
      </c>
      <c r="F2404" s="2" t="s">
        <v>13</v>
      </c>
      <c r="G2404" s="2" t="s">
        <v>14</v>
      </c>
      <c r="H2404" s="3">
        <v>1</v>
      </c>
      <c r="I2404" s="6">
        <v>2004</v>
      </c>
      <c r="J2404" s="2" t="s">
        <v>22</v>
      </c>
      <c r="K2404" s="2" t="s">
        <v>41</v>
      </c>
      <c r="L2404" s="7">
        <f t="shared" si="111"/>
        <v>3222</v>
      </c>
      <c r="M2404" s="2" t="str">
        <f t="shared" si="112"/>
        <v>January</v>
      </c>
      <c r="N2404" s="6">
        <f t="shared" si="113"/>
        <v>2004</v>
      </c>
    </row>
    <row r="2405" spans="1:14">
      <c r="A2405" s="2" t="s">
        <v>34</v>
      </c>
      <c r="B2405" s="3">
        <v>10224</v>
      </c>
      <c r="C2405" s="3">
        <v>50</v>
      </c>
      <c r="D2405" s="13">
        <v>77.29</v>
      </c>
      <c r="E2405" s="5">
        <v>38038</v>
      </c>
      <c r="F2405" s="2" t="s">
        <v>13</v>
      </c>
      <c r="G2405" s="2" t="s">
        <v>14</v>
      </c>
      <c r="H2405" s="3">
        <v>1</v>
      </c>
      <c r="I2405" s="6">
        <v>2004</v>
      </c>
      <c r="J2405" s="2" t="s">
        <v>22</v>
      </c>
      <c r="K2405" s="2" t="s">
        <v>35</v>
      </c>
      <c r="L2405" s="7">
        <f t="shared" si="111"/>
        <v>3864.5</v>
      </c>
      <c r="M2405" s="2" t="str">
        <f t="shared" si="112"/>
        <v>February</v>
      </c>
      <c r="N2405" s="6">
        <f t="shared" si="113"/>
        <v>2004</v>
      </c>
    </row>
    <row r="2406" spans="1:14">
      <c r="A2406" s="2" t="s">
        <v>44</v>
      </c>
      <c r="B2406" s="3">
        <v>10237</v>
      </c>
      <c r="C2406" s="3">
        <v>20</v>
      </c>
      <c r="D2406" s="13">
        <v>68.34</v>
      </c>
      <c r="E2406" s="5">
        <v>38082</v>
      </c>
      <c r="F2406" s="2" t="s">
        <v>13</v>
      </c>
      <c r="G2406" s="2" t="s">
        <v>14</v>
      </c>
      <c r="H2406" s="3">
        <v>2</v>
      </c>
      <c r="I2406" s="6">
        <v>2004</v>
      </c>
      <c r="J2406" s="2" t="s">
        <v>15</v>
      </c>
      <c r="K2406" s="2" t="s">
        <v>45</v>
      </c>
      <c r="L2406" s="7">
        <f t="shared" si="111"/>
        <v>1366.8</v>
      </c>
      <c r="M2406" s="2" t="str">
        <f t="shared" si="112"/>
        <v>April</v>
      </c>
      <c r="N2406" s="6">
        <f t="shared" si="113"/>
        <v>2004</v>
      </c>
    </row>
    <row r="2407" spans="1:14">
      <c r="A2407" s="2" t="s">
        <v>40</v>
      </c>
      <c r="B2407" s="3">
        <v>10252</v>
      </c>
      <c r="C2407" s="3">
        <v>48</v>
      </c>
      <c r="D2407" s="13">
        <v>72.41</v>
      </c>
      <c r="E2407" s="5">
        <v>38133</v>
      </c>
      <c r="F2407" s="2" t="s">
        <v>13</v>
      </c>
      <c r="G2407" s="2" t="s">
        <v>14</v>
      </c>
      <c r="H2407" s="3">
        <v>2</v>
      </c>
      <c r="I2407" s="6">
        <v>2004</v>
      </c>
      <c r="J2407" s="2" t="s">
        <v>22</v>
      </c>
      <c r="K2407" s="2" t="s">
        <v>41</v>
      </c>
      <c r="L2407" s="7">
        <f t="shared" si="111"/>
        <v>3475.68</v>
      </c>
      <c r="M2407" s="2" t="str">
        <f t="shared" si="112"/>
        <v>May</v>
      </c>
      <c r="N2407" s="6">
        <f t="shared" si="113"/>
        <v>2004</v>
      </c>
    </row>
    <row r="2408" spans="1:14">
      <c r="A2408" s="2" t="s">
        <v>143</v>
      </c>
      <c r="B2408" s="3">
        <v>10264</v>
      </c>
      <c r="C2408" s="3">
        <v>47</v>
      </c>
      <c r="D2408" s="13">
        <v>89.5</v>
      </c>
      <c r="E2408" s="5">
        <v>38168</v>
      </c>
      <c r="F2408" s="2" t="s">
        <v>13</v>
      </c>
      <c r="G2408" s="2" t="s">
        <v>14</v>
      </c>
      <c r="H2408" s="3">
        <v>2</v>
      </c>
      <c r="I2408" s="6">
        <v>2004</v>
      </c>
      <c r="J2408" s="2" t="s">
        <v>22</v>
      </c>
      <c r="K2408" s="2" t="s">
        <v>144</v>
      </c>
      <c r="L2408" s="7">
        <f t="shared" si="111"/>
        <v>4206.5</v>
      </c>
      <c r="M2408" s="2" t="str">
        <f t="shared" si="112"/>
        <v>June</v>
      </c>
      <c r="N2408" s="6">
        <f t="shared" si="113"/>
        <v>2004</v>
      </c>
    </row>
    <row r="2409" spans="1:14">
      <c r="A2409" s="2" t="s">
        <v>171</v>
      </c>
      <c r="B2409" s="3">
        <v>10276</v>
      </c>
      <c r="C2409" s="3">
        <v>21</v>
      </c>
      <c r="D2409" s="13">
        <v>70.78</v>
      </c>
      <c r="E2409" s="5">
        <v>38201</v>
      </c>
      <c r="F2409" s="2" t="s">
        <v>13</v>
      </c>
      <c r="G2409" s="2" t="s">
        <v>14</v>
      </c>
      <c r="H2409" s="3">
        <v>3</v>
      </c>
      <c r="I2409" s="6">
        <v>2004</v>
      </c>
      <c r="J2409" s="2" t="s">
        <v>15</v>
      </c>
      <c r="K2409" s="2" t="s">
        <v>172</v>
      </c>
      <c r="L2409" s="7">
        <f t="shared" si="111"/>
        <v>1486.38</v>
      </c>
      <c r="M2409" s="2" t="str">
        <f t="shared" si="112"/>
        <v>August</v>
      </c>
      <c r="N2409" s="6">
        <f t="shared" si="113"/>
        <v>2004</v>
      </c>
    </row>
    <row r="2410" spans="1:14">
      <c r="A2410" s="2" t="s">
        <v>52</v>
      </c>
      <c r="B2410" s="3">
        <v>10285</v>
      </c>
      <c r="C2410" s="3">
        <v>39</v>
      </c>
      <c r="D2410" s="13">
        <v>78.92</v>
      </c>
      <c r="E2410" s="5">
        <v>38226</v>
      </c>
      <c r="F2410" s="2" t="s">
        <v>13</v>
      </c>
      <c r="G2410" s="2" t="s">
        <v>14</v>
      </c>
      <c r="H2410" s="3">
        <v>3</v>
      </c>
      <c r="I2410" s="6">
        <v>2004</v>
      </c>
      <c r="J2410" s="2" t="s">
        <v>22</v>
      </c>
      <c r="K2410" s="2" t="s">
        <v>53</v>
      </c>
      <c r="L2410" s="7">
        <f t="shared" si="111"/>
        <v>3077.88</v>
      </c>
      <c r="M2410" s="2" t="str">
        <f t="shared" si="112"/>
        <v>August</v>
      </c>
      <c r="N2410" s="6">
        <f t="shared" si="113"/>
        <v>2004</v>
      </c>
    </row>
    <row r="2411" spans="1:14">
      <c r="A2411" s="2" t="s">
        <v>54</v>
      </c>
      <c r="B2411" s="3">
        <v>10299</v>
      </c>
      <c r="C2411" s="3">
        <v>44</v>
      </c>
      <c r="D2411" s="13">
        <v>80.55</v>
      </c>
      <c r="E2411" s="5">
        <v>38260</v>
      </c>
      <c r="F2411" s="2" t="s">
        <v>13</v>
      </c>
      <c r="G2411" s="2" t="s">
        <v>14</v>
      </c>
      <c r="H2411" s="3">
        <v>3</v>
      </c>
      <c r="I2411" s="6">
        <v>2004</v>
      </c>
      <c r="J2411" s="2" t="s">
        <v>22</v>
      </c>
      <c r="K2411" s="2" t="s">
        <v>55</v>
      </c>
      <c r="L2411" s="7">
        <f t="shared" si="111"/>
        <v>3544.2</v>
      </c>
      <c r="M2411" s="2" t="str">
        <f t="shared" si="112"/>
        <v>September</v>
      </c>
      <c r="N2411" s="6">
        <f t="shared" si="113"/>
        <v>2004</v>
      </c>
    </row>
    <row r="2412" spans="1:14">
      <c r="A2412" s="2" t="s">
        <v>56</v>
      </c>
      <c r="B2412" s="3">
        <v>10309</v>
      </c>
      <c r="C2412" s="3">
        <v>28</v>
      </c>
      <c r="D2412" s="13">
        <v>88.68</v>
      </c>
      <c r="E2412" s="5">
        <v>38275</v>
      </c>
      <c r="F2412" s="2" t="s">
        <v>13</v>
      </c>
      <c r="G2412" s="2" t="s">
        <v>14</v>
      </c>
      <c r="H2412" s="3">
        <v>4</v>
      </c>
      <c r="I2412" s="6">
        <v>2004</v>
      </c>
      <c r="J2412" s="2" t="s">
        <v>15</v>
      </c>
      <c r="K2412" s="2" t="s">
        <v>57</v>
      </c>
      <c r="L2412" s="7">
        <f t="shared" si="111"/>
        <v>2483.04</v>
      </c>
      <c r="M2412" s="2" t="str">
        <f t="shared" si="112"/>
        <v>October</v>
      </c>
      <c r="N2412" s="6">
        <f t="shared" si="113"/>
        <v>2004</v>
      </c>
    </row>
    <row r="2413" spans="1:14">
      <c r="A2413" s="2" t="s">
        <v>188</v>
      </c>
      <c r="B2413" s="3">
        <v>10319</v>
      </c>
      <c r="C2413" s="3">
        <v>45</v>
      </c>
      <c r="D2413" s="13">
        <v>77.29</v>
      </c>
      <c r="E2413" s="5">
        <v>38294</v>
      </c>
      <c r="F2413" s="2" t="s">
        <v>13</v>
      </c>
      <c r="G2413" s="2" t="s">
        <v>14</v>
      </c>
      <c r="H2413" s="3">
        <v>4</v>
      </c>
      <c r="I2413" s="6">
        <v>2004</v>
      </c>
      <c r="J2413" s="2" t="s">
        <v>22</v>
      </c>
      <c r="K2413" s="2" t="s">
        <v>189</v>
      </c>
      <c r="L2413" s="7">
        <f t="shared" si="111"/>
        <v>3478.05</v>
      </c>
      <c r="M2413" s="2" t="str">
        <f t="shared" si="112"/>
        <v>November</v>
      </c>
      <c r="N2413" s="6">
        <f t="shared" si="113"/>
        <v>2004</v>
      </c>
    </row>
    <row r="2414" spans="1:14">
      <c r="A2414" s="2" t="s">
        <v>116</v>
      </c>
      <c r="B2414" s="3">
        <v>10331</v>
      </c>
      <c r="C2414" s="3">
        <v>20</v>
      </c>
      <c r="D2414" s="13">
        <v>100</v>
      </c>
      <c r="E2414" s="5">
        <v>38308</v>
      </c>
      <c r="F2414" s="2" t="s">
        <v>13</v>
      </c>
      <c r="G2414" s="2" t="s">
        <v>14</v>
      </c>
      <c r="H2414" s="3">
        <v>4</v>
      </c>
      <c r="I2414" s="6">
        <v>2004</v>
      </c>
      <c r="J2414" s="2" t="s">
        <v>22</v>
      </c>
      <c r="K2414" s="2" t="s">
        <v>117</v>
      </c>
      <c r="L2414" s="7">
        <f t="shared" si="111"/>
        <v>2000</v>
      </c>
      <c r="M2414" s="2" t="str">
        <f t="shared" si="112"/>
        <v>November</v>
      </c>
      <c r="N2414" s="6">
        <f t="shared" si="113"/>
        <v>2004</v>
      </c>
    </row>
    <row r="2415" spans="1:14">
      <c r="A2415" s="2" t="s">
        <v>60</v>
      </c>
      <c r="B2415" s="3">
        <v>10341</v>
      </c>
      <c r="C2415" s="3">
        <v>38</v>
      </c>
      <c r="D2415" s="13">
        <v>100</v>
      </c>
      <c r="E2415" s="5">
        <v>38315</v>
      </c>
      <c r="F2415" s="2" t="s">
        <v>13</v>
      </c>
      <c r="G2415" s="2" t="s">
        <v>14</v>
      </c>
      <c r="H2415" s="3">
        <v>4</v>
      </c>
      <c r="I2415" s="6">
        <v>2004</v>
      </c>
      <c r="J2415" s="2" t="s">
        <v>22</v>
      </c>
      <c r="K2415" s="2" t="s">
        <v>62</v>
      </c>
      <c r="L2415" s="7">
        <f t="shared" si="111"/>
        <v>3800</v>
      </c>
      <c r="M2415" s="2" t="str">
        <f t="shared" si="112"/>
        <v>November</v>
      </c>
      <c r="N2415" s="6">
        <f t="shared" si="113"/>
        <v>2004</v>
      </c>
    </row>
    <row r="2416" spans="1:14">
      <c r="A2416" s="2" t="s">
        <v>21</v>
      </c>
      <c r="B2416" s="3">
        <v>10356</v>
      </c>
      <c r="C2416" s="3">
        <v>26</v>
      </c>
      <c r="D2416" s="13">
        <v>100</v>
      </c>
      <c r="E2416" s="5">
        <v>38330</v>
      </c>
      <c r="F2416" s="2" t="s">
        <v>13</v>
      </c>
      <c r="G2416" s="2" t="s">
        <v>14</v>
      </c>
      <c r="H2416" s="3">
        <v>4</v>
      </c>
      <c r="I2416" s="6">
        <v>2004</v>
      </c>
      <c r="J2416" s="2" t="s">
        <v>22</v>
      </c>
      <c r="K2416" s="2" t="s">
        <v>23</v>
      </c>
      <c r="L2416" s="7">
        <f t="shared" si="111"/>
        <v>2600</v>
      </c>
      <c r="M2416" s="2" t="str">
        <f t="shared" si="112"/>
        <v>December</v>
      </c>
      <c r="N2416" s="6">
        <f t="shared" si="113"/>
        <v>2004</v>
      </c>
    </row>
    <row r="2417" spans="1:14">
      <c r="A2417" s="2" t="s">
        <v>126</v>
      </c>
      <c r="B2417" s="3">
        <v>10365</v>
      </c>
      <c r="C2417" s="3">
        <v>44</v>
      </c>
      <c r="D2417" s="13">
        <v>100</v>
      </c>
      <c r="E2417" s="5">
        <v>38359</v>
      </c>
      <c r="F2417" s="2" t="s">
        <v>13</v>
      </c>
      <c r="G2417" s="2" t="s">
        <v>14</v>
      </c>
      <c r="H2417" s="3">
        <v>1</v>
      </c>
      <c r="I2417" s="6">
        <v>2005</v>
      </c>
      <c r="J2417" s="2" t="s">
        <v>22</v>
      </c>
      <c r="K2417" s="2" t="s">
        <v>127</v>
      </c>
      <c r="L2417" s="7">
        <f t="shared" si="111"/>
        <v>4400</v>
      </c>
      <c r="M2417" s="2" t="str">
        <f t="shared" si="112"/>
        <v>January</v>
      </c>
      <c r="N2417" s="6">
        <f t="shared" si="113"/>
        <v>2005</v>
      </c>
    </row>
    <row r="2418" spans="1:14">
      <c r="A2418" s="2" t="s">
        <v>50</v>
      </c>
      <c r="B2418" s="3">
        <v>10375</v>
      </c>
      <c r="C2418" s="3">
        <v>49</v>
      </c>
      <c r="D2418" s="13">
        <v>100</v>
      </c>
      <c r="E2418" s="5">
        <v>38386</v>
      </c>
      <c r="F2418" s="2" t="s">
        <v>13</v>
      </c>
      <c r="G2418" s="2" t="s">
        <v>14</v>
      </c>
      <c r="H2418" s="3">
        <v>1</v>
      </c>
      <c r="I2418" s="6">
        <v>2005</v>
      </c>
      <c r="J2418" s="2" t="s">
        <v>22</v>
      </c>
      <c r="K2418" s="2" t="s">
        <v>51</v>
      </c>
      <c r="L2418" s="7">
        <f t="shared" si="111"/>
        <v>4900</v>
      </c>
      <c r="M2418" s="2" t="str">
        <f t="shared" si="112"/>
        <v>February</v>
      </c>
      <c r="N2418" s="6">
        <f t="shared" si="113"/>
        <v>2005</v>
      </c>
    </row>
    <row r="2419" spans="1:14">
      <c r="A2419" s="2" t="s">
        <v>103</v>
      </c>
      <c r="B2419" s="3">
        <v>10390</v>
      </c>
      <c r="C2419" s="3">
        <v>22</v>
      </c>
      <c r="D2419" s="13">
        <v>100</v>
      </c>
      <c r="E2419" s="5">
        <v>38415</v>
      </c>
      <c r="F2419" s="2" t="s">
        <v>13</v>
      </c>
      <c r="G2419" s="2" t="s">
        <v>14</v>
      </c>
      <c r="H2419" s="3">
        <v>1</v>
      </c>
      <c r="I2419" s="6">
        <v>2005</v>
      </c>
      <c r="J2419" s="2" t="s">
        <v>22</v>
      </c>
      <c r="K2419" s="2" t="s">
        <v>104</v>
      </c>
      <c r="L2419" s="7">
        <f t="shared" si="111"/>
        <v>2200</v>
      </c>
      <c r="M2419" s="2" t="str">
        <f t="shared" si="112"/>
        <v>March</v>
      </c>
      <c r="N2419" s="6">
        <f t="shared" si="113"/>
        <v>2005</v>
      </c>
    </row>
    <row r="2420" spans="1:14">
      <c r="A2420" s="2" t="s">
        <v>67</v>
      </c>
      <c r="B2420" s="3">
        <v>10403</v>
      </c>
      <c r="C2420" s="3">
        <v>31</v>
      </c>
      <c r="D2420" s="13">
        <v>68.34</v>
      </c>
      <c r="E2420" s="5">
        <v>38450</v>
      </c>
      <c r="F2420" s="2" t="s">
        <v>13</v>
      </c>
      <c r="G2420" s="2" t="s">
        <v>14</v>
      </c>
      <c r="H2420" s="3">
        <v>2</v>
      </c>
      <c r="I2420" s="6">
        <v>2005</v>
      </c>
      <c r="J2420" s="2" t="s">
        <v>15</v>
      </c>
      <c r="K2420" s="2" t="s">
        <v>68</v>
      </c>
      <c r="L2420" s="7">
        <f t="shared" si="111"/>
        <v>2118.54</v>
      </c>
      <c r="M2420" s="2" t="str">
        <f t="shared" si="112"/>
        <v>April</v>
      </c>
      <c r="N2420" s="6">
        <f t="shared" si="113"/>
        <v>2005</v>
      </c>
    </row>
    <row r="2421" spans="1:14">
      <c r="A2421" s="2" t="s">
        <v>122</v>
      </c>
      <c r="B2421" s="3">
        <v>10105</v>
      </c>
      <c r="C2421" s="3">
        <v>41</v>
      </c>
      <c r="D2421" s="13">
        <v>70.67</v>
      </c>
      <c r="E2421" s="5">
        <v>37663</v>
      </c>
      <c r="F2421" s="2" t="s">
        <v>13</v>
      </c>
      <c r="G2421" s="2" t="s">
        <v>214</v>
      </c>
      <c r="H2421" s="3">
        <v>1</v>
      </c>
      <c r="I2421" s="6">
        <v>2003</v>
      </c>
      <c r="J2421" s="2" t="s">
        <v>15</v>
      </c>
      <c r="K2421" s="2" t="s">
        <v>123</v>
      </c>
      <c r="L2421" s="7">
        <f t="shared" si="111"/>
        <v>2897.47</v>
      </c>
      <c r="M2421" s="2" t="str">
        <f t="shared" si="112"/>
        <v>February</v>
      </c>
      <c r="N2421" s="6">
        <f t="shared" si="113"/>
        <v>2003</v>
      </c>
    </row>
    <row r="2422" spans="1:14">
      <c r="A2422" s="2" t="s">
        <v>60</v>
      </c>
      <c r="B2422" s="3">
        <v>10119</v>
      </c>
      <c r="C2422" s="3">
        <v>25</v>
      </c>
      <c r="D2422" s="13">
        <v>76.67</v>
      </c>
      <c r="E2422" s="5">
        <v>37739</v>
      </c>
      <c r="F2422" s="2" t="s">
        <v>13</v>
      </c>
      <c r="G2422" s="2" t="s">
        <v>214</v>
      </c>
      <c r="H2422" s="3">
        <v>2</v>
      </c>
      <c r="I2422" s="6">
        <v>2003</v>
      </c>
      <c r="J2422" s="2" t="s">
        <v>15</v>
      </c>
      <c r="K2422" s="2" t="s">
        <v>62</v>
      </c>
      <c r="L2422" s="7">
        <f t="shared" si="111"/>
        <v>1916.75</v>
      </c>
      <c r="M2422" s="2" t="str">
        <f t="shared" si="112"/>
        <v>April</v>
      </c>
      <c r="N2422" s="6">
        <f t="shared" si="113"/>
        <v>2003</v>
      </c>
    </row>
    <row r="2423" spans="1:14">
      <c r="A2423" s="2" t="s">
        <v>124</v>
      </c>
      <c r="B2423" s="3">
        <v>10129</v>
      </c>
      <c r="C2423" s="3">
        <v>31</v>
      </c>
      <c r="D2423" s="13">
        <v>60</v>
      </c>
      <c r="E2423" s="5">
        <v>37784</v>
      </c>
      <c r="F2423" s="2" t="s">
        <v>13</v>
      </c>
      <c r="G2423" s="2" t="s">
        <v>214</v>
      </c>
      <c r="H2423" s="3">
        <v>2</v>
      </c>
      <c r="I2423" s="6">
        <v>2003</v>
      </c>
      <c r="J2423" s="2" t="s">
        <v>15</v>
      </c>
      <c r="K2423" s="2" t="s">
        <v>125</v>
      </c>
      <c r="L2423" s="7">
        <f t="shared" si="111"/>
        <v>1860</v>
      </c>
      <c r="M2423" s="2" t="str">
        <f t="shared" si="112"/>
        <v>June</v>
      </c>
      <c r="N2423" s="6">
        <f t="shared" si="113"/>
        <v>2003</v>
      </c>
    </row>
    <row r="2424" spans="1:14">
      <c r="A2424" s="2" t="s">
        <v>103</v>
      </c>
      <c r="B2424" s="3">
        <v>10142</v>
      </c>
      <c r="C2424" s="3">
        <v>41</v>
      </c>
      <c r="D2424" s="13">
        <v>64</v>
      </c>
      <c r="E2424" s="5">
        <v>37841</v>
      </c>
      <c r="F2424" s="2" t="s">
        <v>13</v>
      </c>
      <c r="G2424" s="2" t="s">
        <v>214</v>
      </c>
      <c r="H2424" s="3">
        <v>3</v>
      </c>
      <c r="I2424" s="6">
        <v>2003</v>
      </c>
      <c r="J2424" s="2" t="s">
        <v>15</v>
      </c>
      <c r="K2424" s="2" t="s">
        <v>104</v>
      </c>
      <c r="L2424" s="7">
        <f t="shared" si="111"/>
        <v>2624</v>
      </c>
      <c r="M2424" s="2" t="str">
        <f t="shared" si="112"/>
        <v>August</v>
      </c>
      <c r="N2424" s="6">
        <f t="shared" si="113"/>
        <v>2003</v>
      </c>
    </row>
    <row r="2425" spans="1:14">
      <c r="A2425" s="2" t="s">
        <v>69</v>
      </c>
      <c r="B2425" s="3">
        <v>10153</v>
      </c>
      <c r="C2425" s="3">
        <v>43</v>
      </c>
      <c r="D2425" s="13">
        <v>64.67</v>
      </c>
      <c r="E2425" s="5">
        <v>37892</v>
      </c>
      <c r="F2425" s="2" t="s">
        <v>13</v>
      </c>
      <c r="G2425" s="2" t="s">
        <v>214</v>
      </c>
      <c r="H2425" s="3">
        <v>3</v>
      </c>
      <c r="I2425" s="6">
        <v>2003</v>
      </c>
      <c r="J2425" s="2" t="s">
        <v>15</v>
      </c>
      <c r="K2425" s="2" t="s">
        <v>71</v>
      </c>
      <c r="L2425" s="7">
        <f t="shared" si="111"/>
        <v>2780.81</v>
      </c>
      <c r="M2425" s="2" t="str">
        <f t="shared" si="112"/>
        <v>September</v>
      </c>
      <c r="N2425" s="6">
        <f t="shared" si="113"/>
        <v>2003</v>
      </c>
    </row>
    <row r="2426" spans="1:14">
      <c r="A2426" s="2" t="s">
        <v>99</v>
      </c>
      <c r="B2426" s="3">
        <v>10167</v>
      </c>
      <c r="C2426" s="3">
        <v>43</v>
      </c>
      <c r="D2426" s="13">
        <v>75.34</v>
      </c>
      <c r="E2426" s="5">
        <v>37917</v>
      </c>
      <c r="F2426" s="2" t="s">
        <v>128</v>
      </c>
      <c r="G2426" s="2" t="s">
        <v>214</v>
      </c>
      <c r="H2426" s="3">
        <v>4</v>
      </c>
      <c r="I2426" s="6">
        <v>2003</v>
      </c>
      <c r="J2426" s="2" t="s">
        <v>22</v>
      </c>
      <c r="K2426" s="2" t="s">
        <v>100</v>
      </c>
      <c r="L2426" s="7">
        <f t="shared" si="111"/>
        <v>3239.62</v>
      </c>
      <c r="M2426" s="2" t="str">
        <f t="shared" si="112"/>
        <v>October</v>
      </c>
      <c r="N2426" s="6">
        <f t="shared" si="113"/>
        <v>2003</v>
      </c>
    </row>
    <row r="2427" spans="1:14">
      <c r="A2427" s="2" t="s">
        <v>181</v>
      </c>
      <c r="B2427" s="3">
        <v>10177</v>
      </c>
      <c r="C2427" s="3">
        <v>24</v>
      </c>
      <c r="D2427" s="13">
        <v>76</v>
      </c>
      <c r="E2427" s="5">
        <v>37932</v>
      </c>
      <c r="F2427" s="2" t="s">
        <v>13</v>
      </c>
      <c r="G2427" s="2" t="s">
        <v>214</v>
      </c>
      <c r="H2427" s="3">
        <v>4</v>
      </c>
      <c r="I2427" s="6">
        <v>2003</v>
      </c>
      <c r="J2427" s="2" t="s">
        <v>15</v>
      </c>
      <c r="K2427" s="2" t="s">
        <v>182</v>
      </c>
      <c r="L2427" s="7">
        <f t="shared" si="111"/>
        <v>1824</v>
      </c>
      <c r="M2427" s="2" t="str">
        <f t="shared" si="112"/>
        <v>November</v>
      </c>
      <c r="N2427" s="6">
        <f t="shared" si="113"/>
        <v>2003</v>
      </c>
    </row>
    <row r="2428" spans="1:14">
      <c r="A2428" s="2" t="s">
        <v>126</v>
      </c>
      <c r="B2428" s="3">
        <v>10185</v>
      </c>
      <c r="C2428" s="3">
        <v>21</v>
      </c>
      <c r="D2428" s="13">
        <v>54</v>
      </c>
      <c r="E2428" s="5">
        <v>37939</v>
      </c>
      <c r="F2428" s="2" t="s">
        <v>13</v>
      </c>
      <c r="G2428" s="2" t="s">
        <v>214</v>
      </c>
      <c r="H2428" s="3">
        <v>4</v>
      </c>
      <c r="I2428" s="6">
        <v>2003</v>
      </c>
      <c r="J2428" s="2" t="s">
        <v>15</v>
      </c>
      <c r="K2428" s="2" t="s">
        <v>127</v>
      </c>
      <c r="L2428" s="7">
        <f t="shared" si="111"/>
        <v>1134</v>
      </c>
      <c r="M2428" s="2" t="str">
        <f t="shared" si="112"/>
        <v>November</v>
      </c>
      <c r="N2428" s="6">
        <f t="shared" si="113"/>
        <v>2003</v>
      </c>
    </row>
    <row r="2429" spans="1:14">
      <c r="A2429" s="2" t="s">
        <v>133</v>
      </c>
      <c r="B2429" s="3">
        <v>10197</v>
      </c>
      <c r="C2429" s="3">
        <v>23</v>
      </c>
      <c r="D2429" s="13">
        <v>64.67</v>
      </c>
      <c r="E2429" s="5">
        <v>37951</v>
      </c>
      <c r="F2429" s="2" t="s">
        <v>13</v>
      </c>
      <c r="G2429" s="2" t="s">
        <v>214</v>
      </c>
      <c r="H2429" s="3">
        <v>4</v>
      </c>
      <c r="I2429" s="6">
        <v>2003</v>
      </c>
      <c r="J2429" s="2" t="s">
        <v>15</v>
      </c>
      <c r="K2429" s="2" t="s">
        <v>134</v>
      </c>
      <c r="L2429" s="7">
        <f t="shared" si="111"/>
        <v>1487.41</v>
      </c>
      <c r="M2429" s="2" t="str">
        <f t="shared" si="112"/>
        <v>November</v>
      </c>
      <c r="N2429" s="6">
        <f t="shared" si="113"/>
        <v>2003</v>
      </c>
    </row>
    <row r="2430" spans="1:14">
      <c r="A2430" s="2" t="s">
        <v>85</v>
      </c>
      <c r="B2430" s="3">
        <v>10208</v>
      </c>
      <c r="C2430" s="3">
        <v>38</v>
      </c>
      <c r="D2430" s="13">
        <v>74.67</v>
      </c>
      <c r="E2430" s="5">
        <v>37988</v>
      </c>
      <c r="F2430" s="2" t="s">
        <v>13</v>
      </c>
      <c r="G2430" s="2" t="s">
        <v>214</v>
      </c>
      <c r="H2430" s="3">
        <v>1</v>
      </c>
      <c r="I2430" s="6">
        <v>2004</v>
      </c>
      <c r="J2430" s="2" t="s">
        <v>15</v>
      </c>
      <c r="K2430" s="2" t="s">
        <v>86</v>
      </c>
      <c r="L2430" s="7">
        <f t="shared" si="111"/>
        <v>2837.46</v>
      </c>
      <c r="M2430" s="2" t="str">
        <f t="shared" si="112"/>
        <v>January</v>
      </c>
      <c r="N2430" s="6">
        <f t="shared" si="113"/>
        <v>2004</v>
      </c>
    </row>
    <row r="2431" spans="1:14">
      <c r="A2431" s="2" t="s">
        <v>137</v>
      </c>
      <c r="B2431" s="3">
        <v>10222</v>
      </c>
      <c r="C2431" s="3">
        <v>31</v>
      </c>
      <c r="D2431" s="13">
        <v>62.67</v>
      </c>
      <c r="E2431" s="5">
        <v>38036</v>
      </c>
      <c r="F2431" s="2" t="s">
        <v>13</v>
      </c>
      <c r="G2431" s="2" t="s">
        <v>214</v>
      </c>
      <c r="H2431" s="3">
        <v>1</v>
      </c>
      <c r="I2431" s="6">
        <v>2004</v>
      </c>
      <c r="J2431" s="2" t="s">
        <v>15</v>
      </c>
      <c r="K2431" s="2" t="s">
        <v>138</v>
      </c>
      <c r="L2431" s="7">
        <f t="shared" si="111"/>
        <v>1942.77</v>
      </c>
      <c r="M2431" s="2" t="str">
        <f t="shared" si="112"/>
        <v>February</v>
      </c>
      <c r="N2431" s="6">
        <f t="shared" si="113"/>
        <v>2004</v>
      </c>
    </row>
    <row r="2432" spans="1:14">
      <c r="A2432" s="2" t="s">
        <v>46</v>
      </c>
      <c r="B2432" s="3">
        <v>10233</v>
      </c>
      <c r="C2432" s="3">
        <v>36</v>
      </c>
      <c r="D2432" s="13">
        <v>70.67</v>
      </c>
      <c r="E2432" s="5">
        <v>38075</v>
      </c>
      <c r="F2432" s="2" t="s">
        <v>13</v>
      </c>
      <c r="G2432" s="2" t="s">
        <v>214</v>
      </c>
      <c r="H2432" s="3">
        <v>1</v>
      </c>
      <c r="I2432" s="6">
        <v>2004</v>
      </c>
      <c r="J2432" s="2" t="s">
        <v>15</v>
      </c>
      <c r="K2432" s="2" t="s">
        <v>47</v>
      </c>
      <c r="L2432" s="7">
        <f t="shared" si="111"/>
        <v>2544.12</v>
      </c>
      <c r="M2432" s="2" t="str">
        <f t="shared" si="112"/>
        <v>March</v>
      </c>
      <c r="N2432" s="6">
        <f t="shared" si="113"/>
        <v>2004</v>
      </c>
    </row>
    <row r="2433" spans="1:14">
      <c r="A2433" s="2" t="s">
        <v>12</v>
      </c>
      <c r="B2433" s="3">
        <v>10248</v>
      </c>
      <c r="C2433" s="3">
        <v>36</v>
      </c>
      <c r="D2433" s="13">
        <v>71.34</v>
      </c>
      <c r="E2433" s="5">
        <v>38114</v>
      </c>
      <c r="F2433" s="2" t="s">
        <v>128</v>
      </c>
      <c r="G2433" s="2" t="s">
        <v>214</v>
      </c>
      <c r="H2433" s="3">
        <v>2</v>
      </c>
      <c r="I2433" s="6">
        <v>2004</v>
      </c>
      <c r="J2433" s="2" t="s">
        <v>15</v>
      </c>
      <c r="K2433" s="2" t="s">
        <v>16</v>
      </c>
      <c r="L2433" s="7">
        <f t="shared" si="111"/>
        <v>2568.24</v>
      </c>
      <c r="M2433" s="2" t="str">
        <f t="shared" si="112"/>
        <v>May</v>
      </c>
      <c r="N2433" s="6">
        <f t="shared" si="113"/>
        <v>2004</v>
      </c>
    </row>
    <row r="2434" spans="1:14">
      <c r="A2434" s="2" t="s">
        <v>111</v>
      </c>
      <c r="B2434" s="3">
        <v>10261</v>
      </c>
      <c r="C2434" s="3">
        <v>34</v>
      </c>
      <c r="D2434" s="13">
        <v>62</v>
      </c>
      <c r="E2434" s="5">
        <v>38155</v>
      </c>
      <c r="F2434" s="2" t="s">
        <v>13</v>
      </c>
      <c r="G2434" s="2" t="s">
        <v>214</v>
      </c>
      <c r="H2434" s="3">
        <v>2</v>
      </c>
      <c r="I2434" s="6">
        <v>2004</v>
      </c>
      <c r="J2434" s="2" t="s">
        <v>15</v>
      </c>
      <c r="K2434" s="2" t="s">
        <v>112</v>
      </c>
      <c r="L2434" s="7">
        <f t="shared" ref="L2434:L2497" si="114">PRODUCT(C2434,D2434)</f>
        <v>2108</v>
      </c>
      <c r="M2434" s="2" t="str">
        <f t="shared" ref="M2434:M2497" si="115">TEXT(E2434,"MMMM")</f>
        <v>June</v>
      </c>
      <c r="N2434" s="6">
        <f t="shared" ref="N2434:N2497" si="116">YEAR(E2434)</f>
        <v>2004</v>
      </c>
    </row>
    <row r="2435" spans="1:14">
      <c r="A2435" s="2" t="s">
        <v>139</v>
      </c>
      <c r="B2435" s="3">
        <v>10273</v>
      </c>
      <c r="C2435" s="3">
        <v>21</v>
      </c>
      <c r="D2435" s="13">
        <v>65.34</v>
      </c>
      <c r="E2435" s="5">
        <v>38189</v>
      </c>
      <c r="F2435" s="2" t="s">
        <v>13</v>
      </c>
      <c r="G2435" s="2" t="s">
        <v>214</v>
      </c>
      <c r="H2435" s="3">
        <v>3</v>
      </c>
      <c r="I2435" s="6">
        <v>2004</v>
      </c>
      <c r="J2435" s="2" t="s">
        <v>15</v>
      </c>
      <c r="K2435" s="2" t="s">
        <v>140</v>
      </c>
      <c r="L2435" s="7">
        <f t="shared" si="114"/>
        <v>1372.14</v>
      </c>
      <c r="M2435" s="2" t="str">
        <f t="shared" si="115"/>
        <v>July</v>
      </c>
      <c r="N2435" s="6">
        <f t="shared" si="116"/>
        <v>2004</v>
      </c>
    </row>
    <row r="2436" spans="1:14">
      <c r="A2436" s="2" t="s">
        <v>141</v>
      </c>
      <c r="B2436" s="3">
        <v>10283</v>
      </c>
      <c r="C2436" s="3">
        <v>45</v>
      </c>
      <c r="D2436" s="13">
        <v>78.67</v>
      </c>
      <c r="E2436" s="5">
        <v>38219</v>
      </c>
      <c r="F2436" s="2" t="s">
        <v>13</v>
      </c>
      <c r="G2436" s="2" t="s">
        <v>214</v>
      </c>
      <c r="H2436" s="3">
        <v>3</v>
      </c>
      <c r="I2436" s="6">
        <v>2004</v>
      </c>
      <c r="J2436" s="2" t="s">
        <v>22</v>
      </c>
      <c r="K2436" s="2" t="s">
        <v>142</v>
      </c>
      <c r="L2436" s="7">
        <f t="shared" si="114"/>
        <v>3540.15</v>
      </c>
      <c r="M2436" s="2" t="str">
        <f t="shared" si="115"/>
        <v>August</v>
      </c>
      <c r="N2436" s="6">
        <f t="shared" si="116"/>
        <v>2004</v>
      </c>
    </row>
    <row r="2437" spans="1:14">
      <c r="A2437" s="2" t="s">
        <v>143</v>
      </c>
      <c r="B2437" s="3">
        <v>10295</v>
      </c>
      <c r="C2437" s="3">
        <v>26</v>
      </c>
      <c r="D2437" s="13">
        <v>75.34</v>
      </c>
      <c r="E2437" s="5">
        <v>38240</v>
      </c>
      <c r="F2437" s="2" t="s">
        <v>13</v>
      </c>
      <c r="G2437" s="2" t="s">
        <v>214</v>
      </c>
      <c r="H2437" s="3">
        <v>3</v>
      </c>
      <c r="I2437" s="6">
        <v>2004</v>
      </c>
      <c r="J2437" s="2" t="s">
        <v>15</v>
      </c>
      <c r="K2437" s="2" t="s">
        <v>144</v>
      </c>
      <c r="L2437" s="7">
        <f t="shared" si="114"/>
        <v>1958.84</v>
      </c>
      <c r="M2437" s="2" t="str">
        <f t="shared" si="115"/>
        <v>September</v>
      </c>
      <c r="N2437" s="6">
        <f t="shared" si="116"/>
        <v>2004</v>
      </c>
    </row>
    <row r="2438" spans="1:14">
      <c r="A2438" s="2" t="s">
        <v>183</v>
      </c>
      <c r="B2438" s="3">
        <v>10306</v>
      </c>
      <c r="C2438" s="3">
        <v>50</v>
      </c>
      <c r="D2438" s="13">
        <v>54</v>
      </c>
      <c r="E2438" s="5">
        <v>38274</v>
      </c>
      <c r="F2438" s="2" t="s">
        <v>13</v>
      </c>
      <c r="G2438" s="2" t="s">
        <v>214</v>
      </c>
      <c r="H2438" s="3">
        <v>4</v>
      </c>
      <c r="I2438" s="6">
        <v>2004</v>
      </c>
      <c r="J2438" s="2" t="s">
        <v>15</v>
      </c>
      <c r="K2438" s="2" t="s">
        <v>184</v>
      </c>
      <c r="L2438" s="7">
        <f t="shared" si="114"/>
        <v>2700</v>
      </c>
      <c r="M2438" s="2" t="str">
        <f t="shared" si="115"/>
        <v>October</v>
      </c>
      <c r="N2438" s="6">
        <f t="shared" si="116"/>
        <v>2004</v>
      </c>
    </row>
    <row r="2439" spans="1:14">
      <c r="A2439" s="2" t="s">
        <v>50</v>
      </c>
      <c r="B2439" s="3">
        <v>10315</v>
      </c>
      <c r="C2439" s="3">
        <v>41</v>
      </c>
      <c r="D2439" s="13">
        <v>62</v>
      </c>
      <c r="E2439" s="5">
        <v>38289</v>
      </c>
      <c r="F2439" s="2" t="s">
        <v>13</v>
      </c>
      <c r="G2439" s="2" t="s">
        <v>214</v>
      </c>
      <c r="H2439" s="3">
        <v>4</v>
      </c>
      <c r="I2439" s="6">
        <v>2004</v>
      </c>
      <c r="J2439" s="2" t="s">
        <v>15</v>
      </c>
      <c r="K2439" s="2" t="s">
        <v>51</v>
      </c>
      <c r="L2439" s="7">
        <f t="shared" si="114"/>
        <v>2542</v>
      </c>
      <c r="M2439" s="2" t="str">
        <f t="shared" si="115"/>
        <v>October</v>
      </c>
      <c r="N2439" s="6">
        <f t="shared" si="116"/>
        <v>2004</v>
      </c>
    </row>
    <row r="2440" spans="1:14">
      <c r="A2440" s="2" t="s">
        <v>73</v>
      </c>
      <c r="B2440" s="3">
        <v>10326</v>
      </c>
      <c r="C2440" s="3">
        <v>39</v>
      </c>
      <c r="D2440" s="13">
        <v>60</v>
      </c>
      <c r="E2440" s="5">
        <v>38300</v>
      </c>
      <c r="F2440" s="2" t="s">
        <v>13</v>
      </c>
      <c r="G2440" s="2" t="s">
        <v>214</v>
      </c>
      <c r="H2440" s="3">
        <v>4</v>
      </c>
      <c r="I2440" s="6">
        <v>2004</v>
      </c>
      <c r="J2440" s="2" t="s">
        <v>15</v>
      </c>
      <c r="K2440" s="2" t="s">
        <v>74</v>
      </c>
      <c r="L2440" s="7">
        <f t="shared" si="114"/>
        <v>2340</v>
      </c>
      <c r="M2440" s="2" t="str">
        <f t="shared" si="115"/>
        <v>November</v>
      </c>
      <c r="N2440" s="6">
        <f t="shared" si="116"/>
        <v>2004</v>
      </c>
    </row>
    <row r="2441" spans="1:14">
      <c r="A2441" s="2" t="s">
        <v>95</v>
      </c>
      <c r="B2441" s="3">
        <v>10339</v>
      </c>
      <c r="C2441" s="3">
        <v>22</v>
      </c>
      <c r="D2441" s="13">
        <v>100</v>
      </c>
      <c r="E2441" s="5">
        <v>38314</v>
      </c>
      <c r="F2441" s="2" t="s">
        <v>13</v>
      </c>
      <c r="G2441" s="2" t="s">
        <v>214</v>
      </c>
      <c r="H2441" s="3">
        <v>4</v>
      </c>
      <c r="I2441" s="6">
        <v>2004</v>
      </c>
      <c r="J2441" s="2" t="s">
        <v>15</v>
      </c>
      <c r="K2441" s="2" t="s">
        <v>96</v>
      </c>
      <c r="L2441" s="7">
        <f t="shared" si="114"/>
        <v>2200</v>
      </c>
      <c r="M2441" s="2" t="str">
        <f t="shared" si="115"/>
        <v>November</v>
      </c>
      <c r="N2441" s="6">
        <f t="shared" si="116"/>
        <v>2004</v>
      </c>
    </row>
    <row r="2442" spans="1:14">
      <c r="A2442" s="2" t="s">
        <v>69</v>
      </c>
      <c r="B2442" s="3">
        <v>10350</v>
      </c>
      <c r="C2442" s="3">
        <v>46</v>
      </c>
      <c r="D2442" s="13">
        <v>76.67</v>
      </c>
      <c r="E2442" s="5">
        <v>38323</v>
      </c>
      <c r="F2442" s="2" t="s">
        <v>13</v>
      </c>
      <c r="G2442" s="2" t="s">
        <v>214</v>
      </c>
      <c r="H2442" s="3">
        <v>4</v>
      </c>
      <c r="I2442" s="6">
        <v>2004</v>
      </c>
      <c r="J2442" s="2" t="s">
        <v>22</v>
      </c>
      <c r="K2442" s="2" t="s">
        <v>71</v>
      </c>
      <c r="L2442" s="7">
        <f t="shared" si="114"/>
        <v>3526.82</v>
      </c>
      <c r="M2442" s="2" t="str">
        <f t="shared" si="115"/>
        <v>December</v>
      </c>
      <c r="N2442" s="6">
        <f t="shared" si="116"/>
        <v>2004</v>
      </c>
    </row>
    <row r="2443" spans="1:14">
      <c r="A2443" s="2" t="s">
        <v>147</v>
      </c>
      <c r="B2443" s="3">
        <v>10373</v>
      </c>
      <c r="C2443" s="3">
        <v>44</v>
      </c>
      <c r="D2443" s="13">
        <v>100</v>
      </c>
      <c r="E2443" s="5">
        <v>38383</v>
      </c>
      <c r="F2443" s="2" t="s">
        <v>13</v>
      </c>
      <c r="G2443" s="2" t="s">
        <v>214</v>
      </c>
      <c r="H2443" s="3">
        <v>1</v>
      </c>
      <c r="I2443" s="6">
        <v>2005</v>
      </c>
      <c r="J2443" s="2" t="s">
        <v>22</v>
      </c>
      <c r="K2443" s="2" t="s">
        <v>148</v>
      </c>
      <c r="L2443" s="7">
        <f t="shared" si="114"/>
        <v>4400</v>
      </c>
      <c r="M2443" s="2" t="str">
        <f t="shared" si="115"/>
        <v>January</v>
      </c>
      <c r="N2443" s="6">
        <f t="shared" si="116"/>
        <v>2005</v>
      </c>
    </row>
    <row r="2444" spans="1:14">
      <c r="A2444" s="2" t="s">
        <v>103</v>
      </c>
      <c r="B2444" s="3">
        <v>10385</v>
      </c>
      <c r="C2444" s="3">
        <v>25</v>
      </c>
      <c r="D2444" s="13">
        <v>77.34</v>
      </c>
      <c r="E2444" s="5">
        <v>38411</v>
      </c>
      <c r="F2444" s="2" t="s">
        <v>13</v>
      </c>
      <c r="G2444" s="2" t="s">
        <v>214</v>
      </c>
      <c r="H2444" s="3">
        <v>1</v>
      </c>
      <c r="I2444" s="6">
        <v>2005</v>
      </c>
      <c r="J2444" s="2" t="s">
        <v>15</v>
      </c>
      <c r="K2444" s="2" t="s">
        <v>104</v>
      </c>
      <c r="L2444" s="7">
        <f t="shared" si="114"/>
        <v>1933.5</v>
      </c>
      <c r="M2444" s="2" t="str">
        <f t="shared" si="115"/>
        <v>February</v>
      </c>
      <c r="N2444" s="6">
        <f t="shared" si="116"/>
        <v>2005</v>
      </c>
    </row>
    <row r="2445" spans="1:14">
      <c r="A2445" s="2" t="s">
        <v>103</v>
      </c>
      <c r="B2445" s="3">
        <v>10396</v>
      </c>
      <c r="C2445" s="3">
        <v>39</v>
      </c>
      <c r="D2445" s="13">
        <v>66.67</v>
      </c>
      <c r="E2445" s="5">
        <v>38434</v>
      </c>
      <c r="F2445" s="2" t="s">
        <v>13</v>
      </c>
      <c r="G2445" s="2" t="s">
        <v>214</v>
      </c>
      <c r="H2445" s="3">
        <v>1</v>
      </c>
      <c r="I2445" s="6">
        <v>2005</v>
      </c>
      <c r="J2445" s="2" t="s">
        <v>15</v>
      </c>
      <c r="K2445" s="2" t="s">
        <v>104</v>
      </c>
      <c r="L2445" s="7">
        <f t="shared" si="114"/>
        <v>2600.13</v>
      </c>
      <c r="M2445" s="2" t="str">
        <f t="shared" si="115"/>
        <v>March</v>
      </c>
      <c r="N2445" s="6">
        <f t="shared" si="116"/>
        <v>2005</v>
      </c>
    </row>
    <row r="2446" spans="1:14">
      <c r="A2446" s="2" t="s">
        <v>143</v>
      </c>
      <c r="B2446" s="3">
        <v>10414</v>
      </c>
      <c r="C2446" s="3">
        <v>37</v>
      </c>
      <c r="D2446" s="13">
        <v>71.34</v>
      </c>
      <c r="E2446" s="5">
        <v>38478</v>
      </c>
      <c r="F2446" s="2" t="s">
        <v>151</v>
      </c>
      <c r="G2446" s="2" t="s">
        <v>214</v>
      </c>
      <c r="H2446" s="3">
        <v>2</v>
      </c>
      <c r="I2446" s="6">
        <v>2005</v>
      </c>
      <c r="J2446" s="2" t="s">
        <v>15</v>
      </c>
      <c r="K2446" s="2" t="s">
        <v>144</v>
      </c>
      <c r="L2446" s="7">
        <f t="shared" si="114"/>
        <v>2639.58</v>
      </c>
      <c r="M2446" s="2" t="str">
        <f t="shared" si="115"/>
        <v>May</v>
      </c>
      <c r="N2446" s="6">
        <f t="shared" si="116"/>
        <v>2005</v>
      </c>
    </row>
    <row r="2447" spans="1:14">
      <c r="A2447" s="2" t="s">
        <v>203</v>
      </c>
      <c r="B2447" s="3">
        <v>10106</v>
      </c>
      <c r="C2447" s="3">
        <v>31</v>
      </c>
      <c r="D2447" s="13">
        <v>100</v>
      </c>
      <c r="E2447" s="5">
        <v>37669</v>
      </c>
      <c r="F2447" s="2" t="s">
        <v>13</v>
      </c>
      <c r="G2447" s="2" t="s">
        <v>207</v>
      </c>
      <c r="H2447" s="3">
        <v>1</v>
      </c>
      <c r="I2447" s="6">
        <v>2003</v>
      </c>
      <c r="J2447" s="2" t="s">
        <v>22</v>
      </c>
      <c r="K2447" s="2" t="s">
        <v>204</v>
      </c>
      <c r="L2447" s="7">
        <f t="shared" si="114"/>
        <v>3100</v>
      </c>
      <c r="M2447" s="2" t="str">
        <f t="shared" si="115"/>
        <v>February</v>
      </c>
      <c r="N2447" s="6">
        <f t="shared" si="116"/>
        <v>2003</v>
      </c>
    </row>
    <row r="2448" spans="1:14">
      <c r="A2448" s="2" t="s">
        <v>42</v>
      </c>
      <c r="B2448" s="3">
        <v>10120</v>
      </c>
      <c r="C2448" s="3">
        <v>47</v>
      </c>
      <c r="D2448" s="13">
        <v>82.21</v>
      </c>
      <c r="E2448" s="5">
        <v>37740</v>
      </c>
      <c r="F2448" s="2" t="s">
        <v>13</v>
      </c>
      <c r="G2448" s="2" t="s">
        <v>207</v>
      </c>
      <c r="H2448" s="3">
        <v>2</v>
      </c>
      <c r="I2448" s="6">
        <v>2003</v>
      </c>
      <c r="J2448" s="2" t="s">
        <v>22</v>
      </c>
      <c r="K2448" s="2" t="s">
        <v>43</v>
      </c>
      <c r="L2448" s="7">
        <f t="shared" si="114"/>
        <v>3863.87</v>
      </c>
      <c r="M2448" s="2" t="str">
        <f t="shared" si="115"/>
        <v>April</v>
      </c>
      <c r="N2448" s="6">
        <f t="shared" si="116"/>
        <v>2003</v>
      </c>
    </row>
    <row r="2449" spans="1:14">
      <c r="A2449" s="2" t="s">
        <v>69</v>
      </c>
      <c r="B2449" s="3">
        <v>10133</v>
      </c>
      <c r="C2449" s="3">
        <v>24</v>
      </c>
      <c r="D2449" s="13">
        <v>77.64</v>
      </c>
      <c r="E2449" s="5">
        <v>37799</v>
      </c>
      <c r="F2449" s="2" t="s">
        <v>13</v>
      </c>
      <c r="G2449" s="2" t="s">
        <v>207</v>
      </c>
      <c r="H2449" s="3">
        <v>2</v>
      </c>
      <c r="I2449" s="6">
        <v>2003</v>
      </c>
      <c r="J2449" s="2" t="s">
        <v>15</v>
      </c>
      <c r="K2449" s="2" t="s">
        <v>71</v>
      </c>
      <c r="L2449" s="7">
        <f t="shared" si="114"/>
        <v>1863.36</v>
      </c>
      <c r="M2449" s="2" t="str">
        <f t="shared" si="115"/>
        <v>June</v>
      </c>
      <c r="N2449" s="6">
        <f t="shared" si="116"/>
        <v>2003</v>
      </c>
    </row>
    <row r="2450" spans="1:14">
      <c r="A2450" s="2" t="s">
        <v>126</v>
      </c>
      <c r="B2450" s="3">
        <v>10143</v>
      </c>
      <c r="C2450" s="3">
        <v>36</v>
      </c>
      <c r="D2450" s="13">
        <v>100</v>
      </c>
      <c r="E2450" s="5">
        <v>37843</v>
      </c>
      <c r="F2450" s="2" t="s">
        <v>13</v>
      </c>
      <c r="G2450" s="2" t="s">
        <v>207</v>
      </c>
      <c r="H2450" s="3">
        <v>3</v>
      </c>
      <c r="I2450" s="6">
        <v>2003</v>
      </c>
      <c r="J2450" s="2" t="s">
        <v>22</v>
      </c>
      <c r="K2450" s="2" t="s">
        <v>127</v>
      </c>
      <c r="L2450" s="7">
        <f t="shared" si="114"/>
        <v>3600</v>
      </c>
      <c r="M2450" s="2" t="str">
        <f t="shared" si="115"/>
        <v>August</v>
      </c>
      <c r="N2450" s="6">
        <f t="shared" si="116"/>
        <v>2003</v>
      </c>
    </row>
    <row r="2451" spans="1:14">
      <c r="A2451" s="2" t="s">
        <v>69</v>
      </c>
      <c r="B2451" s="3">
        <v>10156</v>
      </c>
      <c r="C2451" s="3">
        <v>48</v>
      </c>
      <c r="D2451" s="13">
        <v>100</v>
      </c>
      <c r="E2451" s="5">
        <v>37902</v>
      </c>
      <c r="F2451" s="2" t="s">
        <v>13</v>
      </c>
      <c r="G2451" s="2" t="s">
        <v>207</v>
      </c>
      <c r="H2451" s="3">
        <v>4</v>
      </c>
      <c r="I2451" s="6">
        <v>2003</v>
      </c>
      <c r="J2451" s="2" t="s">
        <v>22</v>
      </c>
      <c r="K2451" s="2" t="s">
        <v>71</v>
      </c>
      <c r="L2451" s="7">
        <f t="shared" si="114"/>
        <v>4800</v>
      </c>
      <c r="M2451" s="2" t="str">
        <f t="shared" si="115"/>
        <v>October</v>
      </c>
      <c r="N2451" s="6">
        <f t="shared" si="116"/>
        <v>2003</v>
      </c>
    </row>
    <row r="2452" spans="1:14">
      <c r="A2452" s="2" t="s">
        <v>31</v>
      </c>
      <c r="B2452" s="3">
        <v>10168</v>
      </c>
      <c r="C2452" s="3">
        <v>28</v>
      </c>
      <c r="D2452" s="13">
        <v>98.65</v>
      </c>
      <c r="E2452" s="5">
        <v>37922</v>
      </c>
      <c r="F2452" s="2" t="s">
        <v>13</v>
      </c>
      <c r="G2452" s="2" t="s">
        <v>207</v>
      </c>
      <c r="H2452" s="3">
        <v>4</v>
      </c>
      <c r="I2452" s="6">
        <v>2003</v>
      </c>
      <c r="J2452" s="2" t="s">
        <v>15</v>
      </c>
      <c r="K2452" s="2" t="s">
        <v>32</v>
      </c>
      <c r="L2452" s="7">
        <f t="shared" si="114"/>
        <v>2762.2</v>
      </c>
      <c r="M2452" s="2" t="str">
        <f t="shared" si="115"/>
        <v>October</v>
      </c>
      <c r="N2452" s="6">
        <f t="shared" si="116"/>
        <v>2003</v>
      </c>
    </row>
    <row r="2453" spans="1:14">
      <c r="A2453" s="2" t="s">
        <v>89</v>
      </c>
      <c r="B2453" s="3">
        <v>10199</v>
      </c>
      <c r="C2453" s="3">
        <v>48</v>
      </c>
      <c r="D2453" s="13">
        <v>83.12</v>
      </c>
      <c r="E2453" s="5">
        <v>37956</v>
      </c>
      <c r="F2453" s="2" t="s">
        <v>13</v>
      </c>
      <c r="G2453" s="2" t="s">
        <v>207</v>
      </c>
      <c r="H2453" s="3">
        <v>4</v>
      </c>
      <c r="I2453" s="6">
        <v>2003</v>
      </c>
      <c r="J2453" s="2" t="s">
        <v>22</v>
      </c>
      <c r="K2453" s="2" t="s">
        <v>90</v>
      </c>
      <c r="L2453" s="7">
        <f t="shared" si="114"/>
        <v>3989.76</v>
      </c>
      <c r="M2453" s="2" t="str">
        <f t="shared" si="115"/>
        <v>December</v>
      </c>
      <c r="N2453" s="6">
        <f t="shared" si="116"/>
        <v>2003</v>
      </c>
    </row>
    <row r="2454" spans="1:14">
      <c r="A2454" s="2" t="s">
        <v>114</v>
      </c>
      <c r="B2454" s="3">
        <v>10210</v>
      </c>
      <c r="C2454" s="3">
        <v>21</v>
      </c>
      <c r="D2454" s="13">
        <v>78.55</v>
      </c>
      <c r="E2454" s="5">
        <v>37998</v>
      </c>
      <c r="F2454" s="2" t="s">
        <v>13</v>
      </c>
      <c r="G2454" s="2" t="s">
        <v>207</v>
      </c>
      <c r="H2454" s="3">
        <v>1</v>
      </c>
      <c r="I2454" s="6">
        <v>2004</v>
      </c>
      <c r="J2454" s="2" t="s">
        <v>15</v>
      </c>
      <c r="K2454" s="2" t="s">
        <v>115</v>
      </c>
      <c r="L2454" s="7">
        <f t="shared" si="114"/>
        <v>1649.55</v>
      </c>
      <c r="M2454" s="2" t="str">
        <f t="shared" si="115"/>
        <v>January</v>
      </c>
      <c r="N2454" s="6">
        <f t="shared" si="116"/>
        <v>2004</v>
      </c>
    </row>
    <row r="2455" spans="1:14">
      <c r="A2455" s="2" t="s">
        <v>42</v>
      </c>
      <c r="B2455" s="3">
        <v>10223</v>
      </c>
      <c r="C2455" s="3">
        <v>25</v>
      </c>
      <c r="D2455" s="13">
        <v>100</v>
      </c>
      <c r="E2455" s="5">
        <v>38037</v>
      </c>
      <c r="F2455" s="2" t="s">
        <v>13</v>
      </c>
      <c r="G2455" s="2" t="s">
        <v>207</v>
      </c>
      <c r="H2455" s="3">
        <v>1</v>
      </c>
      <c r="I2455" s="6">
        <v>2004</v>
      </c>
      <c r="J2455" s="2" t="s">
        <v>15</v>
      </c>
      <c r="K2455" s="2" t="s">
        <v>43</v>
      </c>
      <c r="L2455" s="7">
        <f t="shared" si="114"/>
        <v>2500</v>
      </c>
      <c r="M2455" s="2" t="str">
        <f t="shared" si="115"/>
        <v>February</v>
      </c>
      <c r="N2455" s="6">
        <f t="shared" si="116"/>
        <v>2004</v>
      </c>
    </row>
    <row r="2456" spans="1:14">
      <c r="A2456" s="2" t="s">
        <v>141</v>
      </c>
      <c r="B2456" s="3">
        <v>10235</v>
      </c>
      <c r="C2456" s="3">
        <v>25</v>
      </c>
      <c r="D2456" s="13">
        <v>100</v>
      </c>
      <c r="E2456" s="5">
        <v>38079</v>
      </c>
      <c r="F2456" s="2" t="s">
        <v>13</v>
      </c>
      <c r="G2456" s="2" t="s">
        <v>207</v>
      </c>
      <c r="H2456" s="3">
        <v>2</v>
      </c>
      <c r="I2456" s="6">
        <v>2004</v>
      </c>
      <c r="J2456" s="2" t="s">
        <v>15</v>
      </c>
      <c r="K2456" s="2" t="s">
        <v>142</v>
      </c>
      <c r="L2456" s="7">
        <f t="shared" si="114"/>
        <v>2500</v>
      </c>
      <c r="M2456" s="2" t="str">
        <f t="shared" si="115"/>
        <v>April</v>
      </c>
      <c r="N2456" s="6">
        <f t="shared" si="116"/>
        <v>2004</v>
      </c>
    </row>
    <row r="2457" spans="1:14">
      <c r="A2457" s="2" t="s">
        <v>149</v>
      </c>
      <c r="B2457" s="3">
        <v>10250</v>
      </c>
      <c r="C2457" s="3">
        <v>31</v>
      </c>
      <c r="D2457" s="13">
        <v>91.34</v>
      </c>
      <c r="E2457" s="5">
        <v>38118</v>
      </c>
      <c r="F2457" s="2" t="s">
        <v>13</v>
      </c>
      <c r="G2457" s="2" t="s">
        <v>207</v>
      </c>
      <c r="H2457" s="3">
        <v>2</v>
      </c>
      <c r="I2457" s="6">
        <v>2004</v>
      </c>
      <c r="J2457" s="2" t="s">
        <v>15</v>
      </c>
      <c r="K2457" s="2" t="s">
        <v>150</v>
      </c>
      <c r="L2457" s="7">
        <f t="shared" si="114"/>
        <v>2831.54</v>
      </c>
      <c r="M2457" s="2" t="str">
        <f t="shared" si="115"/>
        <v>May</v>
      </c>
      <c r="N2457" s="6">
        <f t="shared" si="116"/>
        <v>2004</v>
      </c>
    </row>
    <row r="2458" spans="1:14">
      <c r="A2458" s="2" t="s">
        <v>69</v>
      </c>
      <c r="B2458" s="3">
        <v>10262</v>
      </c>
      <c r="C2458" s="3">
        <v>40</v>
      </c>
      <c r="D2458" s="13">
        <v>84.03</v>
      </c>
      <c r="E2458" s="5">
        <v>38162</v>
      </c>
      <c r="F2458" s="2" t="s">
        <v>128</v>
      </c>
      <c r="G2458" s="2" t="s">
        <v>207</v>
      </c>
      <c r="H2458" s="3">
        <v>2</v>
      </c>
      <c r="I2458" s="6">
        <v>2004</v>
      </c>
      <c r="J2458" s="2" t="s">
        <v>22</v>
      </c>
      <c r="K2458" s="2" t="s">
        <v>71</v>
      </c>
      <c r="L2458" s="7">
        <f t="shared" si="114"/>
        <v>3361.2</v>
      </c>
      <c r="M2458" s="2" t="str">
        <f t="shared" si="115"/>
        <v>June</v>
      </c>
      <c r="N2458" s="6">
        <f t="shared" si="116"/>
        <v>2004</v>
      </c>
    </row>
    <row r="2459" spans="1:14">
      <c r="A2459" s="2" t="s">
        <v>50</v>
      </c>
      <c r="B2459" s="3">
        <v>10275</v>
      </c>
      <c r="C2459" s="3">
        <v>32</v>
      </c>
      <c r="D2459" s="13">
        <v>89.51</v>
      </c>
      <c r="E2459" s="5">
        <v>38191</v>
      </c>
      <c r="F2459" s="2" t="s">
        <v>13</v>
      </c>
      <c r="G2459" s="2" t="s">
        <v>207</v>
      </c>
      <c r="H2459" s="3">
        <v>3</v>
      </c>
      <c r="I2459" s="6">
        <v>2004</v>
      </c>
      <c r="J2459" s="2" t="s">
        <v>15</v>
      </c>
      <c r="K2459" s="2" t="s">
        <v>51</v>
      </c>
      <c r="L2459" s="7">
        <f t="shared" si="114"/>
        <v>2864.32</v>
      </c>
      <c r="M2459" s="2" t="str">
        <f t="shared" si="115"/>
        <v>July</v>
      </c>
      <c r="N2459" s="6">
        <f t="shared" si="116"/>
        <v>2004</v>
      </c>
    </row>
    <row r="2460" spans="1:14">
      <c r="A2460" s="2" t="s">
        <v>200</v>
      </c>
      <c r="B2460" s="3">
        <v>10284</v>
      </c>
      <c r="C2460" s="3">
        <v>24</v>
      </c>
      <c r="D2460" s="13">
        <v>83.12</v>
      </c>
      <c r="E2460" s="5">
        <v>38220</v>
      </c>
      <c r="F2460" s="2" t="s">
        <v>13</v>
      </c>
      <c r="G2460" s="2" t="s">
        <v>207</v>
      </c>
      <c r="H2460" s="3">
        <v>3</v>
      </c>
      <c r="I2460" s="6">
        <v>2004</v>
      </c>
      <c r="J2460" s="2" t="s">
        <v>15</v>
      </c>
      <c r="K2460" s="2" t="s">
        <v>201</v>
      </c>
      <c r="L2460" s="7">
        <f t="shared" si="114"/>
        <v>1994.88</v>
      </c>
      <c r="M2460" s="2" t="str">
        <f t="shared" si="115"/>
        <v>August</v>
      </c>
      <c r="N2460" s="6">
        <f t="shared" si="116"/>
        <v>2004</v>
      </c>
    </row>
    <row r="2461" spans="1:14">
      <c r="A2461" s="2" t="s">
        <v>210</v>
      </c>
      <c r="B2461" s="3">
        <v>10296</v>
      </c>
      <c r="C2461" s="3">
        <v>42</v>
      </c>
      <c r="D2461" s="13">
        <v>100</v>
      </c>
      <c r="E2461" s="5">
        <v>38245</v>
      </c>
      <c r="F2461" s="2" t="s">
        <v>13</v>
      </c>
      <c r="G2461" s="2" t="s">
        <v>207</v>
      </c>
      <c r="H2461" s="3">
        <v>3</v>
      </c>
      <c r="I2461" s="6">
        <v>2004</v>
      </c>
      <c r="J2461" s="2" t="s">
        <v>22</v>
      </c>
      <c r="K2461" s="2" t="s">
        <v>211</v>
      </c>
      <c r="L2461" s="7">
        <f t="shared" si="114"/>
        <v>4200</v>
      </c>
      <c r="M2461" s="2" t="str">
        <f t="shared" si="115"/>
        <v>September</v>
      </c>
      <c r="N2461" s="6">
        <f t="shared" si="116"/>
        <v>2004</v>
      </c>
    </row>
    <row r="2462" spans="1:14">
      <c r="A2462" s="2" t="s">
        <v>120</v>
      </c>
      <c r="B2462" s="3">
        <v>10308</v>
      </c>
      <c r="C2462" s="3">
        <v>21</v>
      </c>
      <c r="D2462" s="13">
        <v>100</v>
      </c>
      <c r="E2462" s="5">
        <v>38275</v>
      </c>
      <c r="F2462" s="2" t="s">
        <v>13</v>
      </c>
      <c r="G2462" s="2" t="s">
        <v>207</v>
      </c>
      <c r="H2462" s="3">
        <v>4</v>
      </c>
      <c r="I2462" s="6">
        <v>2004</v>
      </c>
      <c r="J2462" s="2" t="s">
        <v>15</v>
      </c>
      <c r="K2462" s="2" t="s">
        <v>121</v>
      </c>
      <c r="L2462" s="7">
        <f t="shared" si="114"/>
        <v>2100</v>
      </c>
      <c r="M2462" s="2" t="str">
        <f t="shared" si="115"/>
        <v>October</v>
      </c>
      <c r="N2462" s="6">
        <f t="shared" si="116"/>
        <v>2004</v>
      </c>
    </row>
    <row r="2463" spans="1:14">
      <c r="A2463" s="2" t="s">
        <v>145</v>
      </c>
      <c r="B2463" s="3">
        <v>10316</v>
      </c>
      <c r="C2463" s="3">
        <v>34</v>
      </c>
      <c r="D2463" s="13">
        <v>82.21</v>
      </c>
      <c r="E2463" s="5">
        <v>38292</v>
      </c>
      <c r="F2463" s="2" t="s">
        <v>13</v>
      </c>
      <c r="G2463" s="2" t="s">
        <v>207</v>
      </c>
      <c r="H2463" s="3">
        <v>4</v>
      </c>
      <c r="I2463" s="6">
        <v>2004</v>
      </c>
      <c r="J2463" s="2" t="s">
        <v>15</v>
      </c>
      <c r="K2463" s="2" t="s">
        <v>146</v>
      </c>
      <c r="L2463" s="7">
        <f t="shared" si="114"/>
        <v>2795.14</v>
      </c>
      <c r="M2463" s="2" t="str">
        <f t="shared" si="115"/>
        <v>November</v>
      </c>
      <c r="N2463" s="6">
        <f t="shared" si="116"/>
        <v>2004</v>
      </c>
    </row>
    <row r="2464" spans="1:14">
      <c r="A2464" s="2" t="s">
        <v>203</v>
      </c>
      <c r="B2464" s="3">
        <v>10328</v>
      </c>
      <c r="C2464" s="3">
        <v>27</v>
      </c>
      <c r="D2464" s="13">
        <v>100</v>
      </c>
      <c r="E2464" s="5">
        <v>38303</v>
      </c>
      <c r="F2464" s="2" t="s">
        <v>13</v>
      </c>
      <c r="G2464" s="2" t="s">
        <v>207</v>
      </c>
      <c r="H2464" s="3">
        <v>4</v>
      </c>
      <c r="I2464" s="6">
        <v>2004</v>
      </c>
      <c r="J2464" s="2" t="s">
        <v>15</v>
      </c>
      <c r="K2464" s="2" t="s">
        <v>204</v>
      </c>
      <c r="L2464" s="7">
        <f t="shared" si="114"/>
        <v>2700</v>
      </c>
      <c r="M2464" s="2" t="str">
        <f t="shared" si="115"/>
        <v>November</v>
      </c>
      <c r="N2464" s="6">
        <f t="shared" si="116"/>
        <v>2004</v>
      </c>
    </row>
    <row r="2465" spans="1:14">
      <c r="A2465" s="2" t="s">
        <v>133</v>
      </c>
      <c r="B2465" s="3">
        <v>10340</v>
      </c>
      <c r="C2465" s="3">
        <v>30</v>
      </c>
      <c r="D2465" s="13">
        <v>88.6</v>
      </c>
      <c r="E2465" s="5">
        <v>38315</v>
      </c>
      <c r="F2465" s="2" t="s">
        <v>13</v>
      </c>
      <c r="G2465" s="2" t="s">
        <v>207</v>
      </c>
      <c r="H2465" s="3">
        <v>4</v>
      </c>
      <c r="I2465" s="6">
        <v>2004</v>
      </c>
      <c r="J2465" s="2" t="s">
        <v>15</v>
      </c>
      <c r="K2465" s="2" t="s">
        <v>134</v>
      </c>
      <c r="L2465" s="7">
        <f t="shared" si="114"/>
        <v>2658</v>
      </c>
      <c r="M2465" s="2" t="str">
        <f t="shared" si="115"/>
        <v>November</v>
      </c>
      <c r="N2465" s="6">
        <f t="shared" si="116"/>
        <v>2004</v>
      </c>
    </row>
    <row r="2466" spans="1:14">
      <c r="A2466" s="2" t="s">
        <v>208</v>
      </c>
      <c r="B2466" s="3">
        <v>10353</v>
      </c>
      <c r="C2466" s="3">
        <v>39</v>
      </c>
      <c r="D2466" s="13">
        <v>100</v>
      </c>
      <c r="E2466" s="5">
        <v>38325</v>
      </c>
      <c r="F2466" s="2" t="s">
        <v>13</v>
      </c>
      <c r="G2466" s="2" t="s">
        <v>207</v>
      </c>
      <c r="H2466" s="3">
        <v>4</v>
      </c>
      <c r="I2466" s="6">
        <v>2004</v>
      </c>
      <c r="J2466" s="2" t="s">
        <v>22</v>
      </c>
      <c r="K2466" s="2" t="s">
        <v>209</v>
      </c>
      <c r="L2466" s="7">
        <f t="shared" si="114"/>
        <v>3900</v>
      </c>
      <c r="M2466" s="2" t="str">
        <f t="shared" si="115"/>
        <v>December</v>
      </c>
      <c r="N2466" s="6">
        <f t="shared" si="116"/>
        <v>2004</v>
      </c>
    </row>
    <row r="2467" spans="1:14">
      <c r="A2467" s="2" t="s">
        <v>63</v>
      </c>
      <c r="B2467" s="3">
        <v>10361</v>
      </c>
      <c r="C2467" s="3">
        <v>20</v>
      </c>
      <c r="D2467" s="13">
        <v>60.54</v>
      </c>
      <c r="E2467" s="5">
        <v>38338</v>
      </c>
      <c r="F2467" s="2" t="s">
        <v>13</v>
      </c>
      <c r="G2467" s="2" t="s">
        <v>207</v>
      </c>
      <c r="H2467" s="3">
        <v>4</v>
      </c>
      <c r="I2467" s="6">
        <v>2004</v>
      </c>
      <c r="J2467" s="2" t="s">
        <v>15</v>
      </c>
      <c r="K2467" s="2" t="s">
        <v>64</v>
      </c>
      <c r="L2467" s="7">
        <f t="shared" si="114"/>
        <v>1210.8</v>
      </c>
      <c r="M2467" s="2" t="str">
        <f t="shared" si="115"/>
        <v>December</v>
      </c>
      <c r="N2467" s="6">
        <f t="shared" si="116"/>
        <v>2004</v>
      </c>
    </row>
    <row r="2468" spans="1:14">
      <c r="A2468" s="2" t="s">
        <v>50</v>
      </c>
      <c r="B2468" s="3">
        <v>10375</v>
      </c>
      <c r="C2468" s="3">
        <v>37</v>
      </c>
      <c r="D2468" s="13">
        <v>81.87</v>
      </c>
      <c r="E2468" s="5">
        <v>38386</v>
      </c>
      <c r="F2468" s="2" t="s">
        <v>13</v>
      </c>
      <c r="G2468" s="2" t="s">
        <v>207</v>
      </c>
      <c r="H2468" s="3">
        <v>1</v>
      </c>
      <c r="I2468" s="6">
        <v>2005</v>
      </c>
      <c r="J2468" s="2" t="s">
        <v>22</v>
      </c>
      <c r="K2468" s="2" t="s">
        <v>51</v>
      </c>
      <c r="L2468" s="7">
        <f t="shared" si="114"/>
        <v>3029.19</v>
      </c>
      <c r="M2468" s="2" t="str">
        <f t="shared" si="115"/>
        <v>February</v>
      </c>
      <c r="N2468" s="6">
        <f t="shared" si="116"/>
        <v>2005</v>
      </c>
    </row>
    <row r="2469" spans="1:14">
      <c r="A2469" s="2" t="s">
        <v>65</v>
      </c>
      <c r="B2469" s="3">
        <v>10388</v>
      </c>
      <c r="C2469" s="3">
        <v>46</v>
      </c>
      <c r="D2469" s="13">
        <v>100</v>
      </c>
      <c r="E2469" s="5">
        <v>38414</v>
      </c>
      <c r="F2469" s="2" t="s">
        <v>13</v>
      </c>
      <c r="G2469" s="2" t="s">
        <v>207</v>
      </c>
      <c r="H2469" s="3">
        <v>1</v>
      </c>
      <c r="I2469" s="6">
        <v>2005</v>
      </c>
      <c r="J2469" s="2" t="s">
        <v>61</v>
      </c>
      <c r="K2469" s="2" t="s">
        <v>66</v>
      </c>
      <c r="L2469" s="7">
        <f t="shared" si="114"/>
        <v>4600</v>
      </c>
      <c r="M2469" s="2" t="str">
        <f t="shared" si="115"/>
        <v>March</v>
      </c>
      <c r="N2469" s="6">
        <f t="shared" si="116"/>
        <v>2005</v>
      </c>
    </row>
    <row r="2470" spans="1:14">
      <c r="A2470" s="2" t="s">
        <v>18</v>
      </c>
      <c r="B2470" s="3">
        <v>10398</v>
      </c>
      <c r="C2470" s="3">
        <v>47</v>
      </c>
      <c r="D2470" s="13">
        <v>87.69</v>
      </c>
      <c r="E2470" s="5">
        <v>38441</v>
      </c>
      <c r="F2470" s="2" t="s">
        <v>13</v>
      </c>
      <c r="G2470" s="2" t="s">
        <v>207</v>
      </c>
      <c r="H2470" s="3">
        <v>1</v>
      </c>
      <c r="I2470" s="6">
        <v>2005</v>
      </c>
      <c r="J2470" s="2" t="s">
        <v>22</v>
      </c>
      <c r="K2470" s="2" t="s">
        <v>19</v>
      </c>
      <c r="L2470" s="7">
        <f t="shared" si="114"/>
        <v>4121.43</v>
      </c>
      <c r="M2470" s="2" t="str">
        <f t="shared" si="115"/>
        <v>March</v>
      </c>
      <c r="N2470" s="6">
        <f t="shared" si="116"/>
        <v>2005</v>
      </c>
    </row>
    <row r="2471" spans="1:14">
      <c r="A2471" s="2" t="s">
        <v>46</v>
      </c>
      <c r="B2471" s="3">
        <v>10401</v>
      </c>
      <c r="C2471" s="3">
        <v>11</v>
      </c>
      <c r="D2471" s="13">
        <v>100</v>
      </c>
      <c r="E2471" s="5">
        <v>38445</v>
      </c>
      <c r="F2471" s="2" t="s">
        <v>151</v>
      </c>
      <c r="G2471" s="2" t="s">
        <v>207</v>
      </c>
      <c r="H2471" s="3">
        <v>2</v>
      </c>
      <c r="I2471" s="6">
        <v>2005</v>
      </c>
      <c r="J2471" s="2" t="s">
        <v>15</v>
      </c>
      <c r="K2471" s="2" t="s">
        <v>47</v>
      </c>
      <c r="L2471" s="7">
        <f t="shared" si="114"/>
        <v>1100</v>
      </c>
      <c r="M2471" s="2" t="str">
        <f t="shared" si="115"/>
        <v>April</v>
      </c>
      <c r="N2471" s="6">
        <f t="shared" si="116"/>
        <v>2005</v>
      </c>
    </row>
    <row r="2472" spans="1:14">
      <c r="A2472" s="2" t="s">
        <v>169</v>
      </c>
      <c r="B2472" s="3">
        <v>10416</v>
      </c>
      <c r="C2472" s="3">
        <v>23</v>
      </c>
      <c r="D2472" s="13">
        <v>91.34</v>
      </c>
      <c r="E2472" s="5">
        <v>38482</v>
      </c>
      <c r="F2472" s="2" t="s">
        <v>13</v>
      </c>
      <c r="G2472" s="2" t="s">
        <v>207</v>
      </c>
      <c r="H2472" s="3">
        <v>2</v>
      </c>
      <c r="I2472" s="6">
        <v>2005</v>
      </c>
      <c r="J2472" s="2" t="s">
        <v>15</v>
      </c>
      <c r="K2472" s="2" t="s">
        <v>170</v>
      </c>
      <c r="L2472" s="7">
        <f t="shared" si="114"/>
        <v>2100.82</v>
      </c>
      <c r="M2472" s="2" t="str">
        <f t="shared" si="115"/>
        <v>May</v>
      </c>
      <c r="N2472" s="6">
        <f t="shared" si="116"/>
        <v>2005</v>
      </c>
    </row>
    <row r="2473" spans="1:14">
      <c r="A2473" s="2" t="s">
        <v>122</v>
      </c>
      <c r="B2473" s="3">
        <v>10105</v>
      </c>
      <c r="C2473" s="3">
        <v>29</v>
      </c>
      <c r="D2473" s="13">
        <v>70.15</v>
      </c>
      <c r="E2473" s="5">
        <v>37663</v>
      </c>
      <c r="F2473" s="2" t="s">
        <v>13</v>
      </c>
      <c r="G2473" s="2" t="s">
        <v>214</v>
      </c>
      <c r="H2473" s="3">
        <v>1</v>
      </c>
      <c r="I2473" s="6">
        <v>2003</v>
      </c>
      <c r="J2473" s="2" t="s">
        <v>15</v>
      </c>
      <c r="K2473" s="2" t="s">
        <v>123</v>
      </c>
      <c r="L2473" s="7">
        <f t="shared" si="114"/>
        <v>2034.35</v>
      </c>
      <c r="M2473" s="2" t="str">
        <f t="shared" si="115"/>
        <v>February</v>
      </c>
      <c r="N2473" s="6">
        <f t="shared" si="116"/>
        <v>2003</v>
      </c>
    </row>
    <row r="2474" spans="1:14">
      <c r="A2474" s="2" t="s">
        <v>77</v>
      </c>
      <c r="B2474" s="3">
        <v>10117</v>
      </c>
      <c r="C2474" s="3">
        <v>38</v>
      </c>
      <c r="D2474" s="13">
        <v>79.68</v>
      </c>
      <c r="E2474" s="5">
        <v>37727</v>
      </c>
      <c r="F2474" s="2" t="s">
        <v>13</v>
      </c>
      <c r="G2474" s="2" t="s">
        <v>214</v>
      </c>
      <c r="H2474" s="3">
        <v>2</v>
      </c>
      <c r="I2474" s="6">
        <v>2003</v>
      </c>
      <c r="J2474" s="2" t="s">
        <v>22</v>
      </c>
      <c r="K2474" s="2" t="s">
        <v>78</v>
      </c>
      <c r="L2474" s="7">
        <f t="shared" si="114"/>
        <v>3027.84</v>
      </c>
      <c r="M2474" s="2" t="str">
        <f t="shared" si="115"/>
        <v>April</v>
      </c>
      <c r="N2474" s="6">
        <f t="shared" si="116"/>
        <v>2003</v>
      </c>
    </row>
    <row r="2475" spans="1:14">
      <c r="A2475" s="2" t="s">
        <v>69</v>
      </c>
      <c r="B2475" s="3">
        <v>10128</v>
      </c>
      <c r="C2475" s="3">
        <v>32</v>
      </c>
      <c r="D2475" s="13">
        <v>97</v>
      </c>
      <c r="E2475" s="5">
        <v>37778</v>
      </c>
      <c r="F2475" s="2" t="s">
        <v>13</v>
      </c>
      <c r="G2475" s="2" t="s">
        <v>214</v>
      </c>
      <c r="H2475" s="3">
        <v>2</v>
      </c>
      <c r="I2475" s="6">
        <v>2003</v>
      </c>
      <c r="J2475" s="2" t="s">
        <v>22</v>
      </c>
      <c r="K2475" s="2" t="s">
        <v>71</v>
      </c>
      <c r="L2475" s="7">
        <f t="shared" si="114"/>
        <v>3104</v>
      </c>
      <c r="M2475" s="2" t="str">
        <f t="shared" si="115"/>
        <v>June</v>
      </c>
      <c r="N2475" s="6">
        <f t="shared" si="116"/>
        <v>2003</v>
      </c>
    </row>
    <row r="2476" spans="1:14">
      <c r="A2476" s="2" t="s">
        <v>103</v>
      </c>
      <c r="B2476" s="3">
        <v>10142</v>
      </c>
      <c r="C2476" s="3">
        <v>43</v>
      </c>
      <c r="D2476" s="13">
        <v>84.01</v>
      </c>
      <c r="E2476" s="5">
        <v>37841</v>
      </c>
      <c r="F2476" s="2" t="s">
        <v>13</v>
      </c>
      <c r="G2476" s="2" t="s">
        <v>214</v>
      </c>
      <c r="H2476" s="3">
        <v>3</v>
      </c>
      <c r="I2476" s="6">
        <v>2003</v>
      </c>
      <c r="J2476" s="2" t="s">
        <v>22</v>
      </c>
      <c r="K2476" s="2" t="s">
        <v>104</v>
      </c>
      <c r="L2476" s="7">
        <f t="shared" si="114"/>
        <v>3612.43</v>
      </c>
      <c r="M2476" s="2" t="str">
        <f t="shared" si="115"/>
        <v>August</v>
      </c>
      <c r="N2476" s="6">
        <f t="shared" si="116"/>
        <v>2003</v>
      </c>
    </row>
    <row r="2477" spans="1:14">
      <c r="A2477" s="2" t="s">
        <v>69</v>
      </c>
      <c r="B2477" s="3">
        <v>10153</v>
      </c>
      <c r="C2477" s="3">
        <v>31</v>
      </c>
      <c r="D2477" s="13">
        <v>87.48</v>
      </c>
      <c r="E2477" s="5">
        <v>37892</v>
      </c>
      <c r="F2477" s="2" t="s">
        <v>13</v>
      </c>
      <c r="G2477" s="2" t="s">
        <v>214</v>
      </c>
      <c r="H2477" s="3">
        <v>3</v>
      </c>
      <c r="I2477" s="6">
        <v>2003</v>
      </c>
      <c r="J2477" s="2" t="s">
        <v>15</v>
      </c>
      <c r="K2477" s="2" t="s">
        <v>71</v>
      </c>
      <c r="L2477" s="7">
        <f t="shared" si="114"/>
        <v>2711.88</v>
      </c>
      <c r="M2477" s="2" t="str">
        <f t="shared" si="115"/>
        <v>September</v>
      </c>
      <c r="N2477" s="6">
        <f t="shared" si="116"/>
        <v>2003</v>
      </c>
    </row>
    <row r="2478" spans="1:14">
      <c r="A2478" s="2" t="s">
        <v>65</v>
      </c>
      <c r="B2478" s="3">
        <v>10166</v>
      </c>
      <c r="C2478" s="3">
        <v>29</v>
      </c>
      <c r="D2478" s="13">
        <v>100</v>
      </c>
      <c r="E2478" s="5">
        <v>37915</v>
      </c>
      <c r="F2478" s="2" t="s">
        <v>13</v>
      </c>
      <c r="G2478" s="2" t="s">
        <v>214</v>
      </c>
      <c r="H2478" s="3">
        <v>4</v>
      </c>
      <c r="I2478" s="6">
        <v>2003</v>
      </c>
      <c r="J2478" s="2" t="s">
        <v>22</v>
      </c>
      <c r="K2478" s="2" t="s">
        <v>66</v>
      </c>
      <c r="L2478" s="7">
        <f t="shared" si="114"/>
        <v>2900</v>
      </c>
      <c r="M2478" s="2" t="str">
        <f t="shared" si="115"/>
        <v>October</v>
      </c>
      <c r="N2478" s="6">
        <f t="shared" si="116"/>
        <v>2003</v>
      </c>
    </row>
    <row r="2479" spans="1:14">
      <c r="A2479" s="2" t="s">
        <v>181</v>
      </c>
      <c r="B2479" s="3">
        <v>10177</v>
      </c>
      <c r="C2479" s="3">
        <v>31</v>
      </c>
      <c r="D2479" s="13">
        <v>88.34</v>
      </c>
      <c r="E2479" s="5">
        <v>37932</v>
      </c>
      <c r="F2479" s="2" t="s">
        <v>13</v>
      </c>
      <c r="G2479" s="2" t="s">
        <v>214</v>
      </c>
      <c r="H2479" s="3">
        <v>4</v>
      </c>
      <c r="I2479" s="6">
        <v>2003</v>
      </c>
      <c r="J2479" s="2" t="s">
        <v>15</v>
      </c>
      <c r="K2479" s="2" t="s">
        <v>182</v>
      </c>
      <c r="L2479" s="7">
        <f t="shared" si="114"/>
        <v>2738.54</v>
      </c>
      <c r="M2479" s="2" t="str">
        <f t="shared" si="115"/>
        <v>November</v>
      </c>
      <c r="N2479" s="6">
        <f t="shared" si="116"/>
        <v>2003</v>
      </c>
    </row>
    <row r="2480" spans="1:14">
      <c r="A2480" s="2" t="s">
        <v>126</v>
      </c>
      <c r="B2480" s="3">
        <v>10185</v>
      </c>
      <c r="C2480" s="3">
        <v>30</v>
      </c>
      <c r="D2480" s="13">
        <v>94.4</v>
      </c>
      <c r="E2480" s="5">
        <v>37939</v>
      </c>
      <c r="F2480" s="2" t="s">
        <v>13</v>
      </c>
      <c r="G2480" s="2" t="s">
        <v>214</v>
      </c>
      <c r="H2480" s="3">
        <v>4</v>
      </c>
      <c r="I2480" s="6">
        <v>2003</v>
      </c>
      <c r="J2480" s="2" t="s">
        <v>15</v>
      </c>
      <c r="K2480" s="2" t="s">
        <v>127</v>
      </c>
      <c r="L2480" s="7">
        <f t="shared" si="114"/>
        <v>2832</v>
      </c>
      <c r="M2480" s="2" t="str">
        <f t="shared" si="115"/>
        <v>November</v>
      </c>
      <c r="N2480" s="6">
        <f t="shared" si="116"/>
        <v>2003</v>
      </c>
    </row>
    <row r="2481" spans="1:14">
      <c r="A2481" s="2" t="s">
        <v>93</v>
      </c>
      <c r="B2481" s="3">
        <v>10196</v>
      </c>
      <c r="C2481" s="3">
        <v>50</v>
      </c>
      <c r="D2481" s="13">
        <v>94.4</v>
      </c>
      <c r="E2481" s="5">
        <v>37951</v>
      </c>
      <c r="F2481" s="2" t="s">
        <v>13</v>
      </c>
      <c r="G2481" s="2" t="s">
        <v>214</v>
      </c>
      <c r="H2481" s="3">
        <v>4</v>
      </c>
      <c r="I2481" s="6">
        <v>2003</v>
      </c>
      <c r="J2481" s="2" t="s">
        <v>22</v>
      </c>
      <c r="K2481" s="2" t="s">
        <v>94</v>
      </c>
      <c r="L2481" s="7">
        <f t="shared" si="114"/>
        <v>4720</v>
      </c>
      <c r="M2481" s="2" t="str">
        <f t="shared" si="115"/>
        <v>November</v>
      </c>
      <c r="N2481" s="6">
        <f t="shared" si="116"/>
        <v>2003</v>
      </c>
    </row>
    <row r="2482" spans="1:14">
      <c r="A2482" s="2" t="s">
        <v>85</v>
      </c>
      <c r="B2482" s="3">
        <v>10208</v>
      </c>
      <c r="C2482" s="3">
        <v>40</v>
      </c>
      <c r="D2482" s="13">
        <v>80.55</v>
      </c>
      <c r="E2482" s="5">
        <v>37988</v>
      </c>
      <c r="F2482" s="2" t="s">
        <v>13</v>
      </c>
      <c r="G2482" s="2" t="s">
        <v>214</v>
      </c>
      <c r="H2482" s="3">
        <v>1</v>
      </c>
      <c r="I2482" s="6">
        <v>2004</v>
      </c>
      <c r="J2482" s="2" t="s">
        <v>22</v>
      </c>
      <c r="K2482" s="2" t="s">
        <v>86</v>
      </c>
      <c r="L2482" s="7">
        <f t="shared" si="114"/>
        <v>3222</v>
      </c>
      <c r="M2482" s="2" t="str">
        <f t="shared" si="115"/>
        <v>January</v>
      </c>
      <c r="N2482" s="6">
        <f t="shared" si="116"/>
        <v>2004</v>
      </c>
    </row>
    <row r="2483" spans="1:14">
      <c r="A2483" s="2" t="s">
        <v>139</v>
      </c>
      <c r="B2483" s="3">
        <v>10221</v>
      </c>
      <c r="C2483" s="3">
        <v>23</v>
      </c>
      <c r="D2483" s="13">
        <v>97</v>
      </c>
      <c r="E2483" s="5">
        <v>38035</v>
      </c>
      <c r="F2483" s="2" t="s">
        <v>13</v>
      </c>
      <c r="G2483" s="2" t="s">
        <v>214</v>
      </c>
      <c r="H2483" s="3">
        <v>1</v>
      </c>
      <c r="I2483" s="6">
        <v>2004</v>
      </c>
      <c r="J2483" s="2" t="s">
        <v>15</v>
      </c>
      <c r="K2483" s="2" t="s">
        <v>140</v>
      </c>
      <c r="L2483" s="7">
        <f t="shared" si="114"/>
        <v>2231</v>
      </c>
      <c r="M2483" s="2" t="str">
        <f t="shared" si="115"/>
        <v>February</v>
      </c>
      <c r="N2483" s="6">
        <f t="shared" si="116"/>
        <v>2004</v>
      </c>
    </row>
    <row r="2484" spans="1:14">
      <c r="A2484" s="2" t="s">
        <v>145</v>
      </c>
      <c r="B2484" s="3">
        <v>10232</v>
      </c>
      <c r="C2484" s="3">
        <v>26</v>
      </c>
      <c r="D2484" s="13">
        <v>88.34</v>
      </c>
      <c r="E2484" s="5">
        <v>38066</v>
      </c>
      <c r="F2484" s="2" t="s">
        <v>13</v>
      </c>
      <c r="G2484" s="2" t="s">
        <v>214</v>
      </c>
      <c r="H2484" s="3">
        <v>1</v>
      </c>
      <c r="I2484" s="6">
        <v>2004</v>
      </c>
      <c r="J2484" s="2" t="s">
        <v>15</v>
      </c>
      <c r="K2484" s="2" t="s">
        <v>146</v>
      </c>
      <c r="L2484" s="7">
        <f t="shared" si="114"/>
        <v>2296.84</v>
      </c>
      <c r="M2484" s="2" t="str">
        <f t="shared" si="115"/>
        <v>March</v>
      </c>
      <c r="N2484" s="6">
        <f t="shared" si="116"/>
        <v>2004</v>
      </c>
    </row>
    <row r="2485" spans="1:14">
      <c r="A2485" s="2" t="s">
        <v>12</v>
      </c>
      <c r="B2485" s="3">
        <v>10248</v>
      </c>
      <c r="C2485" s="3">
        <v>40</v>
      </c>
      <c r="D2485" s="13">
        <v>100</v>
      </c>
      <c r="E2485" s="5">
        <v>38114</v>
      </c>
      <c r="F2485" s="2" t="s">
        <v>128</v>
      </c>
      <c r="G2485" s="2" t="s">
        <v>214</v>
      </c>
      <c r="H2485" s="3">
        <v>2</v>
      </c>
      <c r="I2485" s="6">
        <v>2004</v>
      </c>
      <c r="J2485" s="2" t="s">
        <v>22</v>
      </c>
      <c r="K2485" s="2" t="s">
        <v>16</v>
      </c>
      <c r="L2485" s="7">
        <f t="shared" si="114"/>
        <v>4000</v>
      </c>
      <c r="M2485" s="2" t="str">
        <f t="shared" si="115"/>
        <v>May</v>
      </c>
      <c r="N2485" s="6">
        <f t="shared" si="116"/>
        <v>2004</v>
      </c>
    </row>
    <row r="2486" spans="1:14">
      <c r="A2486" s="2" t="s">
        <v>139</v>
      </c>
      <c r="B2486" s="3">
        <v>10273</v>
      </c>
      <c r="C2486" s="3">
        <v>21</v>
      </c>
      <c r="D2486" s="13">
        <v>100</v>
      </c>
      <c r="E2486" s="5">
        <v>38189</v>
      </c>
      <c r="F2486" s="2" t="s">
        <v>13</v>
      </c>
      <c r="G2486" s="2" t="s">
        <v>214</v>
      </c>
      <c r="H2486" s="3">
        <v>3</v>
      </c>
      <c r="I2486" s="6">
        <v>2004</v>
      </c>
      <c r="J2486" s="2" t="s">
        <v>15</v>
      </c>
      <c r="K2486" s="2" t="s">
        <v>140</v>
      </c>
      <c r="L2486" s="7">
        <f t="shared" si="114"/>
        <v>2100</v>
      </c>
      <c r="M2486" s="2" t="str">
        <f t="shared" si="115"/>
        <v>July</v>
      </c>
      <c r="N2486" s="6">
        <f t="shared" si="116"/>
        <v>2004</v>
      </c>
    </row>
    <row r="2487" spans="1:14">
      <c r="A2487" s="2" t="s">
        <v>103</v>
      </c>
      <c r="B2487" s="3">
        <v>10282</v>
      </c>
      <c r="C2487" s="3">
        <v>43</v>
      </c>
      <c r="D2487" s="13">
        <v>86.61</v>
      </c>
      <c r="E2487" s="5">
        <v>38219</v>
      </c>
      <c r="F2487" s="2" t="s">
        <v>13</v>
      </c>
      <c r="G2487" s="2" t="s">
        <v>214</v>
      </c>
      <c r="H2487" s="3">
        <v>3</v>
      </c>
      <c r="I2487" s="6">
        <v>2004</v>
      </c>
      <c r="J2487" s="2" t="s">
        <v>22</v>
      </c>
      <c r="K2487" s="2" t="s">
        <v>104</v>
      </c>
      <c r="L2487" s="7">
        <f t="shared" si="114"/>
        <v>3724.23</v>
      </c>
      <c r="M2487" s="2" t="str">
        <f t="shared" si="115"/>
        <v>August</v>
      </c>
      <c r="N2487" s="6">
        <f t="shared" si="116"/>
        <v>2004</v>
      </c>
    </row>
    <row r="2488" spans="1:14">
      <c r="A2488" s="2" t="s">
        <v>97</v>
      </c>
      <c r="B2488" s="3">
        <v>10293</v>
      </c>
      <c r="C2488" s="3">
        <v>29</v>
      </c>
      <c r="D2488" s="13">
        <v>71.89</v>
      </c>
      <c r="E2488" s="5">
        <v>38239</v>
      </c>
      <c r="F2488" s="2" t="s">
        <v>13</v>
      </c>
      <c r="G2488" s="2" t="s">
        <v>214</v>
      </c>
      <c r="H2488" s="3">
        <v>3</v>
      </c>
      <c r="I2488" s="6">
        <v>2004</v>
      </c>
      <c r="J2488" s="2" t="s">
        <v>15</v>
      </c>
      <c r="K2488" s="2" t="s">
        <v>98</v>
      </c>
      <c r="L2488" s="7">
        <f t="shared" si="114"/>
        <v>2084.81</v>
      </c>
      <c r="M2488" s="2" t="str">
        <f t="shared" si="115"/>
        <v>September</v>
      </c>
      <c r="N2488" s="6">
        <f t="shared" si="116"/>
        <v>2004</v>
      </c>
    </row>
    <row r="2489" spans="1:14">
      <c r="A2489" s="2" t="s">
        <v>183</v>
      </c>
      <c r="B2489" s="3">
        <v>10306</v>
      </c>
      <c r="C2489" s="3">
        <v>38</v>
      </c>
      <c r="D2489" s="13">
        <v>91.81</v>
      </c>
      <c r="E2489" s="5">
        <v>38274</v>
      </c>
      <c r="F2489" s="2" t="s">
        <v>13</v>
      </c>
      <c r="G2489" s="2" t="s">
        <v>214</v>
      </c>
      <c r="H2489" s="3">
        <v>4</v>
      </c>
      <c r="I2489" s="6">
        <v>2004</v>
      </c>
      <c r="J2489" s="2" t="s">
        <v>22</v>
      </c>
      <c r="K2489" s="2" t="s">
        <v>184</v>
      </c>
      <c r="L2489" s="7">
        <f t="shared" si="114"/>
        <v>3488.78</v>
      </c>
      <c r="M2489" s="2" t="str">
        <f t="shared" si="115"/>
        <v>October</v>
      </c>
      <c r="N2489" s="6">
        <f t="shared" si="116"/>
        <v>2004</v>
      </c>
    </row>
    <row r="2490" spans="1:14">
      <c r="A2490" s="2" t="s">
        <v>185</v>
      </c>
      <c r="B2490" s="3">
        <v>10314</v>
      </c>
      <c r="C2490" s="3">
        <v>23</v>
      </c>
      <c r="D2490" s="13">
        <v>76.22</v>
      </c>
      <c r="E2490" s="5">
        <v>38282</v>
      </c>
      <c r="F2490" s="2" t="s">
        <v>13</v>
      </c>
      <c r="G2490" s="2" t="s">
        <v>214</v>
      </c>
      <c r="H2490" s="3">
        <v>4</v>
      </c>
      <c r="I2490" s="6">
        <v>2004</v>
      </c>
      <c r="J2490" s="2" t="s">
        <v>15</v>
      </c>
      <c r="K2490" s="2" t="s">
        <v>186</v>
      </c>
      <c r="L2490" s="7">
        <f t="shared" si="114"/>
        <v>1753.06</v>
      </c>
      <c r="M2490" s="2" t="str">
        <f t="shared" si="115"/>
        <v>October</v>
      </c>
      <c r="N2490" s="6">
        <f t="shared" si="116"/>
        <v>2004</v>
      </c>
    </row>
    <row r="2491" spans="1:14">
      <c r="A2491" s="2" t="s">
        <v>122</v>
      </c>
      <c r="B2491" s="3">
        <v>10327</v>
      </c>
      <c r="C2491" s="3">
        <v>20</v>
      </c>
      <c r="D2491" s="13">
        <v>100</v>
      </c>
      <c r="E2491" s="5">
        <v>38301</v>
      </c>
      <c r="F2491" s="2" t="s">
        <v>155</v>
      </c>
      <c r="G2491" s="2" t="s">
        <v>214</v>
      </c>
      <c r="H2491" s="3">
        <v>4</v>
      </c>
      <c r="I2491" s="6">
        <v>2004</v>
      </c>
      <c r="J2491" s="2" t="s">
        <v>22</v>
      </c>
      <c r="K2491" s="2" t="s">
        <v>123</v>
      </c>
      <c r="L2491" s="7">
        <f t="shared" si="114"/>
        <v>2000</v>
      </c>
      <c r="M2491" s="2" t="str">
        <f t="shared" si="115"/>
        <v>November</v>
      </c>
      <c r="N2491" s="6">
        <f t="shared" si="116"/>
        <v>2004</v>
      </c>
    </row>
    <row r="2492" spans="1:14">
      <c r="A2492" s="2" t="s">
        <v>79</v>
      </c>
      <c r="B2492" s="3">
        <v>10337</v>
      </c>
      <c r="C2492" s="3">
        <v>36</v>
      </c>
      <c r="D2492" s="13">
        <v>70.3</v>
      </c>
      <c r="E2492" s="5">
        <v>38312</v>
      </c>
      <c r="F2492" s="2" t="s">
        <v>13</v>
      </c>
      <c r="G2492" s="2" t="s">
        <v>214</v>
      </c>
      <c r="H2492" s="3">
        <v>4</v>
      </c>
      <c r="I2492" s="6">
        <v>2004</v>
      </c>
      <c r="J2492" s="2" t="s">
        <v>15</v>
      </c>
      <c r="K2492" s="2" t="s">
        <v>80</v>
      </c>
      <c r="L2492" s="7">
        <f t="shared" si="114"/>
        <v>2530.8</v>
      </c>
      <c r="M2492" s="2" t="str">
        <f t="shared" si="115"/>
        <v>November</v>
      </c>
      <c r="N2492" s="6">
        <f t="shared" si="116"/>
        <v>2004</v>
      </c>
    </row>
    <row r="2493" spans="1:14">
      <c r="A2493" s="2" t="s">
        <v>69</v>
      </c>
      <c r="B2493" s="3">
        <v>10350</v>
      </c>
      <c r="C2493" s="3">
        <v>28</v>
      </c>
      <c r="D2493" s="13">
        <v>100</v>
      </c>
      <c r="E2493" s="5">
        <v>38323</v>
      </c>
      <c r="F2493" s="2" t="s">
        <v>13</v>
      </c>
      <c r="G2493" s="2" t="s">
        <v>214</v>
      </c>
      <c r="H2493" s="3">
        <v>4</v>
      </c>
      <c r="I2493" s="6">
        <v>2004</v>
      </c>
      <c r="J2493" s="2" t="s">
        <v>15</v>
      </c>
      <c r="K2493" s="2" t="s">
        <v>71</v>
      </c>
      <c r="L2493" s="7">
        <f t="shared" si="114"/>
        <v>2800</v>
      </c>
      <c r="M2493" s="2" t="str">
        <f t="shared" si="115"/>
        <v>December</v>
      </c>
      <c r="N2493" s="6">
        <f t="shared" si="116"/>
        <v>2004</v>
      </c>
    </row>
    <row r="2494" spans="1:14">
      <c r="A2494" s="2" t="s">
        <v>95</v>
      </c>
      <c r="B2494" s="3">
        <v>10372</v>
      </c>
      <c r="C2494" s="3">
        <v>44</v>
      </c>
      <c r="D2494" s="13">
        <v>100</v>
      </c>
      <c r="E2494" s="5">
        <v>38378</v>
      </c>
      <c r="F2494" s="2" t="s">
        <v>13</v>
      </c>
      <c r="G2494" s="2" t="s">
        <v>214</v>
      </c>
      <c r="H2494" s="3">
        <v>1</v>
      </c>
      <c r="I2494" s="6">
        <v>2005</v>
      </c>
      <c r="J2494" s="2" t="s">
        <v>22</v>
      </c>
      <c r="K2494" s="2" t="s">
        <v>96</v>
      </c>
      <c r="L2494" s="7">
        <f t="shared" si="114"/>
        <v>4400</v>
      </c>
      <c r="M2494" s="2" t="str">
        <f t="shared" si="115"/>
        <v>January</v>
      </c>
      <c r="N2494" s="6">
        <f t="shared" si="116"/>
        <v>2005</v>
      </c>
    </row>
    <row r="2495" spans="1:14">
      <c r="A2495" s="2" t="s">
        <v>28</v>
      </c>
      <c r="B2495" s="3">
        <v>10384</v>
      </c>
      <c r="C2495" s="3">
        <v>49</v>
      </c>
      <c r="D2495" s="13">
        <v>100</v>
      </c>
      <c r="E2495" s="5">
        <v>38406</v>
      </c>
      <c r="F2495" s="2" t="s">
        <v>13</v>
      </c>
      <c r="G2495" s="2" t="s">
        <v>214</v>
      </c>
      <c r="H2495" s="3">
        <v>1</v>
      </c>
      <c r="I2495" s="6">
        <v>2005</v>
      </c>
      <c r="J2495" s="2" t="s">
        <v>22</v>
      </c>
      <c r="K2495" s="2" t="s">
        <v>29</v>
      </c>
      <c r="L2495" s="7">
        <f t="shared" si="114"/>
        <v>4900</v>
      </c>
      <c r="M2495" s="2" t="str">
        <f t="shared" si="115"/>
        <v>February</v>
      </c>
      <c r="N2495" s="6">
        <f t="shared" si="116"/>
        <v>2005</v>
      </c>
    </row>
    <row r="2496" spans="1:14">
      <c r="A2496" s="2" t="s">
        <v>129</v>
      </c>
      <c r="B2496" s="3">
        <v>10397</v>
      </c>
      <c r="C2496" s="3">
        <v>32</v>
      </c>
      <c r="D2496" s="13">
        <v>80.55</v>
      </c>
      <c r="E2496" s="5">
        <v>38439</v>
      </c>
      <c r="F2496" s="2" t="s">
        <v>13</v>
      </c>
      <c r="G2496" s="2" t="s">
        <v>214</v>
      </c>
      <c r="H2496" s="3">
        <v>1</v>
      </c>
      <c r="I2496" s="6">
        <v>2005</v>
      </c>
      <c r="J2496" s="2" t="s">
        <v>15</v>
      </c>
      <c r="K2496" s="2" t="s">
        <v>130</v>
      </c>
      <c r="L2496" s="7">
        <f t="shared" si="114"/>
        <v>2577.6</v>
      </c>
      <c r="M2496" s="2" t="str">
        <f t="shared" si="115"/>
        <v>March</v>
      </c>
      <c r="N2496" s="6">
        <f t="shared" si="116"/>
        <v>2005</v>
      </c>
    </row>
    <row r="2497" spans="1:14">
      <c r="A2497" s="2" t="s">
        <v>143</v>
      </c>
      <c r="B2497" s="3">
        <v>10414</v>
      </c>
      <c r="C2497" s="3">
        <v>34</v>
      </c>
      <c r="D2497" s="13">
        <v>100</v>
      </c>
      <c r="E2497" s="5">
        <v>38478</v>
      </c>
      <c r="F2497" s="2" t="s">
        <v>151</v>
      </c>
      <c r="G2497" s="2" t="s">
        <v>214</v>
      </c>
      <c r="H2497" s="3">
        <v>2</v>
      </c>
      <c r="I2497" s="6">
        <v>2005</v>
      </c>
      <c r="J2497" s="2" t="s">
        <v>22</v>
      </c>
      <c r="K2497" s="2" t="s">
        <v>144</v>
      </c>
      <c r="L2497" s="7">
        <f t="shared" si="114"/>
        <v>3400</v>
      </c>
      <c r="M2497" s="2" t="str">
        <f t="shared" si="115"/>
        <v>May</v>
      </c>
      <c r="N2497" s="6">
        <f t="shared" si="116"/>
        <v>2005</v>
      </c>
    </row>
    <row r="2498" spans="1:14">
      <c r="A2498" s="2" t="s">
        <v>203</v>
      </c>
      <c r="B2498" s="3">
        <v>10106</v>
      </c>
      <c r="C2498" s="3">
        <v>30</v>
      </c>
      <c r="D2498" s="13">
        <v>100</v>
      </c>
      <c r="E2498" s="5">
        <v>37669</v>
      </c>
      <c r="F2498" s="2" t="s">
        <v>13</v>
      </c>
      <c r="G2498" s="2" t="s">
        <v>214</v>
      </c>
      <c r="H2498" s="3">
        <v>1</v>
      </c>
      <c r="I2498" s="6">
        <v>2003</v>
      </c>
      <c r="J2498" s="2" t="s">
        <v>22</v>
      </c>
      <c r="K2498" s="2" t="s">
        <v>204</v>
      </c>
      <c r="L2498" s="7">
        <f t="shared" ref="L2498:L2561" si="117">PRODUCT(C2498,D2498)</f>
        <v>3000</v>
      </c>
      <c r="M2498" s="2" t="str">
        <f t="shared" ref="M2498:M2561" si="118">TEXT(E2498,"MMMM")</f>
        <v>February</v>
      </c>
      <c r="N2498" s="6">
        <f t="shared" ref="N2498:N2561" si="119">YEAR(E2498)</f>
        <v>2003</v>
      </c>
    </row>
    <row r="2499" spans="1:14">
      <c r="A2499" s="2" t="s">
        <v>60</v>
      </c>
      <c r="B2499" s="3">
        <v>10119</v>
      </c>
      <c r="C2499" s="3">
        <v>29</v>
      </c>
      <c r="D2499" s="13">
        <v>94.14</v>
      </c>
      <c r="E2499" s="5">
        <v>37739</v>
      </c>
      <c r="F2499" s="2" t="s">
        <v>13</v>
      </c>
      <c r="G2499" s="2" t="s">
        <v>214</v>
      </c>
      <c r="H2499" s="3">
        <v>2</v>
      </c>
      <c r="I2499" s="6">
        <v>2003</v>
      </c>
      <c r="J2499" s="2" t="s">
        <v>15</v>
      </c>
      <c r="K2499" s="2" t="s">
        <v>62</v>
      </c>
      <c r="L2499" s="7">
        <f t="shared" si="117"/>
        <v>2730.06</v>
      </c>
      <c r="M2499" s="2" t="str">
        <f t="shared" si="118"/>
        <v>April</v>
      </c>
      <c r="N2499" s="6">
        <f t="shared" si="119"/>
        <v>2003</v>
      </c>
    </row>
    <row r="2500" spans="1:14">
      <c r="A2500" s="2" t="s">
        <v>208</v>
      </c>
      <c r="B2500" s="3">
        <v>10131</v>
      </c>
      <c r="C2500" s="3">
        <v>22</v>
      </c>
      <c r="D2500" s="13">
        <v>85.99</v>
      </c>
      <c r="E2500" s="5">
        <v>37788</v>
      </c>
      <c r="F2500" s="2" t="s">
        <v>13</v>
      </c>
      <c r="G2500" s="2" t="s">
        <v>214</v>
      </c>
      <c r="H2500" s="3">
        <v>2</v>
      </c>
      <c r="I2500" s="6">
        <v>2003</v>
      </c>
      <c r="J2500" s="2" t="s">
        <v>15</v>
      </c>
      <c r="K2500" s="2" t="s">
        <v>209</v>
      </c>
      <c r="L2500" s="7">
        <f t="shared" si="117"/>
        <v>1891.78</v>
      </c>
      <c r="M2500" s="2" t="str">
        <f t="shared" si="118"/>
        <v>June</v>
      </c>
      <c r="N2500" s="6">
        <f t="shared" si="119"/>
        <v>2003</v>
      </c>
    </row>
    <row r="2501" spans="1:14">
      <c r="A2501" s="2" t="s">
        <v>126</v>
      </c>
      <c r="B2501" s="3">
        <v>10143</v>
      </c>
      <c r="C2501" s="3">
        <v>26</v>
      </c>
      <c r="D2501" s="13">
        <v>100</v>
      </c>
      <c r="E2501" s="5">
        <v>37843</v>
      </c>
      <c r="F2501" s="2" t="s">
        <v>13</v>
      </c>
      <c r="G2501" s="2" t="s">
        <v>214</v>
      </c>
      <c r="H2501" s="3">
        <v>3</v>
      </c>
      <c r="I2501" s="6">
        <v>2003</v>
      </c>
      <c r="J2501" s="2" t="s">
        <v>15</v>
      </c>
      <c r="K2501" s="2" t="s">
        <v>127</v>
      </c>
      <c r="L2501" s="7">
        <f t="shared" si="117"/>
        <v>2600</v>
      </c>
      <c r="M2501" s="2" t="str">
        <f t="shared" si="118"/>
        <v>August</v>
      </c>
      <c r="N2501" s="6">
        <f t="shared" si="119"/>
        <v>2003</v>
      </c>
    </row>
    <row r="2502" spans="1:14">
      <c r="A2502" s="2" t="s">
        <v>54</v>
      </c>
      <c r="B2502" s="3">
        <v>10155</v>
      </c>
      <c r="C2502" s="3">
        <v>32</v>
      </c>
      <c r="D2502" s="13">
        <v>91.43</v>
      </c>
      <c r="E2502" s="5">
        <v>37900</v>
      </c>
      <c r="F2502" s="2" t="s">
        <v>13</v>
      </c>
      <c r="G2502" s="2" t="s">
        <v>214</v>
      </c>
      <c r="H2502" s="3">
        <v>4</v>
      </c>
      <c r="I2502" s="6">
        <v>2003</v>
      </c>
      <c r="J2502" s="2" t="s">
        <v>15</v>
      </c>
      <c r="K2502" s="2" t="s">
        <v>55</v>
      </c>
      <c r="L2502" s="7">
        <f t="shared" si="117"/>
        <v>2925.76</v>
      </c>
      <c r="M2502" s="2" t="str">
        <f t="shared" si="118"/>
        <v>October</v>
      </c>
      <c r="N2502" s="6">
        <f t="shared" si="119"/>
        <v>2003</v>
      </c>
    </row>
    <row r="2503" spans="1:14">
      <c r="A2503" s="2" t="s">
        <v>99</v>
      </c>
      <c r="B2503" s="3">
        <v>10167</v>
      </c>
      <c r="C2503" s="3">
        <v>29</v>
      </c>
      <c r="D2503" s="13">
        <v>100</v>
      </c>
      <c r="E2503" s="5">
        <v>37917</v>
      </c>
      <c r="F2503" s="2" t="s">
        <v>128</v>
      </c>
      <c r="G2503" s="2" t="s">
        <v>214</v>
      </c>
      <c r="H2503" s="3">
        <v>4</v>
      </c>
      <c r="I2503" s="6">
        <v>2003</v>
      </c>
      <c r="J2503" s="2" t="s">
        <v>15</v>
      </c>
      <c r="K2503" s="2" t="s">
        <v>100</v>
      </c>
      <c r="L2503" s="7">
        <f t="shared" si="117"/>
        <v>2900</v>
      </c>
      <c r="M2503" s="2" t="str">
        <f t="shared" si="118"/>
        <v>October</v>
      </c>
      <c r="N2503" s="6">
        <f t="shared" si="119"/>
        <v>2003</v>
      </c>
    </row>
    <row r="2504" spans="1:14">
      <c r="A2504" s="2" t="s">
        <v>129</v>
      </c>
      <c r="B2504" s="3">
        <v>10178</v>
      </c>
      <c r="C2504" s="3">
        <v>34</v>
      </c>
      <c r="D2504" s="13">
        <v>96.86</v>
      </c>
      <c r="E2504" s="5">
        <v>37933</v>
      </c>
      <c r="F2504" s="2" t="s">
        <v>13</v>
      </c>
      <c r="G2504" s="2" t="s">
        <v>214</v>
      </c>
      <c r="H2504" s="3">
        <v>4</v>
      </c>
      <c r="I2504" s="6">
        <v>2003</v>
      </c>
      <c r="J2504" s="2" t="s">
        <v>22</v>
      </c>
      <c r="K2504" s="2" t="s">
        <v>130</v>
      </c>
      <c r="L2504" s="7">
        <f t="shared" si="117"/>
        <v>3293.24</v>
      </c>
      <c r="M2504" s="2" t="str">
        <f t="shared" si="118"/>
        <v>November</v>
      </c>
      <c r="N2504" s="6">
        <f t="shared" si="119"/>
        <v>2003</v>
      </c>
    </row>
    <row r="2505" spans="1:14">
      <c r="A2505" s="2" t="s">
        <v>131</v>
      </c>
      <c r="B2505" s="3">
        <v>10186</v>
      </c>
      <c r="C2505" s="3">
        <v>24</v>
      </c>
      <c r="D2505" s="13">
        <v>99.57</v>
      </c>
      <c r="E2505" s="5">
        <v>37939</v>
      </c>
      <c r="F2505" s="2" t="s">
        <v>13</v>
      </c>
      <c r="G2505" s="2" t="s">
        <v>214</v>
      </c>
      <c r="H2505" s="3">
        <v>4</v>
      </c>
      <c r="I2505" s="6">
        <v>2003</v>
      </c>
      <c r="J2505" s="2" t="s">
        <v>15</v>
      </c>
      <c r="K2505" s="2" t="s">
        <v>132</v>
      </c>
      <c r="L2505" s="7">
        <f t="shared" si="117"/>
        <v>2389.68</v>
      </c>
      <c r="M2505" s="2" t="str">
        <f t="shared" si="118"/>
        <v>November</v>
      </c>
      <c r="N2505" s="6">
        <f t="shared" si="119"/>
        <v>2003</v>
      </c>
    </row>
    <row r="2506" spans="1:14">
      <c r="A2506" s="2" t="s">
        <v>133</v>
      </c>
      <c r="B2506" s="3">
        <v>10197</v>
      </c>
      <c r="C2506" s="3">
        <v>24</v>
      </c>
      <c r="D2506" s="13">
        <v>90.52</v>
      </c>
      <c r="E2506" s="5">
        <v>37951</v>
      </c>
      <c r="F2506" s="2" t="s">
        <v>13</v>
      </c>
      <c r="G2506" s="2" t="s">
        <v>214</v>
      </c>
      <c r="H2506" s="3">
        <v>4</v>
      </c>
      <c r="I2506" s="6">
        <v>2003</v>
      </c>
      <c r="J2506" s="2" t="s">
        <v>15</v>
      </c>
      <c r="K2506" s="2" t="s">
        <v>134</v>
      </c>
      <c r="L2506" s="7">
        <f t="shared" si="117"/>
        <v>2172.48</v>
      </c>
      <c r="M2506" s="2" t="str">
        <f t="shared" si="118"/>
        <v>November</v>
      </c>
      <c r="N2506" s="6">
        <f t="shared" si="119"/>
        <v>2003</v>
      </c>
    </row>
    <row r="2507" spans="1:14">
      <c r="A2507" s="2" t="s">
        <v>135</v>
      </c>
      <c r="B2507" s="3">
        <v>10209</v>
      </c>
      <c r="C2507" s="3">
        <v>33</v>
      </c>
      <c r="D2507" s="13">
        <v>88.71</v>
      </c>
      <c r="E2507" s="5">
        <v>37995</v>
      </c>
      <c r="F2507" s="2" t="s">
        <v>13</v>
      </c>
      <c r="G2507" s="2" t="s">
        <v>214</v>
      </c>
      <c r="H2507" s="3">
        <v>1</v>
      </c>
      <c r="I2507" s="6">
        <v>2004</v>
      </c>
      <c r="J2507" s="2" t="s">
        <v>15</v>
      </c>
      <c r="K2507" s="2" t="s">
        <v>136</v>
      </c>
      <c r="L2507" s="7">
        <f t="shared" si="117"/>
        <v>2927.43</v>
      </c>
      <c r="M2507" s="2" t="str">
        <f t="shared" si="118"/>
        <v>January</v>
      </c>
      <c r="N2507" s="6">
        <f t="shared" si="119"/>
        <v>2004</v>
      </c>
    </row>
    <row r="2508" spans="1:14">
      <c r="A2508" s="2" t="s">
        <v>137</v>
      </c>
      <c r="B2508" s="3">
        <v>10222</v>
      </c>
      <c r="C2508" s="3">
        <v>26</v>
      </c>
      <c r="D2508" s="13">
        <v>100</v>
      </c>
      <c r="E2508" s="5">
        <v>38036</v>
      </c>
      <c r="F2508" s="2" t="s">
        <v>13</v>
      </c>
      <c r="G2508" s="2" t="s">
        <v>214</v>
      </c>
      <c r="H2508" s="3">
        <v>1</v>
      </c>
      <c r="I2508" s="6">
        <v>2004</v>
      </c>
      <c r="J2508" s="2" t="s">
        <v>15</v>
      </c>
      <c r="K2508" s="2" t="s">
        <v>138</v>
      </c>
      <c r="L2508" s="7">
        <f t="shared" si="117"/>
        <v>2600</v>
      </c>
      <c r="M2508" s="2" t="str">
        <f t="shared" si="118"/>
        <v>February</v>
      </c>
      <c r="N2508" s="6">
        <f t="shared" si="119"/>
        <v>2004</v>
      </c>
    </row>
    <row r="2509" spans="1:14">
      <c r="A2509" s="2" t="s">
        <v>91</v>
      </c>
      <c r="B2509" s="3">
        <v>10249</v>
      </c>
      <c r="C2509" s="3">
        <v>40</v>
      </c>
      <c r="D2509" s="13">
        <v>95.95</v>
      </c>
      <c r="E2509" s="5">
        <v>38115</v>
      </c>
      <c r="F2509" s="2" t="s">
        <v>13</v>
      </c>
      <c r="G2509" s="2" t="s">
        <v>214</v>
      </c>
      <c r="H2509" s="3">
        <v>2</v>
      </c>
      <c r="I2509" s="6">
        <v>2004</v>
      </c>
      <c r="J2509" s="2" t="s">
        <v>22</v>
      </c>
      <c r="K2509" s="2" t="s">
        <v>92</v>
      </c>
      <c r="L2509" s="7">
        <f t="shared" si="117"/>
        <v>3838</v>
      </c>
      <c r="M2509" s="2" t="str">
        <f t="shared" si="118"/>
        <v>May</v>
      </c>
      <c r="N2509" s="6">
        <f t="shared" si="119"/>
        <v>2004</v>
      </c>
    </row>
    <row r="2510" spans="1:14">
      <c r="A2510" s="2" t="s">
        <v>69</v>
      </c>
      <c r="B2510" s="3">
        <v>10262</v>
      </c>
      <c r="C2510" s="3">
        <v>44</v>
      </c>
      <c r="D2510" s="13">
        <v>94.14</v>
      </c>
      <c r="E2510" s="5">
        <v>38162</v>
      </c>
      <c r="F2510" s="2" t="s">
        <v>128</v>
      </c>
      <c r="G2510" s="2" t="s">
        <v>214</v>
      </c>
      <c r="H2510" s="3">
        <v>2</v>
      </c>
      <c r="I2510" s="6">
        <v>2004</v>
      </c>
      <c r="J2510" s="2" t="s">
        <v>22</v>
      </c>
      <c r="K2510" s="2" t="s">
        <v>71</v>
      </c>
      <c r="L2510" s="7">
        <f t="shared" si="117"/>
        <v>4142.16</v>
      </c>
      <c r="M2510" s="2" t="str">
        <f t="shared" si="118"/>
        <v>June</v>
      </c>
      <c r="N2510" s="6">
        <f t="shared" si="119"/>
        <v>2004</v>
      </c>
    </row>
    <row r="2511" spans="1:14">
      <c r="A2511" s="2" t="s">
        <v>107</v>
      </c>
      <c r="B2511" s="3">
        <v>10274</v>
      </c>
      <c r="C2511" s="3">
        <v>24</v>
      </c>
      <c r="D2511" s="13">
        <v>90.52</v>
      </c>
      <c r="E2511" s="5">
        <v>38189</v>
      </c>
      <c r="F2511" s="2" t="s">
        <v>13</v>
      </c>
      <c r="G2511" s="2" t="s">
        <v>214</v>
      </c>
      <c r="H2511" s="3">
        <v>3</v>
      </c>
      <c r="I2511" s="6">
        <v>2004</v>
      </c>
      <c r="J2511" s="2" t="s">
        <v>15</v>
      </c>
      <c r="K2511" s="2" t="s">
        <v>108</v>
      </c>
      <c r="L2511" s="7">
        <f t="shared" si="117"/>
        <v>2172.48</v>
      </c>
      <c r="M2511" s="2" t="str">
        <f t="shared" si="118"/>
        <v>July</v>
      </c>
      <c r="N2511" s="6">
        <f t="shared" si="119"/>
        <v>2004</v>
      </c>
    </row>
    <row r="2512" spans="1:14">
      <c r="A2512" s="2" t="s">
        <v>141</v>
      </c>
      <c r="B2512" s="3">
        <v>10283</v>
      </c>
      <c r="C2512" s="3">
        <v>20</v>
      </c>
      <c r="D2512" s="13">
        <v>94.14</v>
      </c>
      <c r="E2512" s="5">
        <v>38219</v>
      </c>
      <c r="F2512" s="2" t="s">
        <v>13</v>
      </c>
      <c r="G2512" s="2" t="s">
        <v>214</v>
      </c>
      <c r="H2512" s="3">
        <v>3</v>
      </c>
      <c r="I2512" s="6">
        <v>2004</v>
      </c>
      <c r="J2512" s="2" t="s">
        <v>15</v>
      </c>
      <c r="K2512" s="2" t="s">
        <v>142</v>
      </c>
      <c r="L2512" s="7">
        <f t="shared" si="117"/>
        <v>1882.8</v>
      </c>
      <c r="M2512" s="2" t="str">
        <f t="shared" si="118"/>
        <v>August</v>
      </c>
      <c r="N2512" s="6">
        <f t="shared" si="119"/>
        <v>2004</v>
      </c>
    </row>
    <row r="2513" spans="1:14">
      <c r="A2513" s="2" t="s">
        <v>210</v>
      </c>
      <c r="B2513" s="3">
        <v>10296</v>
      </c>
      <c r="C2513" s="3">
        <v>34</v>
      </c>
      <c r="D2513" s="13">
        <v>100</v>
      </c>
      <c r="E2513" s="5">
        <v>38245</v>
      </c>
      <c r="F2513" s="2" t="s">
        <v>13</v>
      </c>
      <c r="G2513" s="2" t="s">
        <v>214</v>
      </c>
      <c r="H2513" s="3">
        <v>3</v>
      </c>
      <c r="I2513" s="6">
        <v>2004</v>
      </c>
      <c r="J2513" s="2" t="s">
        <v>22</v>
      </c>
      <c r="K2513" s="2" t="s">
        <v>211</v>
      </c>
      <c r="L2513" s="7">
        <f t="shared" si="117"/>
        <v>3400</v>
      </c>
      <c r="M2513" s="2" t="str">
        <f t="shared" si="118"/>
        <v>September</v>
      </c>
      <c r="N2513" s="6">
        <f t="shared" si="119"/>
        <v>2004</v>
      </c>
    </row>
    <row r="2514" spans="1:14">
      <c r="A2514" s="2" t="s">
        <v>83</v>
      </c>
      <c r="B2514" s="3">
        <v>10307</v>
      </c>
      <c r="C2514" s="3">
        <v>34</v>
      </c>
      <c r="D2514" s="13">
        <v>97.76</v>
      </c>
      <c r="E2514" s="5">
        <v>38274</v>
      </c>
      <c r="F2514" s="2" t="s">
        <v>13</v>
      </c>
      <c r="G2514" s="2" t="s">
        <v>214</v>
      </c>
      <c r="H2514" s="3">
        <v>4</v>
      </c>
      <c r="I2514" s="6">
        <v>2004</v>
      </c>
      <c r="J2514" s="2" t="s">
        <v>22</v>
      </c>
      <c r="K2514" s="2" t="s">
        <v>84</v>
      </c>
      <c r="L2514" s="7">
        <f t="shared" si="117"/>
        <v>3323.84</v>
      </c>
      <c r="M2514" s="2" t="str">
        <f t="shared" si="118"/>
        <v>October</v>
      </c>
      <c r="N2514" s="6">
        <f t="shared" si="119"/>
        <v>2004</v>
      </c>
    </row>
    <row r="2515" spans="1:14">
      <c r="A2515" s="2" t="s">
        <v>145</v>
      </c>
      <c r="B2515" s="3">
        <v>10316</v>
      </c>
      <c r="C2515" s="3">
        <v>45</v>
      </c>
      <c r="D2515" s="13">
        <v>93.24</v>
      </c>
      <c r="E2515" s="5">
        <v>38292</v>
      </c>
      <c r="F2515" s="2" t="s">
        <v>13</v>
      </c>
      <c r="G2515" s="2" t="s">
        <v>214</v>
      </c>
      <c r="H2515" s="3">
        <v>4</v>
      </c>
      <c r="I2515" s="6">
        <v>2004</v>
      </c>
      <c r="J2515" s="2" t="s">
        <v>22</v>
      </c>
      <c r="K2515" s="2" t="s">
        <v>146</v>
      </c>
      <c r="L2515" s="7">
        <f t="shared" si="117"/>
        <v>4195.8</v>
      </c>
      <c r="M2515" s="2" t="str">
        <f t="shared" si="118"/>
        <v>November</v>
      </c>
      <c r="N2515" s="6">
        <f t="shared" si="119"/>
        <v>2004</v>
      </c>
    </row>
    <row r="2516" spans="1:14">
      <c r="A2516" s="2" t="s">
        <v>203</v>
      </c>
      <c r="B2516" s="3">
        <v>10328</v>
      </c>
      <c r="C2516" s="3">
        <v>41</v>
      </c>
      <c r="D2516" s="13">
        <v>100</v>
      </c>
      <c r="E2516" s="5">
        <v>38303</v>
      </c>
      <c r="F2516" s="2" t="s">
        <v>13</v>
      </c>
      <c r="G2516" s="2" t="s">
        <v>214</v>
      </c>
      <c r="H2516" s="3">
        <v>4</v>
      </c>
      <c r="I2516" s="6">
        <v>2004</v>
      </c>
      <c r="J2516" s="2" t="s">
        <v>22</v>
      </c>
      <c r="K2516" s="2" t="s">
        <v>204</v>
      </c>
      <c r="L2516" s="7">
        <f t="shared" si="117"/>
        <v>4100</v>
      </c>
      <c r="M2516" s="2" t="str">
        <f t="shared" si="118"/>
        <v>November</v>
      </c>
      <c r="N2516" s="6">
        <f t="shared" si="119"/>
        <v>2004</v>
      </c>
    </row>
    <row r="2517" spans="1:14">
      <c r="A2517" s="2" t="s">
        <v>95</v>
      </c>
      <c r="B2517" s="3">
        <v>10339</v>
      </c>
      <c r="C2517" s="3">
        <v>55</v>
      </c>
      <c r="D2517" s="13">
        <v>71.25</v>
      </c>
      <c r="E2517" s="5">
        <v>38314</v>
      </c>
      <c r="F2517" s="2" t="s">
        <v>13</v>
      </c>
      <c r="G2517" s="2" t="s">
        <v>214</v>
      </c>
      <c r="H2517" s="3">
        <v>4</v>
      </c>
      <c r="I2517" s="6">
        <v>2004</v>
      </c>
      <c r="J2517" s="2" t="s">
        <v>22</v>
      </c>
      <c r="K2517" s="2" t="s">
        <v>96</v>
      </c>
      <c r="L2517" s="7">
        <f t="shared" si="117"/>
        <v>3918.75</v>
      </c>
      <c r="M2517" s="2" t="str">
        <f t="shared" si="118"/>
        <v>November</v>
      </c>
      <c r="N2517" s="6">
        <f t="shared" si="119"/>
        <v>2004</v>
      </c>
    </row>
    <row r="2518" spans="1:14">
      <c r="A2518" s="2" t="s">
        <v>215</v>
      </c>
      <c r="B2518" s="3">
        <v>10352</v>
      </c>
      <c r="C2518" s="3">
        <v>23</v>
      </c>
      <c r="D2518" s="13">
        <v>100</v>
      </c>
      <c r="E2518" s="5">
        <v>38324</v>
      </c>
      <c r="F2518" s="2" t="s">
        <v>13</v>
      </c>
      <c r="G2518" s="2" t="s">
        <v>214</v>
      </c>
      <c r="H2518" s="3">
        <v>4</v>
      </c>
      <c r="I2518" s="6">
        <v>2004</v>
      </c>
      <c r="J2518" s="2" t="s">
        <v>15</v>
      </c>
      <c r="K2518" s="2" t="s">
        <v>216</v>
      </c>
      <c r="L2518" s="7">
        <f t="shared" si="117"/>
        <v>2300</v>
      </c>
      <c r="M2518" s="2" t="str">
        <f t="shared" si="118"/>
        <v>December</v>
      </c>
      <c r="N2518" s="6">
        <f t="shared" si="119"/>
        <v>2004</v>
      </c>
    </row>
    <row r="2519" spans="1:14">
      <c r="A2519" s="2" t="s">
        <v>63</v>
      </c>
      <c r="B2519" s="3">
        <v>10361</v>
      </c>
      <c r="C2519" s="3">
        <v>24</v>
      </c>
      <c r="D2519" s="13">
        <v>45.39</v>
      </c>
      <c r="E2519" s="5">
        <v>38338</v>
      </c>
      <c r="F2519" s="2" t="s">
        <v>13</v>
      </c>
      <c r="G2519" s="2" t="s">
        <v>214</v>
      </c>
      <c r="H2519" s="3">
        <v>4</v>
      </c>
      <c r="I2519" s="6">
        <v>2004</v>
      </c>
      <c r="J2519" s="2" t="s">
        <v>15</v>
      </c>
      <c r="K2519" s="2" t="s">
        <v>64</v>
      </c>
      <c r="L2519" s="7">
        <f t="shared" si="117"/>
        <v>1089.36</v>
      </c>
      <c r="M2519" s="2" t="str">
        <f t="shared" si="118"/>
        <v>December</v>
      </c>
      <c r="N2519" s="6">
        <f t="shared" si="119"/>
        <v>2004</v>
      </c>
    </row>
    <row r="2520" spans="1:14">
      <c r="A2520" s="2" t="s">
        <v>147</v>
      </c>
      <c r="B2520" s="3">
        <v>10373</v>
      </c>
      <c r="C2520" s="3">
        <v>32</v>
      </c>
      <c r="D2520" s="13">
        <v>84.41</v>
      </c>
      <c r="E2520" s="5">
        <v>38383</v>
      </c>
      <c r="F2520" s="2" t="s">
        <v>13</v>
      </c>
      <c r="G2520" s="2" t="s">
        <v>214</v>
      </c>
      <c r="H2520" s="3">
        <v>1</v>
      </c>
      <c r="I2520" s="6">
        <v>2005</v>
      </c>
      <c r="J2520" s="2" t="s">
        <v>15</v>
      </c>
      <c r="K2520" s="2" t="s">
        <v>148</v>
      </c>
      <c r="L2520" s="7">
        <f t="shared" si="117"/>
        <v>2701.12</v>
      </c>
      <c r="M2520" s="2" t="str">
        <f t="shared" si="118"/>
        <v>January</v>
      </c>
      <c r="N2520" s="6">
        <f t="shared" si="119"/>
        <v>2005</v>
      </c>
    </row>
    <row r="2521" spans="1:14">
      <c r="A2521" s="2" t="s">
        <v>69</v>
      </c>
      <c r="B2521" s="3">
        <v>10386</v>
      </c>
      <c r="C2521" s="3">
        <v>29</v>
      </c>
      <c r="D2521" s="13">
        <v>85.76</v>
      </c>
      <c r="E2521" s="5">
        <v>38412</v>
      </c>
      <c r="F2521" s="2" t="s">
        <v>155</v>
      </c>
      <c r="G2521" s="2" t="s">
        <v>214</v>
      </c>
      <c r="H2521" s="3">
        <v>1</v>
      </c>
      <c r="I2521" s="6">
        <v>2005</v>
      </c>
      <c r="J2521" s="2" t="s">
        <v>15</v>
      </c>
      <c r="K2521" s="2" t="s">
        <v>71</v>
      </c>
      <c r="L2521" s="7">
        <f t="shared" si="117"/>
        <v>2487.04</v>
      </c>
      <c r="M2521" s="2" t="str">
        <f t="shared" si="118"/>
        <v>March</v>
      </c>
      <c r="N2521" s="6">
        <f t="shared" si="119"/>
        <v>2005</v>
      </c>
    </row>
    <row r="2522" spans="1:14">
      <c r="A2522" s="2" t="s">
        <v>18</v>
      </c>
      <c r="B2522" s="3">
        <v>10398</v>
      </c>
      <c r="C2522" s="3">
        <v>36</v>
      </c>
      <c r="D2522" s="13">
        <v>100</v>
      </c>
      <c r="E2522" s="5">
        <v>38441</v>
      </c>
      <c r="F2522" s="2" t="s">
        <v>13</v>
      </c>
      <c r="G2522" s="2" t="s">
        <v>214</v>
      </c>
      <c r="H2522" s="3">
        <v>1</v>
      </c>
      <c r="I2522" s="6">
        <v>2005</v>
      </c>
      <c r="J2522" s="2" t="s">
        <v>22</v>
      </c>
      <c r="K2522" s="2" t="s">
        <v>19</v>
      </c>
      <c r="L2522" s="7">
        <f t="shared" si="117"/>
        <v>3600</v>
      </c>
      <c r="M2522" s="2" t="str">
        <f t="shared" si="118"/>
        <v>March</v>
      </c>
      <c r="N2522" s="6">
        <f t="shared" si="119"/>
        <v>2005</v>
      </c>
    </row>
    <row r="2523" spans="1:14">
      <c r="A2523" s="2" t="s">
        <v>149</v>
      </c>
      <c r="B2523" s="3">
        <v>10400</v>
      </c>
      <c r="C2523" s="3">
        <v>46</v>
      </c>
      <c r="D2523" s="13">
        <v>87.8</v>
      </c>
      <c r="E2523" s="5">
        <v>38443</v>
      </c>
      <c r="F2523" s="2" t="s">
        <v>13</v>
      </c>
      <c r="G2523" s="2" t="s">
        <v>214</v>
      </c>
      <c r="H2523" s="3">
        <v>2</v>
      </c>
      <c r="I2523" s="6">
        <v>2005</v>
      </c>
      <c r="J2523" s="2" t="s">
        <v>22</v>
      </c>
      <c r="K2523" s="2" t="s">
        <v>150</v>
      </c>
      <c r="L2523" s="7">
        <f t="shared" si="117"/>
        <v>4038.8</v>
      </c>
      <c r="M2523" s="2" t="str">
        <f t="shared" si="118"/>
        <v>April</v>
      </c>
      <c r="N2523" s="6">
        <f t="shared" si="119"/>
        <v>2005</v>
      </c>
    </row>
    <row r="2524" spans="1:14">
      <c r="A2524" s="2" t="s">
        <v>205</v>
      </c>
      <c r="B2524" s="3">
        <v>10415</v>
      </c>
      <c r="C2524" s="3">
        <v>32</v>
      </c>
      <c r="D2524" s="13">
        <v>95.95</v>
      </c>
      <c r="E2524" s="5">
        <v>38481</v>
      </c>
      <c r="F2524" s="2" t="s">
        <v>70</v>
      </c>
      <c r="G2524" s="2" t="s">
        <v>214</v>
      </c>
      <c r="H2524" s="3">
        <v>2</v>
      </c>
      <c r="I2524" s="6">
        <v>2005</v>
      </c>
      <c r="J2524" s="2" t="s">
        <v>22</v>
      </c>
      <c r="K2524" s="2" t="s">
        <v>206</v>
      </c>
      <c r="L2524" s="7">
        <f t="shared" si="117"/>
        <v>3070.4</v>
      </c>
      <c r="M2524" s="2" t="str">
        <f t="shared" si="118"/>
        <v>May</v>
      </c>
      <c r="N2524" s="6">
        <f t="shared" si="119"/>
        <v>2005</v>
      </c>
    </row>
    <row r="2525" spans="1:14">
      <c r="A2525" s="2" t="s">
        <v>203</v>
      </c>
      <c r="B2525" s="3">
        <v>10106</v>
      </c>
      <c r="C2525" s="3">
        <v>34</v>
      </c>
      <c r="D2525" s="13">
        <v>100</v>
      </c>
      <c r="E2525" s="5">
        <v>37669</v>
      </c>
      <c r="F2525" s="2" t="s">
        <v>13</v>
      </c>
      <c r="G2525" s="2" t="s">
        <v>207</v>
      </c>
      <c r="H2525" s="3">
        <v>1</v>
      </c>
      <c r="I2525" s="6">
        <v>2003</v>
      </c>
      <c r="J2525" s="2" t="s">
        <v>22</v>
      </c>
      <c r="K2525" s="2" t="s">
        <v>204</v>
      </c>
      <c r="L2525" s="7">
        <f t="shared" si="117"/>
        <v>3400</v>
      </c>
      <c r="M2525" s="2" t="str">
        <f t="shared" si="118"/>
        <v>February</v>
      </c>
      <c r="N2525" s="6">
        <f t="shared" si="119"/>
        <v>2003</v>
      </c>
    </row>
    <row r="2526" spans="1:14">
      <c r="A2526" s="2" t="s">
        <v>42</v>
      </c>
      <c r="B2526" s="3">
        <v>10120</v>
      </c>
      <c r="C2526" s="3">
        <v>24</v>
      </c>
      <c r="D2526" s="13">
        <v>100</v>
      </c>
      <c r="E2526" s="5">
        <v>37740</v>
      </c>
      <c r="F2526" s="2" t="s">
        <v>13</v>
      </c>
      <c r="G2526" s="2" t="s">
        <v>207</v>
      </c>
      <c r="H2526" s="3">
        <v>2</v>
      </c>
      <c r="I2526" s="6">
        <v>2003</v>
      </c>
      <c r="J2526" s="2" t="s">
        <v>15</v>
      </c>
      <c r="K2526" s="2" t="s">
        <v>43</v>
      </c>
      <c r="L2526" s="7">
        <f t="shared" si="117"/>
        <v>2400</v>
      </c>
      <c r="M2526" s="2" t="str">
        <f t="shared" si="118"/>
        <v>April</v>
      </c>
      <c r="N2526" s="6">
        <f t="shared" si="119"/>
        <v>2003</v>
      </c>
    </row>
    <row r="2527" spans="1:14">
      <c r="A2527" s="2" t="s">
        <v>208</v>
      </c>
      <c r="B2527" s="3">
        <v>10131</v>
      </c>
      <c r="C2527" s="3">
        <v>40</v>
      </c>
      <c r="D2527" s="13">
        <v>100</v>
      </c>
      <c r="E2527" s="5">
        <v>37788</v>
      </c>
      <c r="F2527" s="2" t="s">
        <v>13</v>
      </c>
      <c r="G2527" s="2" t="s">
        <v>207</v>
      </c>
      <c r="H2527" s="3">
        <v>2</v>
      </c>
      <c r="I2527" s="6">
        <v>2003</v>
      </c>
      <c r="J2527" s="2" t="s">
        <v>22</v>
      </c>
      <c r="K2527" s="2" t="s">
        <v>209</v>
      </c>
      <c r="L2527" s="7">
        <f t="shared" si="117"/>
        <v>4000</v>
      </c>
      <c r="M2527" s="2" t="str">
        <f t="shared" si="118"/>
        <v>June</v>
      </c>
      <c r="N2527" s="6">
        <f t="shared" si="119"/>
        <v>2003</v>
      </c>
    </row>
    <row r="2528" spans="1:14">
      <c r="A2528" s="2" t="s">
        <v>126</v>
      </c>
      <c r="B2528" s="3">
        <v>10143</v>
      </c>
      <c r="C2528" s="3">
        <v>26</v>
      </c>
      <c r="D2528" s="13">
        <v>82.77</v>
      </c>
      <c r="E2528" s="5">
        <v>37843</v>
      </c>
      <c r="F2528" s="2" t="s">
        <v>13</v>
      </c>
      <c r="G2528" s="2" t="s">
        <v>207</v>
      </c>
      <c r="H2528" s="3">
        <v>3</v>
      </c>
      <c r="I2528" s="6">
        <v>2003</v>
      </c>
      <c r="J2528" s="2" t="s">
        <v>15</v>
      </c>
      <c r="K2528" s="2" t="s">
        <v>127</v>
      </c>
      <c r="L2528" s="7">
        <f t="shared" si="117"/>
        <v>2152.02</v>
      </c>
      <c r="M2528" s="2" t="str">
        <f t="shared" si="118"/>
        <v>August</v>
      </c>
      <c r="N2528" s="6">
        <f t="shared" si="119"/>
        <v>2003</v>
      </c>
    </row>
    <row r="2529" spans="1:14">
      <c r="A2529" s="2" t="s">
        <v>54</v>
      </c>
      <c r="B2529" s="3">
        <v>10155</v>
      </c>
      <c r="C2529" s="3">
        <v>20</v>
      </c>
      <c r="D2529" s="13">
        <v>100</v>
      </c>
      <c r="E2529" s="5">
        <v>37900</v>
      </c>
      <c r="F2529" s="2" t="s">
        <v>13</v>
      </c>
      <c r="G2529" s="2" t="s">
        <v>207</v>
      </c>
      <c r="H2529" s="3">
        <v>4</v>
      </c>
      <c r="I2529" s="6">
        <v>2003</v>
      </c>
      <c r="J2529" s="2" t="s">
        <v>15</v>
      </c>
      <c r="K2529" s="2" t="s">
        <v>55</v>
      </c>
      <c r="L2529" s="7">
        <f t="shared" si="117"/>
        <v>2000</v>
      </c>
      <c r="M2529" s="2" t="str">
        <f t="shared" si="118"/>
        <v>October</v>
      </c>
      <c r="N2529" s="6">
        <f t="shared" si="119"/>
        <v>2003</v>
      </c>
    </row>
    <row r="2530" spans="1:14">
      <c r="A2530" s="2" t="s">
        <v>31</v>
      </c>
      <c r="B2530" s="3">
        <v>10168</v>
      </c>
      <c r="C2530" s="3">
        <v>31</v>
      </c>
      <c r="D2530" s="13">
        <v>100</v>
      </c>
      <c r="E2530" s="5">
        <v>37922</v>
      </c>
      <c r="F2530" s="2" t="s">
        <v>13</v>
      </c>
      <c r="G2530" s="2" t="s">
        <v>207</v>
      </c>
      <c r="H2530" s="3">
        <v>4</v>
      </c>
      <c r="I2530" s="6">
        <v>2003</v>
      </c>
      <c r="J2530" s="2" t="s">
        <v>22</v>
      </c>
      <c r="K2530" s="2" t="s">
        <v>32</v>
      </c>
      <c r="L2530" s="7">
        <f t="shared" si="117"/>
        <v>3100</v>
      </c>
      <c r="M2530" s="2" t="str">
        <f t="shared" si="118"/>
        <v>October</v>
      </c>
      <c r="N2530" s="6">
        <f t="shared" si="119"/>
        <v>2003</v>
      </c>
    </row>
    <row r="2531" spans="1:14">
      <c r="A2531" s="2" t="s">
        <v>129</v>
      </c>
      <c r="B2531" s="3">
        <v>10178</v>
      </c>
      <c r="C2531" s="3">
        <v>22</v>
      </c>
      <c r="D2531" s="13">
        <v>87.75</v>
      </c>
      <c r="E2531" s="5">
        <v>37933</v>
      </c>
      <c r="F2531" s="2" t="s">
        <v>13</v>
      </c>
      <c r="G2531" s="2" t="s">
        <v>207</v>
      </c>
      <c r="H2531" s="3">
        <v>4</v>
      </c>
      <c r="I2531" s="6">
        <v>2003</v>
      </c>
      <c r="J2531" s="2" t="s">
        <v>15</v>
      </c>
      <c r="K2531" s="2" t="s">
        <v>130</v>
      </c>
      <c r="L2531" s="7">
        <f t="shared" si="117"/>
        <v>1930.5</v>
      </c>
      <c r="M2531" s="2" t="str">
        <f t="shared" si="118"/>
        <v>November</v>
      </c>
      <c r="N2531" s="6">
        <f t="shared" si="119"/>
        <v>2003</v>
      </c>
    </row>
    <row r="2532" spans="1:14">
      <c r="A2532" s="2" t="s">
        <v>161</v>
      </c>
      <c r="B2532" s="3">
        <v>10198</v>
      </c>
      <c r="C2532" s="3">
        <v>42</v>
      </c>
      <c r="D2532" s="13">
        <v>100</v>
      </c>
      <c r="E2532" s="5">
        <v>37952</v>
      </c>
      <c r="F2532" s="2" t="s">
        <v>13</v>
      </c>
      <c r="G2532" s="2" t="s">
        <v>207</v>
      </c>
      <c r="H2532" s="3">
        <v>4</v>
      </c>
      <c r="I2532" s="6">
        <v>2003</v>
      </c>
      <c r="J2532" s="2" t="s">
        <v>22</v>
      </c>
      <c r="K2532" s="2" t="s">
        <v>162</v>
      </c>
      <c r="L2532" s="7">
        <f t="shared" si="117"/>
        <v>4200</v>
      </c>
      <c r="M2532" s="2" t="str">
        <f t="shared" si="118"/>
        <v>November</v>
      </c>
      <c r="N2532" s="6">
        <f t="shared" si="119"/>
        <v>2003</v>
      </c>
    </row>
    <row r="2533" spans="1:14">
      <c r="A2533" s="2" t="s">
        <v>114</v>
      </c>
      <c r="B2533" s="3">
        <v>10210</v>
      </c>
      <c r="C2533" s="3">
        <v>26</v>
      </c>
      <c r="D2533" s="13">
        <v>99.72</v>
      </c>
      <c r="E2533" s="5">
        <v>37998</v>
      </c>
      <c r="F2533" s="2" t="s">
        <v>13</v>
      </c>
      <c r="G2533" s="2" t="s">
        <v>207</v>
      </c>
      <c r="H2533" s="3">
        <v>1</v>
      </c>
      <c r="I2533" s="6">
        <v>2004</v>
      </c>
      <c r="J2533" s="2" t="s">
        <v>15</v>
      </c>
      <c r="K2533" s="2" t="s">
        <v>115</v>
      </c>
      <c r="L2533" s="7">
        <f t="shared" si="117"/>
        <v>2592.72</v>
      </c>
      <c r="M2533" s="2" t="str">
        <f t="shared" si="118"/>
        <v>January</v>
      </c>
      <c r="N2533" s="6">
        <f t="shared" si="119"/>
        <v>2004</v>
      </c>
    </row>
    <row r="2534" spans="1:14">
      <c r="A2534" s="2" t="s">
        <v>137</v>
      </c>
      <c r="B2534" s="3">
        <v>10222</v>
      </c>
      <c r="C2534" s="3">
        <v>37</v>
      </c>
      <c r="D2534" s="13">
        <v>87.75</v>
      </c>
      <c r="E2534" s="5">
        <v>38036</v>
      </c>
      <c r="F2534" s="2" t="s">
        <v>13</v>
      </c>
      <c r="G2534" s="2" t="s">
        <v>207</v>
      </c>
      <c r="H2534" s="3">
        <v>1</v>
      </c>
      <c r="I2534" s="6">
        <v>2004</v>
      </c>
      <c r="J2534" s="2" t="s">
        <v>22</v>
      </c>
      <c r="K2534" s="2" t="s">
        <v>138</v>
      </c>
      <c r="L2534" s="7">
        <f t="shared" si="117"/>
        <v>3246.75</v>
      </c>
      <c r="M2534" s="2" t="str">
        <f t="shared" si="118"/>
        <v>February</v>
      </c>
      <c r="N2534" s="6">
        <f t="shared" si="119"/>
        <v>2004</v>
      </c>
    </row>
    <row r="2535" spans="1:14">
      <c r="A2535" s="2" t="s">
        <v>141</v>
      </c>
      <c r="B2535" s="3">
        <v>10235</v>
      </c>
      <c r="C2535" s="3">
        <v>38</v>
      </c>
      <c r="D2535" s="13">
        <v>88.75</v>
      </c>
      <c r="E2535" s="5">
        <v>38079</v>
      </c>
      <c r="F2535" s="2" t="s">
        <v>13</v>
      </c>
      <c r="G2535" s="2" t="s">
        <v>207</v>
      </c>
      <c r="H2535" s="3">
        <v>2</v>
      </c>
      <c r="I2535" s="6">
        <v>2004</v>
      </c>
      <c r="J2535" s="2" t="s">
        <v>22</v>
      </c>
      <c r="K2535" s="2" t="s">
        <v>142</v>
      </c>
      <c r="L2535" s="7">
        <f t="shared" si="117"/>
        <v>3372.5</v>
      </c>
      <c r="M2535" s="2" t="str">
        <f t="shared" si="118"/>
        <v>April</v>
      </c>
      <c r="N2535" s="6">
        <f t="shared" si="119"/>
        <v>2004</v>
      </c>
    </row>
    <row r="2536" spans="1:14">
      <c r="A2536" s="2" t="s">
        <v>149</v>
      </c>
      <c r="B2536" s="3">
        <v>10250</v>
      </c>
      <c r="C2536" s="3">
        <v>35</v>
      </c>
      <c r="D2536" s="13">
        <v>100</v>
      </c>
      <c r="E2536" s="5">
        <v>38118</v>
      </c>
      <c r="F2536" s="2" t="s">
        <v>13</v>
      </c>
      <c r="G2536" s="2" t="s">
        <v>207</v>
      </c>
      <c r="H2536" s="3">
        <v>2</v>
      </c>
      <c r="I2536" s="6">
        <v>2004</v>
      </c>
      <c r="J2536" s="2" t="s">
        <v>22</v>
      </c>
      <c r="K2536" s="2" t="s">
        <v>150</v>
      </c>
      <c r="L2536" s="7">
        <f t="shared" si="117"/>
        <v>3500</v>
      </c>
      <c r="M2536" s="2" t="str">
        <f t="shared" si="118"/>
        <v>May</v>
      </c>
      <c r="N2536" s="6">
        <f t="shared" si="119"/>
        <v>2004</v>
      </c>
    </row>
    <row r="2537" spans="1:14">
      <c r="A2537" s="2" t="s">
        <v>69</v>
      </c>
      <c r="B2537" s="3">
        <v>10262</v>
      </c>
      <c r="C2537" s="3">
        <v>33</v>
      </c>
      <c r="D2537" s="13">
        <v>90.75</v>
      </c>
      <c r="E2537" s="5">
        <v>38162</v>
      </c>
      <c r="F2537" s="2" t="s">
        <v>128</v>
      </c>
      <c r="G2537" s="2" t="s">
        <v>207</v>
      </c>
      <c r="H2537" s="3">
        <v>2</v>
      </c>
      <c r="I2537" s="6">
        <v>2004</v>
      </c>
      <c r="J2537" s="2" t="s">
        <v>15</v>
      </c>
      <c r="K2537" s="2" t="s">
        <v>71</v>
      </c>
      <c r="L2537" s="7">
        <f t="shared" si="117"/>
        <v>2994.75</v>
      </c>
      <c r="M2537" s="2" t="str">
        <f t="shared" si="118"/>
        <v>June</v>
      </c>
      <c r="N2537" s="6">
        <f t="shared" si="119"/>
        <v>2004</v>
      </c>
    </row>
    <row r="2538" spans="1:14">
      <c r="A2538" s="2" t="s">
        <v>50</v>
      </c>
      <c r="B2538" s="3">
        <v>10275</v>
      </c>
      <c r="C2538" s="3">
        <v>39</v>
      </c>
      <c r="D2538" s="13">
        <v>100</v>
      </c>
      <c r="E2538" s="5">
        <v>38191</v>
      </c>
      <c r="F2538" s="2" t="s">
        <v>13</v>
      </c>
      <c r="G2538" s="2" t="s">
        <v>207</v>
      </c>
      <c r="H2538" s="3">
        <v>3</v>
      </c>
      <c r="I2538" s="6">
        <v>2004</v>
      </c>
      <c r="J2538" s="2" t="s">
        <v>22</v>
      </c>
      <c r="K2538" s="2" t="s">
        <v>51</v>
      </c>
      <c r="L2538" s="7">
        <f t="shared" si="117"/>
        <v>3900</v>
      </c>
      <c r="M2538" s="2" t="str">
        <f t="shared" si="118"/>
        <v>July</v>
      </c>
      <c r="N2538" s="6">
        <f t="shared" si="119"/>
        <v>2004</v>
      </c>
    </row>
    <row r="2539" spans="1:14">
      <c r="A2539" s="2" t="s">
        <v>210</v>
      </c>
      <c r="B2539" s="3">
        <v>10296</v>
      </c>
      <c r="C2539" s="3">
        <v>24</v>
      </c>
      <c r="D2539" s="13">
        <v>100</v>
      </c>
      <c r="E2539" s="5">
        <v>38245</v>
      </c>
      <c r="F2539" s="2" t="s">
        <v>13</v>
      </c>
      <c r="G2539" s="2" t="s">
        <v>207</v>
      </c>
      <c r="H2539" s="3">
        <v>3</v>
      </c>
      <c r="I2539" s="6">
        <v>2004</v>
      </c>
      <c r="J2539" s="2" t="s">
        <v>15</v>
      </c>
      <c r="K2539" s="2" t="s">
        <v>211</v>
      </c>
      <c r="L2539" s="7">
        <f t="shared" si="117"/>
        <v>2400</v>
      </c>
      <c r="M2539" s="2" t="str">
        <f t="shared" si="118"/>
        <v>September</v>
      </c>
      <c r="N2539" s="6">
        <f t="shared" si="119"/>
        <v>2004</v>
      </c>
    </row>
    <row r="2540" spans="1:14">
      <c r="A2540" s="2" t="s">
        <v>120</v>
      </c>
      <c r="B2540" s="3">
        <v>10308</v>
      </c>
      <c r="C2540" s="3">
        <v>35</v>
      </c>
      <c r="D2540" s="13">
        <v>88.75</v>
      </c>
      <c r="E2540" s="5">
        <v>38275</v>
      </c>
      <c r="F2540" s="2" t="s">
        <v>13</v>
      </c>
      <c r="G2540" s="2" t="s">
        <v>207</v>
      </c>
      <c r="H2540" s="3">
        <v>4</v>
      </c>
      <c r="I2540" s="6">
        <v>2004</v>
      </c>
      <c r="J2540" s="2" t="s">
        <v>22</v>
      </c>
      <c r="K2540" s="2" t="s">
        <v>121</v>
      </c>
      <c r="L2540" s="7">
        <f t="shared" si="117"/>
        <v>3106.25</v>
      </c>
      <c r="M2540" s="2" t="str">
        <f t="shared" si="118"/>
        <v>October</v>
      </c>
      <c r="N2540" s="6">
        <f t="shared" si="119"/>
        <v>2004</v>
      </c>
    </row>
    <row r="2541" spans="1:14">
      <c r="A2541" s="2" t="s">
        <v>145</v>
      </c>
      <c r="B2541" s="3">
        <v>10316</v>
      </c>
      <c r="C2541" s="3">
        <v>23</v>
      </c>
      <c r="D2541" s="13">
        <v>100</v>
      </c>
      <c r="E2541" s="5">
        <v>38292</v>
      </c>
      <c r="F2541" s="2" t="s">
        <v>13</v>
      </c>
      <c r="G2541" s="2" t="s">
        <v>207</v>
      </c>
      <c r="H2541" s="3">
        <v>4</v>
      </c>
      <c r="I2541" s="6">
        <v>2004</v>
      </c>
      <c r="J2541" s="2" t="s">
        <v>15</v>
      </c>
      <c r="K2541" s="2" t="s">
        <v>146</v>
      </c>
      <c r="L2541" s="7">
        <f t="shared" si="117"/>
        <v>2300</v>
      </c>
      <c r="M2541" s="2" t="str">
        <f t="shared" si="118"/>
        <v>November</v>
      </c>
      <c r="N2541" s="6">
        <f t="shared" si="119"/>
        <v>2004</v>
      </c>
    </row>
    <row r="2542" spans="1:14">
      <c r="A2542" s="2" t="s">
        <v>203</v>
      </c>
      <c r="B2542" s="3">
        <v>10328</v>
      </c>
      <c r="C2542" s="3">
        <v>37</v>
      </c>
      <c r="D2542" s="13">
        <v>100</v>
      </c>
      <c r="E2542" s="5">
        <v>38303</v>
      </c>
      <c r="F2542" s="2" t="s">
        <v>13</v>
      </c>
      <c r="G2542" s="2" t="s">
        <v>207</v>
      </c>
      <c r="H2542" s="3">
        <v>4</v>
      </c>
      <c r="I2542" s="6">
        <v>2004</v>
      </c>
      <c r="J2542" s="2" t="s">
        <v>22</v>
      </c>
      <c r="K2542" s="2" t="s">
        <v>204</v>
      </c>
      <c r="L2542" s="7">
        <f t="shared" si="117"/>
        <v>3700</v>
      </c>
      <c r="M2542" s="2" t="str">
        <f t="shared" si="118"/>
        <v>November</v>
      </c>
      <c r="N2542" s="6">
        <f t="shared" si="119"/>
        <v>2004</v>
      </c>
    </row>
    <row r="2543" spans="1:14">
      <c r="A2543" s="2" t="s">
        <v>133</v>
      </c>
      <c r="B2543" s="3">
        <v>10340</v>
      </c>
      <c r="C2543" s="3">
        <v>55</v>
      </c>
      <c r="D2543" s="13">
        <v>87.75</v>
      </c>
      <c r="E2543" s="5">
        <v>38315</v>
      </c>
      <c r="F2543" s="2" t="s">
        <v>13</v>
      </c>
      <c r="G2543" s="2" t="s">
        <v>207</v>
      </c>
      <c r="H2543" s="3">
        <v>4</v>
      </c>
      <c r="I2543" s="6">
        <v>2004</v>
      </c>
      <c r="J2543" s="2" t="s">
        <v>22</v>
      </c>
      <c r="K2543" s="2" t="s">
        <v>134</v>
      </c>
      <c r="L2543" s="7">
        <f t="shared" si="117"/>
        <v>4826.25</v>
      </c>
      <c r="M2543" s="2" t="str">
        <f t="shared" si="118"/>
        <v>November</v>
      </c>
      <c r="N2543" s="6">
        <f t="shared" si="119"/>
        <v>2004</v>
      </c>
    </row>
    <row r="2544" spans="1:14">
      <c r="A2544" s="2" t="s">
        <v>215</v>
      </c>
      <c r="B2544" s="3">
        <v>10352</v>
      </c>
      <c r="C2544" s="3">
        <v>49</v>
      </c>
      <c r="D2544" s="13">
        <v>100</v>
      </c>
      <c r="E2544" s="5">
        <v>38324</v>
      </c>
      <c r="F2544" s="2" t="s">
        <v>13</v>
      </c>
      <c r="G2544" s="2" t="s">
        <v>207</v>
      </c>
      <c r="H2544" s="3">
        <v>4</v>
      </c>
      <c r="I2544" s="6">
        <v>2004</v>
      </c>
      <c r="J2544" s="2" t="s">
        <v>22</v>
      </c>
      <c r="K2544" s="2" t="s">
        <v>216</v>
      </c>
      <c r="L2544" s="7">
        <f t="shared" si="117"/>
        <v>4900</v>
      </c>
      <c r="M2544" s="2" t="str">
        <f t="shared" si="118"/>
        <v>December</v>
      </c>
      <c r="N2544" s="6">
        <f t="shared" si="119"/>
        <v>2004</v>
      </c>
    </row>
    <row r="2545" spans="1:14">
      <c r="A2545" s="2" t="s">
        <v>63</v>
      </c>
      <c r="B2545" s="3">
        <v>10361</v>
      </c>
      <c r="C2545" s="3">
        <v>26</v>
      </c>
      <c r="D2545" s="13">
        <v>100</v>
      </c>
      <c r="E2545" s="5">
        <v>38338</v>
      </c>
      <c r="F2545" s="2" t="s">
        <v>13</v>
      </c>
      <c r="G2545" s="2" t="s">
        <v>207</v>
      </c>
      <c r="H2545" s="3">
        <v>4</v>
      </c>
      <c r="I2545" s="6">
        <v>2004</v>
      </c>
      <c r="J2545" s="2" t="s">
        <v>15</v>
      </c>
      <c r="K2545" s="2" t="s">
        <v>64</v>
      </c>
      <c r="L2545" s="7">
        <f t="shared" si="117"/>
        <v>2600</v>
      </c>
      <c r="M2545" s="2" t="str">
        <f t="shared" si="118"/>
        <v>December</v>
      </c>
      <c r="N2545" s="6">
        <f t="shared" si="119"/>
        <v>2004</v>
      </c>
    </row>
    <row r="2546" spans="1:14">
      <c r="A2546" s="2" t="s">
        <v>50</v>
      </c>
      <c r="B2546" s="3">
        <v>10375</v>
      </c>
      <c r="C2546" s="3">
        <v>33</v>
      </c>
      <c r="D2546" s="13">
        <v>100</v>
      </c>
      <c r="E2546" s="5">
        <v>38386</v>
      </c>
      <c r="F2546" s="2" t="s">
        <v>13</v>
      </c>
      <c r="G2546" s="2" t="s">
        <v>207</v>
      </c>
      <c r="H2546" s="3">
        <v>1</v>
      </c>
      <c r="I2546" s="6">
        <v>2005</v>
      </c>
      <c r="J2546" s="2" t="s">
        <v>22</v>
      </c>
      <c r="K2546" s="2" t="s">
        <v>51</v>
      </c>
      <c r="L2546" s="7">
        <f t="shared" si="117"/>
        <v>3300</v>
      </c>
      <c r="M2546" s="2" t="str">
        <f t="shared" si="118"/>
        <v>February</v>
      </c>
      <c r="N2546" s="6">
        <f t="shared" si="119"/>
        <v>2005</v>
      </c>
    </row>
    <row r="2547" spans="1:14">
      <c r="A2547" s="2" t="s">
        <v>69</v>
      </c>
      <c r="B2547" s="3">
        <v>10386</v>
      </c>
      <c r="C2547" s="3">
        <v>37</v>
      </c>
      <c r="D2547" s="13">
        <v>83.84</v>
      </c>
      <c r="E2547" s="5">
        <v>38412</v>
      </c>
      <c r="F2547" s="2" t="s">
        <v>155</v>
      </c>
      <c r="G2547" s="2" t="s">
        <v>207</v>
      </c>
      <c r="H2547" s="3">
        <v>1</v>
      </c>
      <c r="I2547" s="6">
        <v>2005</v>
      </c>
      <c r="J2547" s="2" t="s">
        <v>22</v>
      </c>
      <c r="K2547" s="2" t="s">
        <v>71</v>
      </c>
      <c r="L2547" s="7">
        <f t="shared" si="117"/>
        <v>3102.08</v>
      </c>
      <c r="M2547" s="2" t="str">
        <f t="shared" si="118"/>
        <v>March</v>
      </c>
      <c r="N2547" s="6">
        <f t="shared" si="119"/>
        <v>2005</v>
      </c>
    </row>
    <row r="2548" spans="1:14">
      <c r="A2548" s="2" t="s">
        <v>18</v>
      </c>
      <c r="B2548" s="3">
        <v>10398</v>
      </c>
      <c r="C2548" s="3">
        <v>22</v>
      </c>
      <c r="D2548" s="13">
        <v>86.76</v>
      </c>
      <c r="E2548" s="5">
        <v>38441</v>
      </c>
      <c r="F2548" s="2" t="s">
        <v>13</v>
      </c>
      <c r="G2548" s="2" t="s">
        <v>207</v>
      </c>
      <c r="H2548" s="3">
        <v>1</v>
      </c>
      <c r="I2548" s="6">
        <v>2005</v>
      </c>
      <c r="J2548" s="2" t="s">
        <v>15</v>
      </c>
      <c r="K2548" s="2" t="s">
        <v>19</v>
      </c>
      <c r="L2548" s="7">
        <f t="shared" si="117"/>
        <v>1908.72</v>
      </c>
      <c r="M2548" s="2" t="str">
        <f t="shared" si="118"/>
        <v>March</v>
      </c>
      <c r="N2548" s="6">
        <f t="shared" si="119"/>
        <v>2005</v>
      </c>
    </row>
    <row r="2549" spans="1:14">
      <c r="A2549" s="2" t="s">
        <v>46</v>
      </c>
      <c r="B2549" s="3">
        <v>10401</v>
      </c>
      <c r="C2549" s="3">
        <v>85</v>
      </c>
      <c r="D2549" s="13">
        <v>88.75</v>
      </c>
      <c r="E2549" s="5">
        <v>38445</v>
      </c>
      <c r="F2549" s="2" t="s">
        <v>151</v>
      </c>
      <c r="G2549" s="2" t="s">
        <v>207</v>
      </c>
      <c r="H2549" s="3">
        <v>2</v>
      </c>
      <c r="I2549" s="6">
        <v>2005</v>
      </c>
      <c r="J2549" s="2" t="s">
        <v>61</v>
      </c>
      <c r="K2549" s="2" t="s">
        <v>47</v>
      </c>
      <c r="L2549" s="7">
        <f t="shared" si="117"/>
        <v>7543.75</v>
      </c>
      <c r="M2549" s="2" t="str">
        <f t="shared" si="118"/>
        <v>April</v>
      </c>
      <c r="N2549" s="6">
        <f t="shared" si="119"/>
        <v>2005</v>
      </c>
    </row>
    <row r="2550" spans="1:14">
      <c r="A2550" s="2" t="s">
        <v>169</v>
      </c>
      <c r="B2550" s="3">
        <v>10416</v>
      </c>
      <c r="C2550" s="3">
        <v>22</v>
      </c>
      <c r="D2550" s="13">
        <v>100</v>
      </c>
      <c r="E2550" s="5">
        <v>38482</v>
      </c>
      <c r="F2550" s="2" t="s">
        <v>13</v>
      </c>
      <c r="G2550" s="2" t="s">
        <v>207</v>
      </c>
      <c r="H2550" s="3">
        <v>2</v>
      </c>
      <c r="I2550" s="6">
        <v>2005</v>
      </c>
      <c r="J2550" s="2" t="s">
        <v>15</v>
      </c>
      <c r="K2550" s="2" t="s">
        <v>170</v>
      </c>
      <c r="L2550" s="7">
        <f t="shared" si="117"/>
        <v>2200</v>
      </c>
      <c r="M2550" s="2" t="str">
        <f t="shared" si="118"/>
        <v>May</v>
      </c>
      <c r="N2550" s="6">
        <f t="shared" si="119"/>
        <v>2005</v>
      </c>
    </row>
    <row r="2551" spans="1:14">
      <c r="A2551" s="2" t="s">
        <v>122</v>
      </c>
      <c r="B2551" s="3">
        <v>10105</v>
      </c>
      <c r="C2551" s="3">
        <v>31</v>
      </c>
      <c r="D2551" s="13">
        <v>65.77</v>
      </c>
      <c r="E2551" s="5">
        <v>37663</v>
      </c>
      <c r="F2551" s="2" t="s">
        <v>13</v>
      </c>
      <c r="G2551" s="2" t="s">
        <v>214</v>
      </c>
      <c r="H2551" s="3">
        <v>1</v>
      </c>
      <c r="I2551" s="6">
        <v>2003</v>
      </c>
      <c r="J2551" s="2" t="s">
        <v>15</v>
      </c>
      <c r="K2551" s="2" t="s">
        <v>123</v>
      </c>
      <c r="L2551" s="7">
        <f t="shared" si="117"/>
        <v>2038.87</v>
      </c>
      <c r="M2551" s="2" t="str">
        <f t="shared" si="118"/>
        <v>February</v>
      </c>
      <c r="N2551" s="6">
        <f t="shared" si="119"/>
        <v>2003</v>
      </c>
    </row>
    <row r="2552" spans="1:14">
      <c r="A2552" s="2" t="s">
        <v>60</v>
      </c>
      <c r="B2552" s="3">
        <v>10119</v>
      </c>
      <c r="C2552" s="3">
        <v>38</v>
      </c>
      <c r="D2552" s="13">
        <v>65.77</v>
      </c>
      <c r="E2552" s="5">
        <v>37739</v>
      </c>
      <c r="F2552" s="2" t="s">
        <v>13</v>
      </c>
      <c r="G2552" s="2" t="s">
        <v>214</v>
      </c>
      <c r="H2552" s="3">
        <v>2</v>
      </c>
      <c r="I2552" s="6">
        <v>2003</v>
      </c>
      <c r="J2552" s="2" t="s">
        <v>15</v>
      </c>
      <c r="K2552" s="2" t="s">
        <v>62</v>
      </c>
      <c r="L2552" s="7">
        <f t="shared" si="117"/>
        <v>2499.26</v>
      </c>
      <c r="M2552" s="2" t="str">
        <f t="shared" si="118"/>
        <v>April</v>
      </c>
      <c r="N2552" s="6">
        <f t="shared" si="119"/>
        <v>2003</v>
      </c>
    </row>
    <row r="2553" spans="1:14">
      <c r="A2553" s="2" t="s">
        <v>124</v>
      </c>
      <c r="B2553" s="3">
        <v>10129</v>
      </c>
      <c r="C2553" s="3">
        <v>45</v>
      </c>
      <c r="D2553" s="13">
        <v>85.29</v>
      </c>
      <c r="E2553" s="5">
        <v>37784</v>
      </c>
      <c r="F2553" s="2" t="s">
        <v>13</v>
      </c>
      <c r="G2553" s="2" t="s">
        <v>214</v>
      </c>
      <c r="H2553" s="3">
        <v>2</v>
      </c>
      <c r="I2553" s="6">
        <v>2003</v>
      </c>
      <c r="J2553" s="2" t="s">
        <v>22</v>
      </c>
      <c r="K2553" s="2" t="s">
        <v>125</v>
      </c>
      <c r="L2553" s="7">
        <f t="shared" si="117"/>
        <v>3838.05</v>
      </c>
      <c r="M2553" s="2" t="str">
        <f t="shared" si="118"/>
        <v>June</v>
      </c>
      <c r="N2553" s="6">
        <f t="shared" si="119"/>
        <v>2003</v>
      </c>
    </row>
    <row r="2554" spans="1:14">
      <c r="A2554" s="2" t="s">
        <v>126</v>
      </c>
      <c r="B2554" s="3">
        <v>10143</v>
      </c>
      <c r="C2554" s="3">
        <v>31</v>
      </c>
      <c r="D2554" s="13">
        <v>85.29</v>
      </c>
      <c r="E2554" s="5">
        <v>37843</v>
      </c>
      <c r="F2554" s="2" t="s">
        <v>13</v>
      </c>
      <c r="G2554" s="2" t="s">
        <v>214</v>
      </c>
      <c r="H2554" s="3">
        <v>3</v>
      </c>
      <c r="I2554" s="6">
        <v>2003</v>
      </c>
      <c r="J2554" s="2" t="s">
        <v>15</v>
      </c>
      <c r="K2554" s="2" t="s">
        <v>127</v>
      </c>
      <c r="L2554" s="7">
        <f t="shared" si="117"/>
        <v>2643.99</v>
      </c>
      <c r="M2554" s="2" t="str">
        <f t="shared" si="118"/>
        <v>August</v>
      </c>
      <c r="N2554" s="6">
        <f t="shared" si="119"/>
        <v>2003</v>
      </c>
    </row>
    <row r="2555" spans="1:14">
      <c r="A2555" s="2" t="s">
        <v>190</v>
      </c>
      <c r="B2555" s="3">
        <v>10154</v>
      </c>
      <c r="C2555" s="3">
        <v>36</v>
      </c>
      <c r="D2555" s="13">
        <v>64.33</v>
      </c>
      <c r="E2555" s="5">
        <v>37896</v>
      </c>
      <c r="F2555" s="2" t="s">
        <v>13</v>
      </c>
      <c r="G2555" s="2" t="s">
        <v>214</v>
      </c>
      <c r="H2555" s="3">
        <v>4</v>
      </c>
      <c r="I2555" s="6">
        <v>2003</v>
      </c>
      <c r="J2555" s="2" t="s">
        <v>15</v>
      </c>
      <c r="K2555" s="2" t="s">
        <v>191</v>
      </c>
      <c r="L2555" s="7">
        <f t="shared" si="117"/>
        <v>2315.88</v>
      </c>
      <c r="M2555" s="2" t="str">
        <f t="shared" si="118"/>
        <v>October</v>
      </c>
      <c r="N2555" s="6">
        <f t="shared" si="119"/>
        <v>2003</v>
      </c>
    </row>
    <row r="2556" spans="1:14">
      <c r="A2556" s="2" t="s">
        <v>99</v>
      </c>
      <c r="B2556" s="3">
        <v>10167</v>
      </c>
      <c r="C2556" s="3">
        <v>46</v>
      </c>
      <c r="D2556" s="13">
        <v>70.11</v>
      </c>
      <c r="E2556" s="5">
        <v>37917</v>
      </c>
      <c r="F2556" s="2" t="s">
        <v>128</v>
      </c>
      <c r="G2556" s="2" t="s">
        <v>214</v>
      </c>
      <c r="H2556" s="3">
        <v>4</v>
      </c>
      <c r="I2556" s="6">
        <v>2003</v>
      </c>
      <c r="J2556" s="2" t="s">
        <v>22</v>
      </c>
      <c r="K2556" s="2" t="s">
        <v>100</v>
      </c>
      <c r="L2556" s="7">
        <f t="shared" si="117"/>
        <v>3225.06</v>
      </c>
      <c r="M2556" s="2" t="str">
        <f t="shared" si="118"/>
        <v>October</v>
      </c>
      <c r="N2556" s="6">
        <f t="shared" si="119"/>
        <v>2003</v>
      </c>
    </row>
    <row r="2557" spans="1:14">
      <c r="A2557" s="2" t="s">
        <v>181</v>
      </c>
      <c r="B2557" s="3">
        <v>10177</v>
      </c>
      <c r="C2557" s="3">
        <v>32</v>
      </c>
      <c r="D2557" s="13">
        <v>76.62</v>
      </c>
      <c r="E2557" s="5">
        <v>37932</v>
      </c>
      <c r="F2557" s="2" t="s">
        <v>13</v>
      </c>
      <c r="G2557" s="2" t="s">
        <v>214</v>
      </c>
      <c r="H2557" s="3">
        <v>4</v>
      </c>
      <c r="I2557" s="6">
        <v>2003</v>
      </c>
      <c r="J2557" s="2" t="s">
        <v>15</v>
      </c>
      <c r="K2557" s="2" t="s">
        <v>182</v>
      </c>
      <c r="L2557" s="7">
        <f t="shared" si="117"/>
        <v>2451.84</v>
      </c>
      <c r="M2557" s="2" t="str">
        <f t="shared" si="118"/>
        <v>November</v>
      </c>
      <c r="N2557" s="6">
        <f t="shared" si="119"/>
        <v>2003</v>
      </c>
    </row>
    <row r="2558" spans="1:14">
      <c r="A2558" s="2" t="s">
        <v>126</v>
      </c>
      <c r="B2558" s="3">
        <v>10185</v>
      </c>
      <c r="C2558" s="3">
        <v>39</v>
      </c>
      <c r="D2558" s="13">
        <v>57.82</v>
      </c>
      <c r="E2558" s="5">
        <v>37939</v>
      </c>
      <c r="F2558" s="2" t="s">
        <v>13</v>
      </c>
      <c r="G2558" s="2" t="s">
        <v>214</v>
      </c>
      <c r="H2558" s="3">
        <v>4</v>
      </c>
      <c r="I2558" s="6">
        <v>2003</v>
      </c>
      <c r="J2558" s="2" t="s">
        <v>15</v>
      </c>
      <c r="K2558" s="2" t="s">
        <v>127</v>
      </c>
      <c r="L2558" s="7">
        <f t="shared" si="117"/>
        <v>2254.98</v>
      </c>
      <c r="M2558" s="2" t="str">
        <f t="shared" si="118"/>
        <v>November</v>
      </c>
      <c r="N2558" s="6">
        <f t="shared" si="119"/>
        <v>2003</v>
      </c>
    </row>
    <row r="2559" spans="1:14">
      <c r="A2559" s="2" t="s">
        <v>133</v>
      </c>
      <c r="B2559" s="3">
        <v>10197</v>
      </c>
      <c r="C2559" s="3">
        <v>50</v>
      </c>
      <c r="D2559" s="13">
        <v>78.79</v>
      </c>
      <c r="E2559" s="5">
        <v>37951</v>
      </c>
      <c r="F2559" s="2" t="s">
        <v>13</v>
      </c>
      <c r="G2559" s="2" t="s">
        <v>214</v>
      </c>
      <c r="H2559" s="3">
        <v>4</v>
      </c>
      <c r="I2559" s="6">
        <v>2003</v>
      </c>
      <c r="J2559" s="2" t="s">
        <v>22</v>
      </c>
      <c r="K2559" s="2" t="s">
        <v>134</v>
      </c>
      <c r="L2559" s="7">
        <f t="shared" si="117"/>
        <v>3939.5</v>
      </c>
      <c r="M2559" s="2" t="str">
        <f t="shared" si="118"/>
        <v>November</v>
      </c>
      <c r="N2559" s="6">
        <f t="shared" si="119"/>
        <v>2003</v>
      </c>
    </row>
    <row r="2560" spans="1:14">
      <c r="A2560" s="2" t="s">
        <v>85</v>
      </c>
      <c r="B2560" s="3">
        <v>10208</v>
      </c>
      <c r="C2560" s="3">
        <v>46</v>
      </c>
      <c r="D2560" s="13">
        <v>74.45</v>
      </c>
      <c r="E2560" s="5">
        <v>37988</v>
      </c>
      <c r="F2560" s="2" t="s">
        <v>13</v>
      </c>
      <c r="G2560" s="2" t="s">
        <v>214</v>
      </c>
      <c r="H2560" s="3">
        <v>1</v>
      </c>
      <c r="I2560" s="6">
        <v>2004</v>
      </c>
      <c r="J2560" s="2" t="s">
        <v>22</v>
      </c>
      <c r="K2560" s="2" t="s">
        <v>86</v>
      </c>
      <c r="L2560" s="7">
        <f t="shared" si="117"/>
        <v>3424.7</v>
      </c>
      <c r="M2560" s="2" t="str">
        <f t="shared" si="118"/>
        <v>January</v>
      </c>
      <c r="N2560" s="6">
        <f t="shared" si="119"/>
        <v>2004</v>
      </c>
    </row>
    <row r="2561" spans="1:14">
      <c r="A2561" s="2" t="s">
        <v>137</v>
      </c>
      <c r="B2561" s="3">
        <v>10222</v>
      </c>
      <c r="C2561" s="3">
        <v>36</v>
      </c>
      <c r="D2561" s="13">
        <v>80.95</v>
      </c>
      <c r="E2561" s="5">
        <v>38036</v>
      </c>
      <c r="F2561" s="2" t="s">
        <v>13</v>
      </c>
      <c r="G2561" s="2" t="s">
        <v>214</v>
      </c>
      <c r="H2561" s="3">
        <v>1</v>
      </c>
      <c r="I2561" s="6">
        <v>2004</v>
      </c>
      <c r="J2561" s="2" t="s">
        <v>15</v>
      </c>
      <c r="K2561" s="2" t="s">
        <v>138</v>
      </c>
      <c r="L2561" s="7">
        <f t="shared" si="117"/>
        <v>2914.2</v>
      </c>
      <c r="M2561" s="2" t="str">
        <f t="shared" si="118"/>
        <v>February</v>
      </c>
      <c r="N2561" s="6">
        <f t="shared" si="119"/>
        <v>2004</v>
      </c>
    </row>
    <row r="2562" spans="1:14">
      <c r="A2562" s="2" t="s">
        <v>46</v>
      </c>
      <c r="B2562" s="3">
        <v>10233</v>
      </c>
      <c r="C2562" s="3">
        <v>29</v>
      </c>
      <c r="D2562" s="13">
        <v>82.4</v>
      </c>
      <c r="E2562" s="5">
        <v>38075</v>
      </c>
      <c r="F2562" s="2" t="s">
        <v>13</v>
      </c>
      <c r="G2562" s="2" t="s">
        <v>214</v>
      </c>
      <c r="H2562" s="3">
        <v>1</v>
      </c>
      <c r="I2562" s="6">
        <v>2004</v>
      </c>
      <c r="J2562" s="2" t="s">
        <v>15</v>
      </c>
      <c r="K2562" s="2" t="s">
        <v>47</v>
      </c>
      <c r="L2562" s="7">
        <f t="shared" ref="L2562:L2625" si="120">PRODUCT(C2562,D2562)</f>
        <v>2389.6</v>
      </c>
      <c r="M2562" s="2" t="str">
        <f t="shared" ref="M2562:M2625" si="121">TEXT(E2562,"MMMM")</f>
        <v>March</v>
      </c>
      <c r="N2562" s="6">
        <f t="shared" ref="N2562:N2625" si="122">YEAR(E2562)</f>
        <v>2004</v>
      </c>
    </row>
    <row r="2563" spans="1:14">
      <c r="A2563" s="2" t="s">
        <v>12</v>
      </c>
      <c r="B2563" s="3">
        <v>10248</v>
      </c>
      <c r="C2563" s="3">
        <v>32</v>
      </c>
      <c r="D2563" s="13">
        <v>75.89</v>
      </c>
      <c r="E2563" s="5">
        <v>38114</v>
      </c>
      <c r="F2563" s="2" t="s">
        <v>128</v>
      </c>
      <c r="G2563" s="2" t="s">
        <v>214</v>
      </c>
      <c r="H2563" s="3">
        <v>2</v>
      </c>
      <c r="I2563" s="6">
        <v>2004</v>
      </c>
      <c r="J2563" s="2" t="s">
        <v>15</v>
      </c>
      <c r="K2563" s="2" t="s">
        <v>16</v>
      </c>
      <c r="L2563" s="7">
        <f t="shared" si="120"/>
        <v>2428.48</v>
      </c>
      <c r="M2563" s="2" t="str">
        <f t="shared" si="121"/>
        <v>May</v>
      </c>
      <c r="N2563" s="6">
        <f t="shared" si="122"/>
        <v>2004</v>
      </c>
    </row>
    <row r="2564" spans="1:14">
      <c r="A2564" s="2" t="s">
        <v>111</v>
      </c>
      <c r="B2564" s="3">
        <v>10261</v>
      </c>
      <c r="C2564" s="3">
        <v>44</v>
      </c>
      <c r="D2564" s="13">
        <v>68.67</v>
      </c>
      <c r="E2564" s="5">
        <v>38155</v>
      </c>
      <c r="F2564" s="2" t="s">
        <v>13</v>
      </c>
      <c r="G2564" s="2" t="s">
        <v>214</v>
      </c>
      <c r="H2564" s="3">
        <v>2</v>
      </c>
      <c r="I2564" s="6">
        <v>2004</v>
      </c>
      <c r="J2564" s="2" t="s">
        <v>22</v>
      </c>
      <c r="K2564" s="2" t="s">
        <v>112</v>
      </c>
      <c r="L2564" s="7">
        <f t="shared" si="120"/>
        <v>3021.48</v>
      </c>
      <c r="M2564" s="2" t="str">
        <f t="shared" si="121"/>
        <v>June</v>
      </c>
      <c r="N2564" s="6">
        <f t="shared" si="122"/>
        <v>2004</v>
      </c>
    </row>
    <row r="2565" spans="1:14">
      <c r="A2565" s="2" t="s">
        <v>139</v>
      </c>
      <c r="B2565" s="3">
        <v>10273</v>
      </c>
      <c r="C2565" s="3">
        <v>42</v>
      </c>
      <c r="D2565" s="13">
        <v>62.16</v>
      </c>
      <c r="E2565" s="5">
        <v>38189</v>
      </c>
      <c r="F2565" s="2" t="s">
        <v>13</v>
      </c>
      <c r="G2565" s="2" t="s">
        <v>214</v>
      </c>
      <c r="H2565" s="3">
        <v>3</v>
      </c>
      <c r="I2565" s="6">
        <v>2004</v>
      </c>
      <c r="J2565" s="2" t="s">
        <v>15</v>
      </c>
      <c r="K2565" s="2" t="s">
        <v>140</v>
      </c>
      <c r="L2565" s="7">
        <f t="shared" si="120"/>
        <v>2610.72</v>
      </c>
      <c r="M2565" s="2" t="str">
        <f t="shared" si="121"/>
        <v>July</v>
      </c>
      <c r="N2565" s="6">
        <f t="shared" si="122"/>
        <v>2004</v>
      </c>
    </row>
    <row r="2566" spans="1:14">
      <c r="A2566" s="2" t="s">
        <v>141</v>
      </c>
      <c r="B2566" s="3">
        <v>10283</v>
      </c>
      <c r="C2566" s="3">
        <v>47</v>
      </c>
      <c r="D2566" s="13">
        <v>65.77</v>
      </c>
      <c r="E2566" s="5">
        <v>38219</v>
      </c>
      <c r="F2566" s="2" t="s">
        <v>13</v>
      </c>
      <c r="G2566" s="2" t="s">
        <v>214</v>
      </c>
      <c r="H2566" s="3">
        <v>3</v>
      </c>
      <c r="I2566" s="6">
        <v>2004</v>
      </c>
      <c r="J2566" s="2" t="s">
        <v>22</v>
      </c>
      <c r="K2566" s="2" t="s">
        <v>142</v>
      </c>
      <c r="L2566" s="7">
        <f t="shared" si="120"/>
        <v>3091.19</v>
      </c>
      <c r="M2566" s="2" t="str">
        <f t="shared" si="121"/>
        <v>August</v>
      </c>
      <c r="N2566" s="6">
        <f t="shared" si="122"/>
        <v>2004</v>
      </c>
    </row>
    <row r="2567" spans="1:14">
      <c r="A2567" s="2" t="s">
        <v>143</v>
      </c>
      <c r="B2567" s="3">
        <v>10295</v>
      </c>
      <c r="C2567" s="3">
        <v>44</v>
      </c>
      <c r="D2567" s="13">
        <v>58.55</v>
      </c>
      <c r="E2567" s="5">
        <v>38240</v>
      </c>
      <c r="F2567" s="2" t="s">
        <v>13</v>
      </c>
      <c r="G2567" s="2" t="s">
        <v>214</v>
      </c>
      <c r="H2567" s="3">
        <v>3</v>
      </c>
      <c r="I2567" s="6">
        <v>2004</v>
      </c>
      <c r="J2567" s="2" t="s">
        <v>15</v>
      </c>
      <c r="K2567" s="2" t="s">
        <v>144</v>
      </c>
      <c r="L2567" s="7">
        <f t="shared" si="120"/>
        <v>2576.2</v>
      </c>
      <c r="M2567" s="2" t="str">
        <f t="shared" si="121"/>
        <v>September</v>
      </c>
      <c r="N2567" s="6">
        <f t="shared" si="122"/>
        <v>2004</v>
      </c>
    </row>
    <row r="2568" spans="1:14">
      <c r="A2568" s="2" t="s">
        <v>183</v>
      </c>
      <c r="B2568" s="3">
        <v>10306</v>
      </c>
      <c r="C2568" s="3">
        <v>43</v>
      </c>
      <c r="D2568" s="13">
        <v>75.17</v>
      </c>
      <c r="E2568" s="5">
        <v>38274</v>
      </c>
      <c r="F2568" s="2" t="s">
        <v>13</v>
      </c>
      <c r="G2568" s="2" t="s">
        <v>214</v>
      </c>
      <c r="H2568" s="3">
        <v>4</v>
      </c>
      <c r="I2568" s="6">
        <v>2004</v>
      </c>
      <c r="J2568" s="2" t="s">
        <v>22</v>
      </c>
      <c r="K2568" s="2" t="s">
        <v>184</v>
      </c>
      <c r="L2568" s="7">
        <f t="shared" si="120"/>
        <v>3232.31</v>
      </c>
      <c r="M2568" s="2" t="str">
        <f t="shared" si="121"/>
        <v>October</v>
      </c>
      <c r="N2568" s="6">
        <f t="shared" si="122"/>
        <v>2004</v>
      </c>
    </row>
    <row r="2569" spans="1:14">
      <c r="A2569" s="2" t="s">
        <v>145</v>
      </c>
      <c r="B2569" s="3">
        <v>10316</v>
      </c>
      <c r="C2569" s="3">
        <v>48</v>
      </c>
      <c r="D2569" s="13">
        <v>74.45</v>
      </c>
      <c r="E2569" s="5">
        <v>38292</v>
      </c>
      <c r="F2569" s="2" t="s">
        <v>13</v>
      </c>
      <c r="G2569" s="2" t="s">
        <v>214</v>
      </c>
      <c r="H2569" s="3">
        <v>4</v>
      </c>
      <c r="I2569" s="6">
        <v>2004</v>
      </c>
      <c r="J2569" s="2" t="s">
        <v>22</v>
      </c>
      <c r="K2569" s="2" t="s">
        <v>146</v>
      </c>
      <c r="L2569" s="7">
        <f t="shared" si="120"/>
        <v>3573.6</v>
      </c>
      <c r="M2569" s="2" t="str">
        <f t="shared" si="121"/>
        <v>November</v>
      </c>
      <c r="N2569" s="6">
        <f t="shared" si="122"/>
        <v>2004</v>
      </c>
    </row>
    <row r="2570" spans="1:14">
      <c r="A2570" s="2" t="s">
        <v>122</v>
      </c>
      <c r="B2570" s="3">
        <v>10327</v>
      </c>
      <c r="C2570" s="3">
        <v>21</v>
      </c>
      <c r="D2570" s="13">
        <v>96.31</v>
      </c>
      <c r="E2570" s="5">
        <v>38301</v>
      </c>
      <c r="F2570" s="2" t="s">
        <v>155</v>
      </c>
      <c r="G2570" s="2" t="s">
        <v>214</v>
      </c>
      <c r="H2570" s="3">
        <v>4</v>
      </c>
      <c r="I2570" s="6">
        <v>2004</v>
      </c>
      <c r="J2570" s="2" t="s">
        <v>15</v>
      </c>
      <c r="K2570" s="2" t="s">
        <v>123</v>
      </c>
      <c r="L2570" s="7">
        <f t="shared" si="120"/>
        <v>2022.51</v>
      </c>
      <c r="M2570" s="2" t="str">
        <f t="shared" si="121"/>
        <v>November</v>
      </c>
      <c r="N2570" s="6">
        <f t="shared" si="122"/>
        <v>2004</v>
      </c>
    </row>
    <row r="2571" spans="1:14">
      <c r="A2571" s="2" t="s">
        <v>95</v>
      </c>
      <c r="B2571" s="3">
        <v>10339</v>
      </c>
      <c r="C2571" s="3">
        <v>50</v>
      </c>
      <c r="D2571" s="13">
        <v>74.35</v>
      </c>
      <c r="E2571" s="5">
        <v>38314</v>
      </c>
      <c r="F2571" s="2" t="s">
        <v>13</v>
      </c>
      <c r="G2571" s="2" t="s">
        <v>214</v>
      </c>
      <c r="H2571" s="3">
        <v>4</v>
      </c>
      <c r="I2571" s="6">
        <v>2004</v>
      </c>
      <c r="J2571" s="2" t="s">
        <v>22</v>
      </c>
      <c r="K2571" s="2" t="s">
        <v>96</v>
      </c>
      <c r="L2571" s="7">
        <f t="shared" si="120"/>
        <v>3717.5</v>
      </c>
      <c r="M2571" s="2" t="str">
        <f t="shared" si="121"/>
        <v>November</v>
      </c>
      <c r="N2571" s="6">
        <f t="shared" si="122"/>
        <v>2004</v>
      </c>
    </row>
    <row r="2572" spans="1:14">
      <c r="A2572" s="2" t="s">
        <v>69</v>
      </c>
      <c r="B2572" s="3">
        <v>10350</v>
      </c>
      <c r="C2572" s="3">
        <v>29</v>
      </c>
      <c r="D2572" s="13">
        <v>75.35</v>
      </c>
      <c r="E2572" s="5">
        <v>38323</v>
      </c>
      <c r="F2572" s="2" t="s">
        <v>13</v>
      </c>
      <c r="G2572" s="2" t="s">
        <v>214</v>
      </c>
      <c r="H2572" s="3">
        <v>4</v>
      </c>
      <c r="I2572" s="6">
        <v>2004</v>
      </c>
      <c r="J2572" s="2" t="s">
        <v>15</v>
      </c>
      <c r="K2572" s="2" t="s">
        <v>71</v>
      </c>
      <c r="L2572" s="7">
        <f t="shared" si="120"/>
        <v>2185.15</v>
      </c>
      <c r="M2572" s="2" t="str">
        <f t="shared" si="121"/>
        <v>December</v>
      </c>
      <c r="N2572" s="6">
        <f t="shared" si="122"/>
        <v>2004</v>
      </c>
    </row>
    <row r="2573" spans="1:14">
      <c r="A2573" s="2" t="s">
        <v>147</v>
      </c>
      <c r="B2573" s="3">
        <v>10373</v>
      </c>
      <c r="C2573" s="3">
        <v>41</v>
      </c>
      <c r="D2573" s="13">
        <v>70.33</v>
      </c>
      <c r="E2573" s="5">
        <v>38383</v>
      </c>
      <c r="F2573" s="2" t="s">
        <v>13</v>
      </c>
      <c r="G2573" s="2" t="s">
        <v>214</v>
      </c>
      <c r="H2573" s="3">
        <v>1</v>
      </c>
      <c r="I2573" s="6">
        <v>2005</v>
      </c>
      <c r="J2573" s="2" t="s">
        <v>15</v>
      </c>
      <c r="K2573" s="2" t="s">
        <v>148</v>
      </c>
      <c r="L2573" s="7">
        <f t="shared" si="120"/>
        <v>2883.53</v>
      </c>
      <c r="M2573" s="2" t="str">
        <f t="shared" si="121"/>
        <v>January</v>
      </c>
      <c r="N2573" s="6">
        <f t="shared" si="122"/>
        <v>2005</v>
      </c>
    </row>
    <row r="2574" spans="1:14">
      <c r="A2574" s="2" t="s">
        <v>69</v>
      </c>
      <c r="B2574" s="3">
        <v>10386</v>
      </c>
      <c r="C2574" s="3">
        <v>37</v>
      </c>
      <c r="D2574" s="13">
        <v>100</v>
      </c>
      <c r="E2574" s="5">
        <v>38412</v>
      </c>
      <c r="F2574" s="2" t="s">
        <v>155</v>
      </c>
      <c r="G2574" s="2" t="s">
        <v>214</v>
      </c>
      <c r="H2574" s="3">
        <v>1</v>
      </c>
      <c r="I2574" s="6">
        <v>2005</v>
      </c>
      <c r="J2574" s="2" t="s">
        <v>22</v>
      </c>
      <c r="K2574" s="2" t="s">
        <v>71</v>
      </c>
      <c r="L2574" s="7">
        <f t="shared" si="120"/>
        <v>3700</v>
      </c>
      <c r="M2574" s="2" t="str">
        <f t="shared" si="121"/>
        <v>March</v>
      </c>
      <c r="N2574" s="6">
        <f t="shared" si="122"/>
        <v>2005</v>
      </c>
    </row>
    <row r="2575" spans="1:14">
      <c r="A2575" s="2" t="s">
        <v>129</v>
      </c>
      <c r="B2575" s="3">
        <v>10397</v>
      </c>
      <c r="C2575" s="3">
        <v>22</v>
      </c>
      <c r="D2575" s="13">
        <v>66.5</v>
      </c>
      <c r="E2575" s="5">
        <v>38439</v>
      </c>
      <c r="F2575" s="2" t="s">
        <v>13</v>
      </c>
      <c r="G2575" s="2" t="s">
        <v>214</v>
      </c>
      <c r="H2575" s="3">
        <v>1</v>
      </c>
      <c r="I2575" s="6">
        <v>2005</v>
      </c>
      <c r="J2575" s="2" t="s">
        <v>15</v>
      </c>
      <c r="K2575" s="2" t="s">
        <v>130</v>
      </c>
      <c r="L2575" s="7">
        <f t="shared" si="120"/>
        <v>1463</v>
      </c>
      <c r="M2575" s="2" t="str">
        <f t="shared" si="121"/>
        <v>March</v>
      </c>
      <c r="N2575" s="6">
        <f t="shared" si="122"/>
        <v>2005</v>
      </c>
    </row>
    <row r="2576" spans="1:14">
      <c r="A2576" s="2" t="s">
        <v>143</v>
      </c>
      <c r="B2576" s="3">
        <v>10414</v>
      </c>
      <c r="C2576" s="3">
        <v>31</v>
      </c>
      <c r="D2576" s="13">
        <v>75.89</v>
      </c>
      <c r="E2576" s="5">
        <v>38478</v>
      </c>
      <c r="F2576" s="2" t="s">
        <v>151</v>
      </c>
      <c r="G2576" s="2" t="s">
        <v>214</v>
      </c>
      <c r="H2576" s="3">
        <v>2</v>
      </c>
      <c r="I2576" s="6">
        <v>2005</v>
      </c>
      <c r="J2576" s="2" t="s">
        <v>15</v>
      </c>
      <c r="K2576" s="2" t="s">
        <v>144</v>
      </c>
      <c r="L2576" s="7">
        <f t="shared" si="120"/>
        <v>2352.59</v>
      </c>
      <c r="M2576" s="2" t="str">
        <f t="shared" si="121"/>
        <v>May</v>
      </c>
      <c r="N2576" s="6">
        <f t="shared" si="122"/>
        <v>2005</v>
      </c>
    </row>
    <row r="2577" spans="1:14">
      <c r="A2577" s="2" t="s">
        <v>152</v>
      </c>
      <c r="B2577" s="3">
        <v>10114</v>
      </c>
      <c r="C2577" s="3">
        <v>42</v>
      </c>
      <c r="D2577" s="13">
        <v>100</v>
      </c>
      <c r="E2577" s="5">
        <v>37712</v>
      </c>
      <c r="F2577" s="2" t="s">
        <v>13</v>
      </c>
      <c r="G2577" s="2" t="s">
        <v>72</v>
      </c>
      <c r="H2577" s="3">
        <v>2</v>
      </c>
      <c r="I2577" s="6">
        <v>2003</v>
      </c>
      <c r="J2577" s="2" t="s">
        <v>22</v>
      </c>
      <c r="K2577" s="2" t="s">
        <v>153</v>
      </c>
      <c r="L2577" s="7">
        <f t="shared" si="120"/>
        <v>4200</v>
      </c>
      <c r="M2577" s="2" t="str">
        <f t="shared" si="121"/>
        <v>April</v>
      </c>
      <c r="N2577" s="6">
        <f t="shared" si="122"/>
        <v>2003</v>
      </c>
    </row>
    <row r="2578" spans="1:14">
      <c r="A2578" s="2" t="s">
        <v>75</v>
      </c>
      <c r="B2578" s="3">
        <v>10126</v>
      </c>
      <c r="C2578" s="3">
        <v>45</v>
      </c>
      <c r="D2578" s="13">
        <v>100</v>
      </c>
      <c r="E2578" s="5">
        <v>37769</v>
      </c>
      <c r="F2578" s="2" t="s">
        <v>13</v>
      </c>
      <c r="G2578" s="2" t="s">
        <v>72</v>
      </c>
      <c r="H2578" s="3">
        <v>2</v>
      </c>
      <c r="I2578" s="6">
        <v>2003</v>
      </c>
      <c r="J2578" s="2" t="s">
        <v>22</v>
      </c>
      <c r="K2578" s="2" t="s">
        <v>76</v>
      </c>
      <c r="L2578" s="7">
        <f t="shared" si="120"/>
        <v>4500</v>
      </c>
      <c r="M2578" s="2" t="str">
        <f t="shared" si="121"/>
        <v>May</v>
      </c>
      <c r="N2578" s="6">
        <f t="shared" si="122"/>
        <v>2003</v>
      </c>
    </row>
    <row r="2579" spans="1:14">
      <c r="A2579" s="2" t="s">
        <v>31</v>
      </c>
      <c r="B2579" s="3">
        <v>10140</v>
      </c>
      <c r="C2579" s="3">
        <v>36</v>
      </c>
      <c r="D2579" s="13">
        <v>100</v>
      </c>
      <c r="E2579" s="5">
        <v>37826</v>
      </c>
      <c r="F2579" s="2" t="s">
        <v>13</v>
      </c>
      <c r="G2579" s="2" t="s">
        <v>72</v>
      </c>
      <c r="H2579" s="3">
        <v>3</v>
      </c>
      <c r="I2579" s="6">
        <v>2003</v>
      </c>
      <c r="J2579" s="2" t="s">
        <v>22</v>
      </c>
      <c r="K2579" s="2" t="s">
        <v>32</v>
      </c>
      <c r="L2579" s="7">
        <f t="shared" si="120"/>
        <v>3600</v>
      </c>
      <c r="M2579" s="2" t="str">
        <f t="shared" si="121"/>
        <v>July</v>
      </c>
      <c r="N2579" s="6">
        <f t="shared" si="122"/>
        <v>2003</v>
      </c>
    </row>
    <row r="2580" spans="1:14">
      <c r="A2580" s="2" t="s">
        <v>77</v>
      </c>
      <c r="B2580" s="3">
        <v>10150</v>
      </c>
      <c r="C2580" s="3">
        <v>20</v>
      </c>
      <c r="D2580" s="13">
        <v>100</v>
      </c>
      <c r="E2580" s="5">
        <v>37883</v>
      </c>
      <c r="F2580" s="2" t="s">
        <v>13</v>
      </c>
      <c r="G2580" s="2" t="s">
        <v>72</v>
      </c>
      <c r="H2580" s="3">
        <v>3</v>
      </c>
      <c r="I2580" s="6">
        <v>2003</v>
      </c>
      <c r="J2580" s="2" t="s">
        <v>15</v>
      </c>
      <c r="K2580" s="2" t="s">
        <v>78</v>
      </c>
      <c r="L2580" s="7">
        <f t="shared" si="120"/>
        <v>2000</v>
      </c>
      <c r="M2580" s="2" t="str">
        <f t="shared" si="121"/>
        <v>September</v>
      </c>
      <c r="N2580" s="6">
        <f t="shared" si="122"/>
        <v>2003</v>
      </c>
    </row>
    <row r="2581" spans="1:14">
      <c r="A2581" s="2" t="s">
        <v>154</v>
      </c>
      <c r="B2581" s="3">
        <v>10164</v>
      </c>
      <c r="C2581" s="3">
        <v>39</v>
      </c>
      <c r="D2581" s="13">
        <v>81.93</v>
      </c>
      <c r="E2581" s="5">
        <v>37915</v>
      </c>
      <c r="F2581" s="2" t="s">
        <v>155</v>
      </c>
      <c r="G2581" s="2" t="s">
        <v>72</v>
      </c>
      <c r="H2581" s="3">
        <v>4</v>
      </c>
      <c r="I2581" s="6">
        <v>2003</v>
      </c>
      <c r="J2581" s="2" t="s">
        <v>22</v>
      </c>
      <c r="K2581" s="2" t="s">
        <v>156</v>
      </c>
      <c r="L2581" s="7">
        <f t="shared" si="120"/>
        <v>3195.27</v>
      </c>
      <c r="M2581" s="2" t="str">
        <f t="shared" si="121"/>
        <v>October</v>
      </c>
      <c r="N2581" s="6">
        <f t="shared" si="122"/>
        <v>2003</v>
      </c>
    </row>
    <row r="2582" spans="1:14">
      <c r="A2582" s="2" t="s">
        <v>124</v>
      </c>
      <c r="B2582" s="3">
        <v>10175</v>
      </c>
      <c r="C2582" s="3">
        <v>42</v>
      </c>
      <c r="D2582" s="13">
        <v>85.98</v>
      </c>
      <c r="E2582" s="5">
        <v>37931</v>
      </c>
      <c r="F2582" s="2" t="s">
        <v>13</v>
      </c>
      <c r="G2582" s="2" t="s">
        <v>72</v>
      </c>
      <c r="H2582" s="3">
        <v>4</v>
      </c>
      <c r="I2582" s="6">
        <v>2003</v>
      </c>
      <c r="J2582" s="2" t="s">
        <v>22</v>
      </c>
      <c r="K2582" s="2" t="s">
        <v>125</v>
      </c>
      <c r="L2582" s="7">
        <f t="shared" si="120"/>
        <v>3611.16</v>
      </c>
      <c r="M2582" s="2" t="str">
        <f t="shared" si="121"/>
        <v>November</v>
      </c>
      <c r="N2582" s="6">
        <f t="shared" si="122"/>
        <v>2003</v>
      </c>
    </row>
    <row r="2583" spans="1:14">
      <c r="A2583" s="2" t="s">
        <v>83</v>
      </c>
      <c r="B2583" s="3">
        <v>10183</v>
      </c>
      <c r="C2583" s="3">
        <v>23</v>
      </c>
      <c r="D2583" s="13">
        <v>86.99</v>
      </c>
      <c r="E2583" s="5">
        <v>37938</v>
      </c>
      <c r="F2583" s="2" t="s">
        <v>13</v>
      </c>
      <c r="G2583" s="2" t="s">
        <v>72</v>
      </c>
      <c r="H2583" s="3">
        <v>4</v>
      </c>
      <c r="I2583" s="6">
        <v>2003</v>
      </c>
      <c r="J2583" s="2" t="s">
        <v>15</v>
      </c>
      <c r="K2583" s="2" t="s">
        <v>84</v>
      </c>
      <c r="L2583" s="7">
        <f t="shared" si="120"/>
        <v>2000.77</v>
      </c>
      <c r="M2583" s="2" t="str">
        <f t="shared" si="121"/>
        <v>November</v>
      </c>
      <c r="N2583" s="6">
        <f t="shared" si="122"/>
        <v>2003</v>
      </c>
    </row>
    <row r="2584" spans="1:14">
      <c r="A2584" s="2" t="s">
        <v>85</v>
      </c>
      <c r="B2584" s="3">
        <v>10194</v>
      </c>
      <c r="C2584" s="3">
        <v>26</v>
      </c>
      <c r="D2584" s="13">
        <v>89.01</v>
      </c>
      <c r="E2584" s="5">
        <v>37950</v>
      </c>
      <c r="F2584" s="2" t="s">
        <v>13</v>
      </c>
      <c r="G2584" s="2" t="s">
        <v>72</v>
      </c>
      <c r="H2584" s="3">
        <v>4</v>
      </c>
      <c r="I2584" s="6">
        <v>2003</v>
      </c>
      <c r="J2584" s="2" t="s">
        <v>15</v>
      </c>
      <c r="K2584" s="2" t="s">
        <v>86</v>
      </c>
      <c r="L2584" s="7">
        <f t="shared" si="120"/>
        <v>2314.26</v>
      </c>
      <c r="M2584" s="2" t="str">
        <f t="shared" si="121"/>
        <v>November</v>
      </c>
      <c r="N2584" s="6">
        <f t="shared" si="122"/>
        <v>2003</v>
      </c>
    </row>
    <row r="2585" spans="1:14">
      <c r="A2585" s="2" t="s">
        <v>87</v>
      </c>
      <c r="B2585" s="3">
        <v>10206</v>
      </c>
      <c r="C2585" s="3">
        <v>33</v>
      </c>
      <c r="D2585" s="13">
        <v>100</v>
      </c>
      <c r="E2585" s="5">
        <v>37960</v>
      </c>
      <c r="F2585" s="2" t="s">
        <v>13</v>
      </c>
      <c r="G2585" s="2" t="s">
        <v>72</v>
      </c>
      <c r="H2585" s="3">
        <v>4</v>
      </c>
      <c r="I2585" s="6">
        <v>2003</v>
      </c>
      <c r="J2585" s="2" t="s">
        <v>22</v>
      </c>
      <c r="K2585" s="2" t="s">
        <v>88</v>
      </c>
      <c r="L2585" s="7">
        <f t="shared" si="120"/>
        <v>3300</v>
      </c>
      <c r="M2585" s="2" t="str">
        <f t="shared" si="121"/>
        <v>December</v>
      </c>
      <c r="N2585" s="6">
        <f t="shared" si="122"/>
        <v>2003</v>
      </c>
    </row>
    <row r="2586" spans="1:14">
      <c r="A2586" s="2" t="s">
        <v>159</v>
      </c>
      <c r="B2586" s="3">
        <v>10217</v>
      </c>
      <c r="C2586" s="3">
        <v>31</v>
      </c>
      <c r="D2586" s="13">
        <v>88</v>
      </c>
      <c r="E2586" s="5">
        <v>38021</v>
      </c>
      <c r="F2586" s="2" t="s">
        <v>13</v>
      </c>
      <c r="G2586" s="2" t="s">
        <v>72</v>
      </c>
      <c r="H2586" s="3">
        <v>1</v>
      </c>
      <c r="I2586" s="6">
        <v>2004</v>
      </c>
      <c r="J2586" s="2" t="s">
        <v>15</v>
      </c>
      <c r="K2586" s="2" t="s">
        <v>160</v>
      </c>
      <c r="L2586" s="7">
        <f t="shared" si="120"/>
        <v>2728</v>
      </c>
      <c r="M2586" s="2" t="str">
        <f t="shared" si="121"/>
        <v>February</v>
      </c>
      <c r="N2586" s="6">
        <f t="shared" si="122"/>
        <v>2004</v>
      </c>
    </row>
    <row r="2587" spans="1:14">
      <c r="A2587" s="2" t="s">
        <v>93</v>
      </c>
      <c r="B2587" s="3">
        <v>10245</v>
      </c>
      <c r="C2587" s="3">
        <v>44</v>
      </c>
      <c r="D2587" s="13">
        <v>100</v>
      </c>
      <c r="E2587" s="5">
        <v>38111</v>
      </c>
      <c r="F2587" s="2" t="s">
        <v>13</v>
      </c>
      <c r="G2587" s="2" t="s">
        <v>72</v>
      </c>
      <c r="H2587" s="3">
        <v>2</v>
      </c>
      <c r="I2587" s="6">
        <v>2004</v>
      </c>
      <c r="J2587" s="2" t="s">
        <v>22</v>
      </c>
      <c r="K2587" s="2" t="s">
        <v>94</v>
      </c>
      <c r="L2587" s="7">
        <f t="shared" si="120"/>
        <v>4400</v>
      </c>
      <c r="M2587" s="2" t="str">
        <f t="shared" si="121"/>
        <v>May</v>
      </c>
      <c r="N2587" s="6">
        <f t="shared" si="122"/>
        <v>2004</v>
      </c>
    </row>
    <row r="2588" spans="1:14">
      <c r="A2588" s="2" t="s">
        <v>95</v>
      </c>
      <c r="B2588" s="3">
        <v>10258</v>
      </c>
      <c r="C2588" s="3">
        <v>45</v>
      </c>
      <c r="D2588" s="13">
        <v>80.92</v>
      </c>
      <c r="E2588" s="5">
        <v>38153</v>
      </c>
      <c r="F2588" s="2" t="s">
        <v>13</v>
      </c>
      <c r="G2588" s="2" t="s">
        <v>72</v>
      </c>
      <c r="H2588" s="3">
        <v>2</v>
      </c>
      <c r="I2588" s="6">
        <v>2004</v>
      </c>
      <c r="J2588" s="2" t="s">
        <v>22</v>
      </c>
      <c r="K2588" s="2" t="s">
        <v>96</v>
      </c>
      <c r="L2588" s="7">
        <f t="shared" si="120"/>
        <v>3641.4</v>
      </c>
      <c r="M2588" s="2" t="str">
        <f t="shared" si="121"/>
        <v>June</v>
      </c>
      <c r="N2588" s="6">
        <f t="shared" si="122"/>
        <v>2004</v>
      </c>
    </row>
    <row r="2589" spans="1:14">
      <c r="A2589" s="2" t="s">
        <v>63</v>
      </c>
      <c r="B2589" s="3">
        <v>10270</v>
      </c>
      <c r="C2589" s="3">
        <v>46</v>
      </c>
      <c r="D2589" s="13">
        <v>88</v>
      </c>
      <c r="E2589" s="5">
        <v>38187</v>
      </c>
      <c r="F2589" s="2" t="s">
        <v>13</v>
      </c>
      <c r="G2589" s="2" t="s">
        <v>72</v>
      </c>
      <c r="H2589" s="3">
        <v>3</v>
      </c>
      <c r="I2589" s="6">
        <v>2004</v>
      </c>
      <c r="J2589" s="2" t="s">
        <v>22</v>
      </c>
      <c r="K2589" s="2" t="s">
        <v>64</v>
      </c>
      <c r="L2589" s="7">
        <f t="shared" si="120"/>
        <v>4048</v>
      </c>
      <c r="M2589" s="2" t="str">
        <f t="shared" si="121"/>
        <v>July</v>
      </c>
      <c r="N2589" s="6">
        <f t="shared" si="122"/>
        <v>2004</v>
      </c>
    </row>
    <row r="2590" spans="1:14">
      <c r="A2590" s="2" t="s">
        <v>58</v>
      </c>
      <c r="B2590" s="3">
        <v>10281</v>
      </c>
      <c r="C2590" s="3">
        <v>27</v>
      </c>
      <c r="D2590" s="13">
        <v>85.98</v>
      </c>
      <c r="E2590" s="5">
        <v>38218</v>
      </c>
      <c r="F2590" s="2" t="s">
        <v>13</v>
      </c>
      <c r="G2590" s="2" t="s">
        <v>72</v>
      </c>
      <c r="H2590" s="3">
        <v>3</v>
      </c>
      <c r="I2590" s="6">
        <v>2004</v>
      </c>
      <c r="J2590" s="2" t="s">
        <v>15</v>
      </c>
      <c r="K2590" s="2" t="s">
        <v>59</v>
      </c>
      <c r="L2590" s="7">
        <f t="shared" si="120"/>
        <v>2321.46</v>
      </c>
      <c r="M2590" s="2" t="str">
        <f t="shared" si="121"/>
        <v>August</v>
      </c>
      <c r="N2590" s="6">
        <f t="shared" si="122"/>
        <v>2004</v>
      </c>
    </row>
    <row r="2591" spans="1:14">
      <c r="A2591" s="2" t="s">
        <v>99</v>
      </c>
      <c r="B2591" s="3">
        <v>10291</v>
      </c>
      <c r="C2591" s="3">
        <v>28</v>
      </c>
      <c r="D2591" s="13">
        <v>100</v>
      </c>
      <c r="E2591" s="5">
        <v>38238</v>
      </c>
      <c r="F2591" s="2" t="s">
        <v>13</v>
      </c>
      <c r="G2591" s="2" t="s">
        <v>72</v>
      </c>
      <c r="H2591" s="3">
        <v>3</v>
      </c>
      <c r="I2591" s="6">
        <v>2004</v>
      </c>
      <c r="J2591" s="2" t="s">
        <v>22</v>
      </c>
      <c r="K2591" s="2" t="s">
        <v>100</v>
      </c>
      <c r="L2591" s="7">
        <f t="shared" si="120"/>
        <v>2800</v>
      </c>
      <c r="M2591" s="2" t="str">
        <f t="shared" si="121"/>
        <v>September</v>
      </c>
      <c r="N2591" s="6">
        <f t="shared" si="122"/>
        <v>2004</v>
      </c>
    </row>
    <row r="2592" spans="1:14">
      <c r="A2592" s="2" t="s">
        <v>101</v>
      </c>
      <c r="B2592" s="3">
        <v>10304</v>
      </c>
      <c r="C2592" s="3">
        <v>40</v>
      </c>
      <c r="D2592" s="13">
        <v>100</v>
      </c>
      <c r="E2592" s="5">
        <v>38271</v>
      </c>
      <c r="F2592" s="2" t="s">
        <v>13</v>
      </c>
      <c r="G2592" s="2" t="s">
        <v>72</v>
      </c>
      <c r="H2592" s="3">
        <v>4</v>
      </c>
      <c r="I2592" s="6">
        <v>2004</v>
      </c>
      <c r="J2592" s="2" t="s">
        <v>22</v>
      </c>
      <c r="K2592" s="2" t="s">
        <v>102</v>
      </c>
      <c r="L2592" s="7">
        <f t="shared" si="120"/>
        <v>4000</v>
      </c>
      <c r="M2592" s="2" t="str">
        <f t="shared" si="121"/>
        <v>October</v>
      </c>
      <c r="N2592" s="6">
        <f t="shared" si="122"/>
        <v>2004</v>
      </c>
    </row>
    <row r="2593" spans="1:14">
      <c r="A2593" s="2" t="s">
        <v>87</v>
      </c>
      <c r="B2593" s="3">
        <v>10313</v>
      </c>
      <c r="C2593" s="3">
        <v>30</v>
      </c>
      <c r="D2593" s="13">
        <v>99.13</v>
      </c>
      <c r="E2593" s="5">
        <v>38282</v>
      </c>
      <c r="F2593" s="2" t="s">
        <v>13</v>
      </c>
      <c r="G2593" s="2" t="s">
        <v>72</v>
      </c>
      <c r="H2593" s="3">
        <v>4</v>
      </c>
      <c r="I2593" s="6">
        <v>2004</v>
      </c>
      <c r="J2593" s="2" t="s">
        <v>15</v>
      </c>
      <c r="K2593" s="2" t="s">
        <v>88</v>
      </c>
      <c r="L2593" s="7">
        <f t="shared" si="120"/>
        <v>2973.9</v>
      </c>
      <c r="M2593" s="2" t="str">
        <f t="shared" si="121"/>
        <v>October</v>
      </c>
      <c r="N2593" s="6">
        <f t="shared" si="122"/>
        <v>2004</v>
      </c>
    </row>
    <row r="2594" spans="1:14">
      <c r="A2594" s="2" t="s">
        <v>44</v>
      </c>
      <c r="B2594" s="3">
        <v>10324</v>
      </c>
      <c r="C2594" s="3">
        <v>34</v>
      </c>
      <c r="D2594" s="13">
        <v>100</v>
      </c>
      <c r="E2594" s="5">
        <v>38296</v>
      </c>
      <c r="F2594" s="2" t="s">
        <v>13</v>
      </c>
      <c r="G2594" s="2" t="s">
        <v>72</v>
      </c>
      <c r="H2594" s="3">
        <v>4</v>
      </c>
      <c r="I2594" s="6">
        <v>2004</v>
      </c>
      <c r="J2594" s="2" t="s">
        <v>22</v>
      </c>
      <c r="K2594" s="2" t="s">
        <v>45</v>
      </c>
      <c r="L2594" s="7">
        <f t="shared" si="120"/>
        <v>3400</v>
      </c>
      <c r="M2594" s="2" t="str">
        <f t="shared" si="121"/>
        <v>November</v>
      </c>
      <c r="N2594" s="6">
        <f t="shared" si="122"/>
        <v>2004</v>
      </c>
    </row>
    <row r="2595" spans="1:14">
      <c r="A2595" s="2" t="s">
        <v>152</v>
      </c>
      <c r="B2595" s="3">
        <v>10336</v>
      </c>
      <c r="C2595" s="3">
        <v>46</v>
      </c>
      <c r="D2595" s="13">
        <v>100</v>
      </c>
      <c r="E2595" s="5">
        <v>38311</v>
      </c>
      <c r="F2595" s="2" t="s">
        <v>13</v>
      </c>
      <c r="G2595" s="2" t="s">
        <v>72</v>
      </c>
      <c r="H2595" s="3">
        <v>4</v>
      </c>
      <c r="I2595" s="6">
        <v>2004</v>
      </c>
      <c r="J2595" s="2" t="s">
        <v>61</v>
      </c>
      <c r="K2595" s="2" t="s">
        <v>153</v>
      </c>
      <c r="L2595" s="7">
        <f t="shared" si="120"/>
        <v>4600</v>
      </c>
      <c r="M2595" s="2" t="str">
        <f t="shared" si="121"/>
        <v>November</v>
      </c>
      <c r="N2595" s="6">
        <f t="shared" si="122"/>
        <v>2004</v>
      </c>
    </row>
    <row r="2596" spans="1:14">
      <c r="A2596" s="2" t="s">
        <v>75</v>
      </c>
      <c r="B2596" s="3">
        <v>10348</v>
      </c>
      <c r="C2596" s="3">
        <v>32</v>
      </c>
      <c r="D2596" s="13">
        <v>82.83</v>
      </c>
      <c r="E2596" s="5">
        <v>38292</v>
      </c>
      <c r="F2596" s="2" t="s">
        <v>13</v>
      </c>
      <c r="G2596" s="2" t="s">
        <v>72</v>
      </c>
      <c r="H2596" s="3">
        <v>4</v>
      </c>
      <c r="I2596" s="6">
        <v>2004</v>
      </c>
      <c r="J2596" s="2" t="s">
        <v>15</v>
      </c>
      <c r="K2596" s="2" t="s">
        <v>76</v>
      </c>
      <c r="L2596" s="7">
        <f t="shared" si="120"/>
        <v>2650.56</v>
      </c>
      <c r="M2596" s="2" t="str">
        <f t="shared" si="121"/>
        <v>November</v>
      </c>
      <c r="N2596" s="6">
        <f t="shared" si="122"/>
        <v>2004</v>
      </c>
    </row>
    <row r="2597" spans="1:14">
      <c r="A2597" s="2" t="s">
        <v>69</v>
      </c>
      <c r="B2597" s="3">
        <v>10358</v>
      </c>
      <c r="C2597" s="3">
        <v>27</v>
      </c>
      <c r="D2597" s="13">
        <v>100</v>
      </c>
      <c r="E2597" s="5">
        <v>38331</v>
      </c>
      <c r="F2597" s="2" t="s">
        <v>13</v>
      </c>
      <c r="G2597" s="2" t="s">
        <v>72</v>
      </c>
      <c r="H2597" s="3">
        <v>4</v>
      </c>
      <c r="I2597" s="6">
        <v>2004</v>
      </c>
      <c r="J2597" s="2" t="s">
        <v>22</v>
      </c>
      <c r="K2597" s="2" t="s">
        <v>71</v>
      </c>
      <c r="L2597" s="7">
        <f t="shared" si="120"/>
        <v>2700</v>
      </c>
      <c r="M2597" s="2" t="str">
        <f t="shared" si="121"/>
        <v>December</v>
      </c>
      <c r="N2597" s="6">
        <f t="shared" si="122"/>
        <v>2004</v>
      </c>
    </row>
    <row r="2598" spans="1:14">
      <c r="A2598" s="2" t="s">
        <v>103</v>
      </c>
      <c r="B2598" s="3">
        <v>10371</v>
      </c>
      <c r="C2598" s="3">
        <v>34</v>
      </c>
      <c r="D2598" s="13">
        <v>100</v>
      </c>
      <c r="E2598" s="5">
        <v>38375</v>
      </c>
      <c r="F2598" s="2" t="s">
        <v>13</v>
      </c>
      <c r="G2598" s="2" t="s">
        <v>72</v>
      </c>
      <c r="H2598" s="3">
        <v>1</v>
      </c>
      <c r="I2598" s="6">
        <v>2005</v>
      </c>
      <c r="J2598" s="2" t="s">
        <v>22</v>
      </c>
      <c r="K2598" s="2" t="s">
        <v>104</v>
      </c>
      <c r="L2598" s="7">
        <f t="shared" si="120"/>
        <v>3400</v>
      </c>
      <c r="M2598" s="2" t="str">
        <f t="shared" si="121"/>
        <v>January</v>
      </c>
      <c r="N2598" s="6">
        <f t="shared" si="122"/>
        <v>2005</v>
      </c>
    </row>
    <row r="2599" spans="1:14">
      <c r="A2599" s="2" t="s">
        <v>103</v>
      </c>
      <c r="B2599" s="3">
        <v>10382</v>
      </c>
      <c r="C2599" s="3">
        <v>34</v>
      </c>
      <c r="D2599" s="13">
        <v>54.84</v>
      </c>
      <c r="E2599" s="5">
        <v>38400</v>
      </c>
      <c r="F2599" s="2" t="s">
        <v>13</v>
      </c>
      <c r="G2599" s="2" t="s">
        <v>72</v>
      </c>
      <c r="H2599" s="3">
        <v>1</v>
      </c>
      <c r="I2599" s="6">
        <v>2005</v>
      </c>
      <c r="J2599" s="2" t="s">
        <v>15</v>
      </c>
      <c r="K2599" s="2" t="s">
        <v>104</v>
      </c>
      <c r="L2599" s="7">
        <f t="shared" si="120"/>
        <v>1864.56</v>
      </c>
      <c r="M2599" s="2" t="str">
        <f t="shared" si="121"/>
        <v>February</v>
      </c>
      <c r="N2599" s="6">
        <f t="shared" si="122"/>
        <v>2005</v>
      </c>
    </row>
    <row r="2600" spans="1:14">
      <c r="A2600" s="2" t="s">
        <v>111</v>
      </c>
      <c r="B2600" s="3">
        <v>10411</v>
      </c>
      <c r="C2600" s="3">
        <v>34</v>
      </c>
      <c r="D2600" s="13">
        <v>100</v>
      </c>
      <c r="E2600" s="5">
        <v>38473</v>
      </c>
      <c r="F2600" s="2" t="s">
        <v>13</v>
      </c>
      <c r="G2600" s="2" t="s">
        <v>72</v>
      </c>
      <c r="H2600" s="3">
        <v>2</v>
      </c>
      <c r="I2600" s="6">
        <v>2005</v>
      </c>
      <c r="J2600" s="2" t="s">
        <v>22</v>
      </c>
      <c r="K2600" s="2" t="s">
        <v>112</v>
      </c>
      <c r="L2600" s="7">
        <f t="shared" si="120"/>
        <v>3400</v>
      </c>
      <c r="M2600" s="2" t="str">
        <f t="shared" si="121"/>
        <v>May</v>
      </c>
      <c r="N2600" s="6">
        <f t="shared" si="122"/>
        <v>2005</v>
      </c>
    </row>
    <row r="2601" spans="1:14">
      <c r="A2601" s="2" t="s">
        <v>69</v>
      </c>
      <c r="B2601" s="3">
        <v>10424</v>
      </c>
      <c r="C2601" s="3">
        <v>46</v>
      </c>
      <c r="D2601" s="13">
        <v>80.92</v>
      </c>
      <c r="E2601" s="5">
        <v>38503</v>
      </c>
      <c r="F2601" s="2" t="s">
        <v>113</v>
      </c>
      <c r="G2601" s="2" t="s">
        <v>72</v>
      </c>
      <c r="H2601" s="3">
        <v>2</v>
      </c>
      <c r="I2601" s="6">
        <v>2005</v>
      </c>
      <c r="J2601" s="2" t="s">
        <v>22</v>
      </c>
      <c r="K2601" s="2" t="s">
        <v>71</v>
      </c>
      <c r="L2601" s="7">
        <f t="shared" si="120"/>
        <v>3722.32</v>
      </c>
      <c r="M2601" s="2" t="str">
        <f t="shared" si="121"/>
        <v>May</v>
      </c>
      <c r="N2601" s="6">
        <f t="shared" si="122"/>
        <v>2005</v>
      </c>
    </row>
    <row r="2602" spans="1:14">
      <c r="A2602" s="2" t="s">
        <v>203</v>
      </c>
      <c r="B2602" s="3">
        <v>10106</v>
      </c>
      <c r="C2602" s="3">
        <v>32</v>
      </c>
      <c r="D2602" s="13">
        <v>100</v>
      </c>
      <c r="E2602" s="5">
        <v>37669</v>
      </c>
      <c r="F2602" s="2" t="s">
        <v>13</v>
      </c>
      <c r="G2602" s="2" t="s">
        <v>207</v>
      </c>
      <c r="H2602" s="3">
        <v>1</v>
      </c>
      <c r="I2602" s="6">
        <v>2003</v>
      </c>
      <c r="J2602" s="2" t="s">
        <v>22</v>
      </c>
      <c r="K2602" s="2" t="s">
        <v>204</v>
      </c>
      <c r="L2602" s="7">
        <f t="shared" si="120"/>
        <v>3200</v>
      </c>
      <c r="M2602" s="2" t="str">
        <f t="shared" si="121"/>
        <v>February</v>
      </c>
      <c r="N2602" s="6">
        <f t="shared" si="122"/>
        <v>2003</v>
      </c>
    </row>
    <row r="2603" spans="1:14">
      <c r="A2603" s="2" t="s">
        <v>42</v>
      </c>
      <c r="B2603" s="3">
        <v>10120</v>
      </c>
      <c r="C2603" s="3">
        <v>24</v>
      </c>
      <c r="D2603" s="13">
        <v>100</v>
      </c>
      <c r="E2603" s="5">
        <v>37740</v>
      </c>
      <c r="F2603" s="2" t="s">
        <v>13</v>
      </c>
      <c r="G2603" s="2" t="s">
        <v>207</v>
      </c>
      <c r="H2603" s="3">
        <v>2</v>
      </c>
      <c r="I2603" s="6">
        <v>2003</v>
      </c>
      <c r="J2603" s="2" t="s">
        <v>22</v>
      </c>
      <c r="K2603" s="2" t="s">
        <v>43</v>
      </c>
      <c r="L2603" s="7">
        <f t="shared" si="120"/>
        <v>2400</v>
      </c>
      <c r="M2603" s="2" t="str">
        <f t="shared" si="121"/>
        <v>April</v>
      </c>
      <c r="N2603" s="6">
        <f t="shared" si="122"/>
        <v>2003</v>
      </c>
    </row>
    <row r="2604" spans="1:14">
      <c r="A2604" s="2" t="s">
        <v>69</v>
      </c>
      <c r="B2604" s="3">
        <v>10133</v>
      </c>
      <c r="C2604" s="3">
        <v>27</v>
      </c>
      <c r="D2604" s="13">
        <v>99.67</v>
      </c>
      <c r="E2604" s="5">
        <v>37799</v>
      </c>
      <c r="F2604" s="2" t="s">
        <v>13</v>
      </c>
      <c r="G2604" s="2" t="s">
        <v>207</v>
      </c>
      <c r="H2604" s="3">
        <v>2</v>
      </c>
      <c r="I2604" s="6">
        <v>2003</v>
      </c>
      <c r="J2604" s="2" t="s">
        <v>15</v>
      </c>
      <c r="K2604" s="2" t="s">
        <v>71</v>
      </c>
      <c r="L2604" s="7">
        <f t="shared" si="120"/>
        <v>2691.09</v>
      </c>
      <c r="M2604" s="2" t="str">
        <f t="shared" si="121"/>
        <v>June</v>
      </c>
      <c r="N2604" s="6">
        <f t="shared" si="122"/>
        <v>2003</v>
      </c>
    </row>
    <row r="2605" spans="1:14">
      <c r="A2605" s="2" t="s">
        <v>25</v>
      </c>
      <c r="B2605" s="3">
        <v>10145</v>
      </c>
      <c r="C2605" s="3">
        <v>20</v>
      </c>
      <c r="D2605" s="13">
        <v>100</v>
      </c>
      <c r="E2605" s="5">
        <v>37858</v>
      </c>
      <c r="F2605" s="2" t="s">
        <v>13</v>
      </c>
      <c r="G2605" s="2" t="s">
        <v>207</v>
      </c>
      <c r="H2605" s="3">
        <v>3</v>
      </c>
      <c r="I2605" s="6">
        <v>2003</v>
      </c>
      <c r="J2605" s="2" t="s">
        <v>15</v>
      </c>
      <c r="K2605" s="2" t="s">
        <v>26</v>
      </c>
      <c r="L2605" s="7">
        <f t="shared" si="120"/>
        <v>2000</v>
      </c>
      <c r="M2605" s="2" t="str">
        <f t="shared" si="121"/>
        <v>August</v>
      </c>
      <c r="N2605" s="6">
        <f t="shared" si="122"/>
        <v>2003</v>
      </c>
    </row>
    <row r="2606" spans="1:14">
      <c r="A2606" s="2" t="s">
        <v>31</v>
      </c>
      <c r="B2606" s="3">
        <v>10168</v>
      </c>
      <c r="C2606" s="3">
        <v>36</v>
      </c>
      <c r="D2606" s="13">
        <v>100</v>
      </c>
      <c r="E2606" s="5">
        <v>37922</v>
      </c>
      <c r="F2606" s="2" t="s">
        <v>13</v>
      </c>
      <c r="G2606" s="2" t="s">
        <v>207</v>
      </c>
      <c r="H2606" s="3">
        <v>4</v>
      </c>
      <c r="I2606" s="6">
        <v>2003</v>
      </c>
      <c r="J2606" s="2" t="s">
        <v>22</v>
      </c>
      <c r="K2606" s="2" t="s">
        <v>32</v>
      </c>
      <c r="L2606" s="7">
        <f t="shared" si="120"/>
        <v>3600</v>
      </c>
      <c r="M2606" s="2" t="str">
        <f t="shared" si="121"/>
        <v>October</v>
      </c>
      <c r="N2606" s="6">
        <f t="shared" si="122"/>
        <v>2003</v>
      </c>
    </row>
    <row r="2607" spans="1:14">
      <c r="A2607" s="2" t="s">
        <v>36</v>
      </c>
      <c r="B2607" s="3">
        <v>10188</v>
      </c>
      <c r="C2607" s="3">
        <v>29</v>
      </c>
      <c r="D2607" s="13">
        <v>100</v>
      </c>
      <c r="E2607" s="5">
        <v>37943</v>
      </c>
      <c r="F2607" s="2" t="s">
        <v>13</v>
      </c>
      <c r="G2607" s="2" t="s">
        <v>207</v>
      </c>
      <c r="H2607" s="3">
        <v>4</v>
      </c>
      <c r="I2607" s="6">
        <v>2003</v>
      </c>
      <c r="J2607" s="2" t="s">
        <v>22</v>
      </c>
      <c r="K2607" s="2" t="s">
        <v>37</v>
      </c>
      <c r="L2607" s="7">
        <f t="shared" si="120"/>
        <v>2900</v>
      </c>
      <c r="M2607" s="2" t="str">
        <f t="shared" si="121"/>
        <v>November</v>
      </c>
      <c r="N2607" s="6">
        <f t="shared" si="122"/>
        <v>2003</v>
      </c>
    </row>
    <row r="2608" spans="1:14">
      <c r="A2608" s="2" t="s">
        <v>114</v>
      </c>
      <c r="B2608" s="3">
        <v>10210</v>
      </c>
      <c r="C2608" s="3">
        <v>25</v>
      </c>
      <c r="D2608" s="13">
        <v>100</v>
      </c>
      <c r="E2608" s="5">
        <v>37998</v>
      </c>
      <c r="F2608" s="2" t="s">
        <v>13</v>
      </c>
      <c r="G2608" s="2" t="s">
        <v>207</v>
      </c>
      <c r="H2608" s="3">
        <v>1</v>
      </c>
      <c r="I2608" s="6">
        <v>2004</v>
      </c>
      <c r="J2608" s="2" t="s">
        <v>15</v>
      </c>
      <c r="K2608" s="2" t="s">
        <v>115</v>
      </c>
      <c r="L2608" s="7">
        <f t="shared" si="120"/>
        <v>2500</v>
      </c>
      <c r="M2608" s="2" t="str">
        <f t="shared" si="121"/>
        <v>January</v>
      </c>
      <c r="N2608" s="6">
        <f t="shared" si="122"/>
        <v>2004</v>
      </c>
    </row>
    <row r="2609" spans="1:14">
      <c r="A2609" s="2" t="s">
        <v>42</v>
      </c>
      <c r="B2609" s="3">
        <v>10223</v>
      </c>
      <c r="C2609" s="3">
        <v>29</v>
      </c>
      <c r="D2609" s="13">
        <v>100</v>
      </c>
      <c r="E2609" s="5">
        <v>38037</v>
      </c>
      <c r="F2609" s="2" t="s">
        <v>13</v>
      </c>
      <c r="G2609" s="2" t="s">
        <v>207</v>
      </c>
      <c r="H2609" s="3">
        <v>1</v>
      </c>
      <c r="I2609" s="6">
        <v>2004</v>
      </c>
      <c r="J2609" s="2" t="s">
        <v>22</v>
      </c>
      <c r="K2609" s="2" t="s">
        <v>43</v>
      </c>
      <c r="L2609" s="7">
        <f t="shared" si="120"/>
        <v>2900</v>
      </c>
      <c r="M2609" s="2" t="str">
        <f t="shared" si="121"/>
        <v>February</v>
      </c>
      <c r="N2609" s="6">
        <f t="shared" si="122"/>
        <v>2004</v>
      </c>
    </row>
    <row r="2610" spans="1:14">
      <c r="A2610" s="2" t="s">
        <v>141</v>
      </c>
      <c r="B2610" s="3">
        <v>10235</v>
      </c>
      <c r="C2610" s="3">
        <v>25</v>
      </c>
      <c r="D2610" s="13">
        <v>96.11</v>
      </c>
      <c r="E2610" s="5">
        <v>38079</v>
      </c>
      <c r="F2610" s="2" t="s">
        <v>13</v>
      </c>
      <c r="G2610" s="2" t="s">
        <v>207</v>
      </c>
      <c r="H2610" s="3">
        <v>2</v>
      </c>
      <c r="I2610" s="6">
        <v>2004</v>
      </c>
      <c r="J2610" s="2" t="s">
        <v>15</v>
      </c>
      <c r="K2610" s="2" t="s">
        <v>142</v>
      </c>
      <c r="L2610" s="7">
        <f t="shared" si="120"/>
        <v>2402.75</v>
      </c>
      <c r="M2610" s="2" t="str">
        <f t="shared" si="121"/>
        <v>April</v>
      </c>
      <c r="N2610" s="6">
        <f t="shared" si="122"/>
        <v>2004</v>
      </c>
    </row>
    <row r="2611" spans="1:14">
      <c r="A2611" s="2" t="s">
        <v>149</v>
      </c>
      <c r="B2611" s="3">
        <v>10250</v>
      </c>
      <c r="C2611" s="3">
        <v>44</v>
      </c>
      <c r="D2611" s="13">
        <v>100</v>
      </c>
      <c r="E2611" s="5">
        <v>38118</v>
      </c>
      <c r="F2611" s="2" t="s">
        <v>13</v>
      </c>
      <c r="G2611" s="2" t="s">
        <v>207</v>
      </c>
      <c r="H2611" s="3">
        <v>2</v>
      </c>
      <c r="I2611" s="6">
        <v>2004</v>
      </c>
      <c r="J2611" s="2" t="s">
        <v>22</v>
      </c>
      <c r="K2611" s="2" t="s">
        <v>150</v>
      </c>
      <c r="L2611" s="7">
        <f t="shared" si="120"/>
        <v>4400</v>
      </c>
      <c r="M2611" s="2" t="str">
        <f t="shared" si="121"/>
        <v>May</v>
      </c>
      <c r="N2611" s="6">
        <f t="shared" si="122"/>
        <v>2004</v>
      </c>
    </row>
    <row r="2612" spans="1:14">
      <c r="A2612" s="2" t="s">
        <v>48</v>
      </c>
      <c r="B2612" s="3">
        <v>10263</v>
      </c>
      <c r="C2612" s="3">
        <v>47</v>
      </c>
      <c r="D2612" s="13">
        <v>100</v>
      </c>
      <c r="E2612" s="5">
        <v>38166</v>
      </c>
      <c r="F2612" s="2" t="s">
        <v>13</v>
      </c>
      <c r="G2612" s="2" t="s">
        <v>207</v>
      </c>
      <c r="H2612" s="3">
        <v>2</v>
      </c>
      <c r="I2612" s="6">
        <v>2004</v>
      </c>
      <c r="J2612" s="2" t="s">
        <v>22</v>
      </c>
      <c r="K2612" s="2" t="s">
        <v>49</v>
      </c>
      <c r="L2612" s="7">
        <f t="shared" si="120"/>
        <v>4700</v>
      </c>
      <c r="M2612" s="2" t="str">
        <f t="shared" si="121"/>
        <v>June</v>
      </c>
      <c r="N2612" s="6">
        <f t="shared" si="122"/>
        <v>2004</v>
      </c>
    </row>
    <row r="2613" spans="1:14">
      <c r="A2613" s="2" t="s">
        <v>50</v>
      </c>
      <c r="B2613" s="3">
        <v>10275</v>
      </c>
      <c r="C2613" s="3">
        <v>48</v>
      </c>
      <c r="D2613" s="13">
        <v>100</v>
      </c>
      <c r="E2613" s="5">
        <v>38191</v>
      </c>
      <c r="F2613" s="2" t="s">
        <v>13</v>
      </c>
      <c r="G2613" s="2" t="s">
        <v>207</v>
      </c>
      <c r="H2613" s="3">
        <v>3</v>
      </c>
      <c r="I2613" s="6">
        <v>2004</v>
      </c>
      <c r="J2613" s="2" t="s">
        <v>22</v>
      </c>
      <c r="K2613" s="2" t="s">
        <v>51</v>
      </c>
      <c r="L2613" s="7">
        <f t="shared" si="120"/>
        <v>4800</v>
      </c>
      <c r="M2613" s="2" t="str">
        <f t="shared" si="121"/>
        <v>July</v>
      </c>
      <c r="N2613" s="6">
        <f t="shared" si="122"/>
        <v>2004</v>
      </c>
    </row>
    <row r="2614" spans="1:14">
      <c r="A2614" s="2" t="s">
        <v>52</v>
      </c>
      <c r="B2614" s="3">
        <v>10285</v>
      </c>
      <c r="C2614" s="3">
        <v>45</v>
      </c>
      <c r="D2614" s="13">
        <v>100</v>
      </c>
      <c r="E2614" s="5">
        <v>38226</v>
      </c>
      <c r="F2614" s="2" t="s">
        <v>13</v>
      </c>
      <c r="G2614" s="2" t="s">
        <v>207</v>
      </c>
      <c r="H2614" s="3">
        <v>3</v>
      </c>
      <c r="I2614" s="6">
        <v>2004</v>
      </c>
      <c r="J2614" s="2" t="s">
        <v>22</v>
      </c>
      <c r="K2614" s="2" t="s">
        <v>53</v>
      </c>
      <c r="L2614" s="7">
        <f t="shared" si="120"/>
        <v>4500</v>
      </c>
      <c r="M2614" s="2" t="str">
        <f t="shared" si="121"/>
        <v>August</v>
      </c>
      <c r="N2614" s="6">
        <f t="shared" si="122"/>
        <v>2004</v>
      </c>
    </row>
    <row r="2615" spans="1:14">
      <c r="A2615" s="2" t="s">
        <v>179</v>
      </c>
      <c r="B2615" s="3">
        <v>10297</v>
      </c>
      <c r="C2615" s="3">
        <v>35</v>
      </c>
      <c r="D2615" s="13">
        <v>100</v>
      </c>
      <c r="E2615" s="5">
        <v>38246</v>
      </c>
      <c r="F2615" s="2" t="s">
        <v>13</v>
      </c>
      <c r="G2615" s="2" t="s">
        <v>207</v>
      </c>
      <c r="H2615" s="3">
        <v>3</v>
      </c>
      <c r="I2615" s="6">
        <v>2004</v>
      </c>
      <c r="J2615" s="2" t="s">
        <v>22</v>
      </c>
      <c r="K2615" s="2" t="s">
        <v>180</v>
      </c>
      <c r="L2615" s="7">
        <f t="shared" si="120"/>
        <v>3500</v>
      </c>
      <c r="M2615" s="2" t="str">
        <f t="shared" si="121"/>
        <v>September</v>
      </c>
      <c r="N2615" s="6">
        <f t="shared" si="122"/>
        <v>2004</v>
      </c>
    </row>
    <row r="2616" spans="1:14">
      <c r="A2616" s="2" t="s">
        <v>58</v>
      </c>
      <c r="B2616" s="3">
        <v>10318</v>
      </c>
      <c r="C2616" s="3">
        <v>50</v>
      </c>
      <c r="D2616" s="13">
        <v>100</v>
      </c>
      <c r="E2616" s="5">
        <v>38293</v>
      </c>
      <c r="F2616" s="2" t="s">
        <v>13</v>
      </c>
      <c r="G2616" s="2" t="s">
        <v>207</v>
      </c>
      <c r="H2616" s="3">
        <v>4</v>
      </c>
      <c r="I2616" s="6">
        <v>2004</v>
      </c>
      <c r="J2616" s="2" t="s">
        <v>61</v>
      </c>
      <c r="K2616" s="2" t="s">
        <v>59</v>
      </c>
      <c r="L2616" s="7">
        <f t="shared" si="120"/>
        <v>5000</v>
      </c>
      <c r="M2616" s="2" t="str">
        <f t="shared" si="121"/>
        <v>November</v>
      </c>
      <c r="N2616" s="6">
        <f t="shared" si="122"/>
        <v>2004</v>
      </c>
    </row>
    <row r="2617" spans="1:14">
      <c r="A2617" s="2" t="s">
        <v>203</v>
      </c>
      <c r="B2617" s="3">
        <v>10328</v>
      </c>
      <c r="C2617" s="3">
        <v>33</v>
      </c>
      <c r="D2617" s="13">
        <v>100</v>
      </c>
      <c r="E2617" s="5">
        <v>38303</v>
      </c>
      <c r="F2617" s="2" t="s">
        <v>13</v>
      </c>
      <c r="G2617" s="2" t="s">
        <v>207</v>
      </c>
      <c r="H2617" s="3">
        <v>4</v>
      </c>
      <c r="I2617" s="6">
        <v>2004</v>
      </c>
      <c r="J2617" s="2" t="s">
        <v>22</v>
      </c>
      <c r="K2617" s="2" t="s">
        <v>204</v>
      </c>
      <c r="L2617" s="7">
        <f t="shared" si="120"/>
        <v>3300</v>
      </c>
      <c r="M2617" s="2" t="str">
        <f t="shared" si="121"/>
        <v>November</v>
      </c>
      <c r="N2617" s="6">
        <f t="shared" si="122"/>
        <v>2004</v>
      </c>
    </row>
    <row r="2618" spans="1:14">
      <c r="A2618" s="2" t="s">
        <v>133</v>
      </c>
      <c r="B2618" s="3">
        <v>10340</v>
      </c>
      <c r="C2618" s="3">
        <v>29</v>
      </c>
      <c r="D2618" s="13">
        <v>100</v>
      </c>
      <c r="E2618" s="5">
        <v>38315</v>
      </c>
      <c r="F2618" s="2" t="s">
        <v>13</v>
      </c>
      <c r="G2618" s="2" t="s">
        <v>207</v>
      </c>
      <c r="H2618" s="3">
        <v>4</v>
      </c>
      <c r="I2618" s="6">
        <v>2004</v>
      </c>
      <c r="J2618" s="2" t="s">
        <v>22</v>
      </c>
      <c r="K2618" s="2" t="s">
        <v>134</v>
      </c>
      <c r="L2618" s="7">
        <f t="shared" si="120"/>
        <v>2900</v>
      </c>
      <c r="M2618" s="2" t="str">
        <f t="shared" si="121"/>
        <v>November</v>
      </c>
      <c r="N2618" s="6">
        <f t="shared" si="122"/>
        <v>2004</v>
      </c>
    </row>
    <row r="2619" spans="1:14">
      <c r="A2619" s="2" t="s">
        <v>208</v>
      </c>
      <c r="B2619" s="3">
        <v>10353</v>
      </c>
      <c r="C2619" s="3">
        <v>48</v>
      </c>
      <c r="D2619" s="13">
        <v>68.8</v>
      </c>
      <c r="E2619" s="5">
        <v>38325</v>
      </c>
      <c r="F2619" s="2" t="s">
        <v>13</v>
      </c>
      <c r="G2619" s="2" t="s">
        <v>207</v>
      </c>
      <c r="H2619" s="3">
        <v>4</v>
      </c>
      <c r="I2619" s="6">
        <v>2004</v>
      </c>
      <c r="J2619" s="2" t="s">
        <v>22</v>
      </c>
      <c r="K2619" s="2" t="s">
        <v>209</v>
      </c>
      <c r="L2619" s="7">
        <f t="shared" si="120"/>
        <v>3302.4</v>
      </c>
      <c r="M2619" s="2" t="str">
        <f t="shared" si="121"/>
        <v>December</v>
      </c>
      <c r="N2619" s="6">
        <f t="shared" si="122"/>
        <v>2004</v>
      </c>
    </row>
    <row r="2620" spans="1:14">
      <c r="A2620" s="2" t="s">
        <v>63</v>
      </c>
      <c r="B2620" s="3">
        <v>10361</v>
      </c>
      <c r="C2620" s="3">
        <v>44</v>
      </c>
      <c r="D2620" s="13">
        <v>72.42</v>
      </c>
      <c r="E2620" s="5">
        <v>38338</v>
      </c>
      <c r="F2620" s="2" t="s">
        <v>13</v>
      </c>
      <c r="G2620" s="2" t="s">
        <v>207</v>
      </c>
      <c r="H2620" s="3">
        <v>4</v>
      </c>
      <c r="I2620" s="6">
        <v>2004</v>
      </c>
      <c r="J2620" s="2" t="s">
        <v>22</v>
      </c>
      <c r="K2620" s="2" t="s">
        <v>64</v>
      </c>
      <c r="L2620" s="7">
        <f t="shared" si="120"/>
        <v>3186.48</v>
      </c>
      <c r="M2620" s="2" t="str">
        <f t="shared" si="121"/>
        <v>December</v>
      </c>
      <c r="N2620" s="6">
        <f t="shared" si="122"/>
        <v>2004</v>
      </c>
    </row>
    <row r="2621" spans="1:14">
      <c r="A2621" s="2" t="s">
        <v>50</v>
      </c>
      <c r="B2621" s="3">
        <v>10375</v>
      </c>
      <c r="C2621" s="3">
        <v>25</v>
      </c>
      <c r="D2621" s="13">
        <v>66.73</v>
      </c>
      <c r="E2621" s="5">
        <v>38386</v>
      </c>
      <c r="F2621" s="2" t="s">
        <v>13</v>
      </c>
      <c r="G2621" s="2" t="s">
        <v>207</v>
      </c>
      <c r="H2621" s="3">
        <v>1</v>
      </c>
      <c r="I2621" s="6">
        <v>2005</v>
      </c>
      <c r="J2621" s="2" t="s">
        <v>15</v>
      </c>
      <c r="K2621" s="2" t="s">
        <v>51</v>
      </c>
      <c r="L2621" s="7">
        <f t="shared" si="120"/>
        <v>1668.25</v>
      </c>
      <c r="M2621" s="2" t="str">
        <f t="shared" si="121"/>
        <v>February</v>
      </c>
      <c r="N2621" s="6">
        <f t="shared" si="122"/>
        <v>2005</v>
      </c>
    </row>
    <row r="2622" spans="1:14">
      <c r="A2622" s="2" t="s">
        <v>65</v>
      </c>
      <c r="B2622" s="3">
        <v>10388</v>
      </c>
      <c r="C2622" s="3">
        <v>50</v>
      </c>
      <c r="D2622" s="13">
        <v>100</v>
      </c>
      <c r="E2622" s="5">
        <v>38414</v>
      </c>
      <c r="F2622" s="2" t="s">
        <v>13</v>
      </c>
      <c r="G2622" s="2" t="s">
        <v>207</v>
      </c>
      <c r="H2622" s="3">
        <v>1</v>
      </c>
      <c r="I2622" s="6">
        <v>2005</v>
      </c>
      <c r="J2622" s="2" t="s">
        <v>61</v>
      </c>
      <c r="K2622" s="2" t="s">
        <v>66</v>
      </c>
      <c r="L2622" s="7">
        <f t="shared" si="120"/>
        <v>5000</v>
      </c>
      <c r="M2622" s="2" t="str">
        <f t="shared" si="121"/>
        <v>March</v>
      </c>
      <c r="N2622" s="6">
        <f t="shared" si="122"/>
        <v>2005</v>
      </c>
    </row>
    <row r="2623" spans="1:14">
      <c r="A2623" s="2" t="s">
        <v>18</v>
      </c>
      <c r="B2623" s="3">
        <v>10398</v>
      </c>
      <c r="C2623" s="3">
        <v>23</v>
      </c>
      <c r="D2623" s="13">
        <v>100</v>
      </c>
      <c r="E2623" s="5">
        <v>38441</v>
      </c>
      <c r="F2623" s="2" t="s">
        <v>13</v>
      </c>
      <c r="G2623" s="2" t="s">
        <v>207</v>
      </c>
      <c r="H2623" s="3">
        <v>1</v>
      </c>
      <c r="I2623" s="6">
        <v>2005</v>
      </c>
      <c r="J2623" s="2" t="s">
        <v>15</v>
      </c>
      <c r="K2623" s="2" t="s">
        <v>19</v>
      </c>
      <c r="L2623" s="7">
        <f t="shared" si="120"/>
        <v>2300</v>
      </c>
      <c r="M2623" s="2" t="str">
        <f t="shared" si="121"/>
        <v>March</v>
      </c>
      <c r="N2623" s="6">
        <f t="shared" si="122"/>
        <v>2005</v>
      </c>
    </row>
    <row r="2624" spans="1:14">
      <c r="A2624" s="2" t="s">
        <v>46</v>
      </c>
      <c r="B2624" s="3">
        <v>10401</v>
      </c>
      <c r="C2624" s="3">
        <v>21</v>
      </c>
      <c r="D2624" s="13">
        <v>96.11</v>
      </c>
      <c r="E2624" s="5">
        <v>38445</v>
      </c>
      <c r="F2624" s="2" t="s">
        <v>151</v>
      </c>
      <c r="G2624" s="2" t="s">
        <v>207</v>
      </c>
      <c r="H2624" s="3">
        <v>2</v>
      </c>
      <c r="I2624" s="6">
        <v>2005</v>
      </c>
      <c r="J2624" s="2" t="s">
        <v>15</v>
      </c>
      <c r="K2624" s="2" t="s">
        <v>47</v>
      </c>
      <c r="L2624" s="7">
        <f t="shared" si="120"/>
        <v>2018.31</v>
      </c>
      <c r="M2624" s="2" t="str">
        <f t="shared" si="121"/>
        <v>April</v>
      </c>
      <c r="N2624" s="6">
        <f t="shared" si="122"/>
        <v>2005</v>
      </c>
    </row>
    <row r="2625" spans="1:14">
      <c r="A2625" s="2" t="s">
        <v>169</v>
      </c>
      <c r="B2625" s="3">
        <v>10416</v>
      </c>
      <c r="C2625" s="3">
        <v>41</v>
      </c>
      <c r="D2625" s="13">
        <v>100</v>
      </c>
      <c r="E2625" s="5">
        <v>38482</v>
      </c>
      <c r="F2625" s="2" t="s">
        <v>13</v>
      </c>
      <c r="G2625" s="2" t="s">
        <v>207</v>
      </c>
      <c r="H2625" s="3">
        <v>2</v>
      </c>
      <c r="I2625" s="6">
        <v>2005</v>
      </c>
      <c r="J2625" s="2" t="s">
        <v>22</v>
      </c>
      <c r="K2625" s="2" t="s">
        <v>170</v>
      </c>
      <c r="L2625" s="7">
        <f t="shared" si="120"/>
        <v>4100</v>
      </c>
      <c r="M2625" s="2" t="str">
        <f t="shared" si="121"/>
        <v>May</v>
      </c>
      <c r="N2625" s="6">
        <f t="shared" si="122"/>
        <v>2005</v>
      </c>
    </row>
    <row r="2626" spans="1:14">
      <c r="A2626" s="2" t="s">
        <v>203</v>
      </c>
      <c r="B2626" s="3">
        <v>10106</v>
      </c>
      <c r="C2626" s="3">
        <v>44</v>
      </c>
      <c r="D2626" s="13">
        <v>74.4</v>
      </c>
      <c r="E2626" s="5">
        <v>37669</v>
      </c>
      <c r="F2626" s="2" t="s">
        <v>13</v>
      </c>
      <c r="G2626" s="2" t="s">
        <v>207</v>
      </c>
      <c r="H2626" s="3">
        <v>1</v>
      </c>
      <c r="I2626" s="6">
        <v>2003</v>
      </c>
      <c r="J2626" s="2" t="s">
        <v>22</v>
      </c>
      <c r="K2626" s="2" t="s">
        <v>204</v>
      </c>
      <c r="L2626" s="7">
        <f t="shared" ref="L2626:L2689" si="123">PRODUCT(C2626,D2626)</f>
        <v>3273.6</v>
      </c>
      <c r="M2626" s="2" t="str">
        <f t="shared" ref="M2626:M2689" si="124">TEXT(E2626,"MMMM")</f>
        <v>February</v>
      </c>
      <c r="N2626" s="6">
        <f t="shared" ref="N2626:N2689" si="125">YEAR(E2626)</f>
        <v>2003</v>
      </c>
    </row>
    <row r="2627" spans="1:14">
      <c r="A2627" s="2" t="s">
        <v>42</v>
      </c>
      <c r="B2627" s="3">
        <v>10120</v>
      </c>
      <c r="C2627" s="3">
        <v>43</v>
      </c>
      <c r="D2627" s="13">
        <v>76</v>
      </c>
      <c r="E2627" s="5">
        <v>37740</v>
      </c>
      <c r="F2627" s="2" t="s">
        <v>13</v>
      </c>
      <c r="G2627" s="2" t="s">
        <v>207</v>
      </c>
      <c r="H2627" s="3">
        <v>2</v>
      </c>
      <c r="I2627" s="6">
        <v>2003</v>
      </c>
      <c r="J2627" s="2" t="s">
        <v>22</v>
      </c>
      <c r="K2627" s="2" t="s">
        <v>43</v>
      </c>
      <c r="L2627" s="7">
        <f t="shared" si="123"/>
        <v>3268</v>
      </c>
      <c r="M2627" s="2" t="str">
        <f t="shared" si="124"/>
        <v>April</v>
      </c>
      <c r="N2627" s="6">
        <f t="shared" si="125"/>
        <v>2003</v>
      </c>
    </row>
    <row r="2628" spans="1:14">
      <c r="A2628" s="2" t="s">
        <v>126</v>
      </c>
      <c r="B2628" s="3">
        <v>10143</v>
      </c>
      <c r="C2628" s="3">
        <v>28</v>
      </c>
      <c r="D2628" s="13">
        <v>96</v>
      </c>
      <c r="E2628" s="5">
        <v>37843</v>
      </c>
      <c r="F2628" s="2" t="s">
        <v>13</v>
      </c>
      <c r="G2628" s="2" t="s">
        <v>207</v>
      </c>
      <c r="H2628" s="3">
        <v>3</v>
      </c>
      <c r="I2628" s="6">
        <v>2003</v>
      </c>
      <c r="J2628" s="2" t="s">
        <v>15</v>
      </c>
      <c r="K2628" s="2" t="s">
        <v>127</v>
      </c>
      <c r="L2628" s="7">
        <f t="shared" si="123"/>
        <v>2688</v>
      </c>
      <c r="M2628" s="2" t="str">
        <f t="shared" si="124"/>
        <v>August</v>
      </c>
      <c r="N2628" s="6">
        <f t="shared" si="125"/>
        <v>2003</v>
      </c>
    </row>
    <row r="2629" spans="1:14">
      <c r="A2629" s="2" t="s">
        <v>54</v>
      </c>
      <c r="B2629" s="3">
        <v>10155</v>
      </c>
      <c r="C2629" s="3">
        <v>43</v>
      </c>
      <c r="D2629" s="13">
        <v>86.4</v>
      </c>
      <c r="E2629" s="5">
        <v>37900</v>
      </c>
      <c r="F2629" s="2" t="s">
        <v>13</v>
      </c>
      <c r="G2629" s="2" t="s">
        <v>207</v>
      </c>
      <c r="H2629" s="3">
        <v>4</v>
      </c>
      <c r="I2629" s="6">
        <v>2003</v>
      </c>
      <c r="J2629" s="2" t="s">
        <v>22</v>
      </c>
      <c r="K2629" s="2" t="s">
        <v>55</v>
      </c>
      <c r="L2629" s="7">
        <f t="shared" si="123"/>
        <v>3715.2</v>
      </c>
      <c r="M2629" s="2" t="str">
        <f t="shared" si="124"/>
        <v>October</v>
      </c>
      <c r="N2629" s="6">
        <f t="shared" si="125"/>
        <v>2003</v>
      </c>
    </row>
    <row r="2630" spans="1:14">
      <c r="A2630" s="2" t="s">
        <v>31</v>
      </c>
      <c r="B2630" s="3">
        <v>10168</v>
      </c>
      <c r="C2630" s="3">
        <v>48</v>
      </c>
      <c r="D2630" s="13">
        <v>96</v>
      </c>
      <c r="E2630" s="5">
        <v>37922</v>
      </c>
      <c r="F2630" s="2" t="s">
        <v>13</v>
      </c>
      <c r="G2630" s="2" t="s">
        <v>207</v>
      </c>
      <c r="H2630" s="3">
        <v>4</v>
      </c>
      <c r="I2630" s="6">
        <v>2003</v>
      </c>
      <c r="J2630" s="2" t="s">
        <v>22</v>
      </c>
      <c r="K2630" s="2" t="s">
        <v>32</v>
      </c>
      <c r="L2630" s="7">
        <f t="shared" si="123"/>
        <v>4608</v>
      </c>
      <c r="M2630" s="2" t="str">
        <f t="shared" si="124"/>
        <v>October</v>
      </c>
      <c r="N2630" s="6">
        <f t="shared" si="125"/>
        <v>2003</v>
      </c>
    </row>
    <row r="2631" spans="1:14">
      <c r="A2631" s="2" t="s">
        <v>89</v>
      </c>
      <c r="B2631" s="3">
        <v>10199</v>
      </c>
      <c r="C2631" s="3">
        <v>38</v>
      </c>
      <c r="D2631" s="13">
        <v>82.4</v>
      </c>
      <c r="E2631" s="5">
        <v>37956</v>
      </c>
      <c r="F2631" s="2" t="s">
        <v>13</v>
      </c>
      <c r="G2631" s="2" t="s">
        <v>207</v>
      </c>
      <c r="H2631" s="3">
        <v>4</v>
      </c>
      <c r="I2631" s="6">
        <v>2003</v>
      </c>
      <c r="J2631" s="2" t="s">
        <v>22</v>
      </c>
      <c r="K2631" s="2" t="s">
        <v>90</v>
      </c>
      <c r="L2631" s="7">
        <f t="shared" si="123"/>
        <v>3131.2</v>
      </c>
      <c r="M2631" s="2" t="str">
        <f t="shared" si="124"/>
        <v>December</v>
      </c>
      <c r="N2631" s="6">
        <f t="shared" si="125"/>
        <v>2003</v>
      </c>
    </row>
    <row r="2632" spans="1:14">
      <c r="A2632" s="2" t="s">
        <v>114</v>
      </c>
      <c r="B2632" s="3">
        <v>10210</v>
      </c>
      <c r="C2632" s="3">
        <v>31</v>
      </c>
      <c r="D2632" s="13">
        <v>86.4</v>
      </c>
      <c r="E2632" s="5">
        <v>37998</v>
      </c>
      <c r="F2632" s="2" t="s">
        <v>13</v>
      </c>
      <c r="G2632" s="2" t="s">
        <v>207</v>
      </c>
      <c r="H2632" s="3">
        <v>1</v>
      </c>
      <c r="I2632" s="6">
        <v>2004</v>
      </c>
      <c r="J2632" s="2" t="s">
        <v>15</v>
      </c>
      <c r="K2632" s="2" t="s">
        <v>115</v>
      </c>
      <c r="L2632" s="7">
        <f t="shared" si="123"/>
        <v>2678.4</v>
      </c>
      <c r="M2632" s="2" t="str">
        <f t="shared" si="124"/>
        <v>January</v>
      </c>
      <c r="N2632" s="6">
        <f t="shared" si="125"/>
        <v>2004</v>
      </c>
    </row>
    <row r="2633" spans="1:14">
      <c r="A2633" s="2" t="s">
        <v>42</v>
      </c>
      <c r="B2633" s="3">
        <v>10223</v>
      </c>
      <c r="C2633" s="3">
        <v>26</v>
      </c>
      <c r="D2633" s="13">
        <v>67.2</v>
      </c>
      <c r="E2633" s="5">
        <v>38037</v>
      </c>
      <c r="F2633" s="2" t="s">
        <v>13</v>
      </c>
      <c r="G2633" s="2" t="s">
        <v>207</v>
      </c>
      <c r="H2633" s="3">
        <v>1</v>
      </c>
      <c r="I2633" s="6">
        <v>2004</v>
      </c>
      <c r="J2633" s="2" t="s">
        <v>15</v>
      </c>
      <c r="K2633" s="2" t="s">
        <v>43</v>
      </c>
      <c r="L2633" s="7">
        <f t="shared" si="123"/>
        <v>1747.2</v>
      </c>
      <c r="M2633" s="2" t="str">
        <f t="shared" si="124"/>
        <v>February</v>
      </c>
      <c r="N2633" s="6">
        <f t="shared" si="125"/>
        <v>2004</v>
      </c>
    </row>
    <row r="2634" spans="1:14">
      <c r="A2634" s="2" t="s">
        <v>141</v>
      </c>
      <c r="B2634" s="3">
        <v>10235</v>
      </c>
      <c r="C2634" s="3">
        <v>32</v>
      </c>
      <c r="D2634" s="13">
        <v>92</v>
      </c>
      <c r="E2634" s="5">
        <v>38079</v>
      </c>
      <c r="F2634" s="2" t="s">
        <v>13</v>
      </c>
      <c r="G2634" s="2" t="s">
        <v>207</v>
      </c>
      <c r="H2634" s="3">
        <v>2</v>
      </c>
      <c r="I2634" s="6">
        <v>2004</v>
      </c>
      <c r="J2634" s="2" t="s">
        <v>15</v>
      </c>
      <c r="K2634" s="2" t="s">
        <v>142</v>
      </c>
      <c r="L2634" s="7">
        <f t="shared" si="123"/>
        <v>2944</v>
      </c>
      <c r="M2634" s="2" t="str">
        <f t="shared" si="124"/>
        <v>April</v>
      </c>
      <c r="N2634" s="6">
        <f t="shared" si="125"/>
        <v>2004</v>
      </c>
    </row>
    <row r="2635" spans="1:14">
      <c r="A2635" s="2" t="s">
        <v>149</v>
      </c>
      <c r="B2635" s="3">
        <v>10250</v>
      </c>
      <c r="C2635" s="3">
        <v>44</v>
      </c>
      <c r="D2635" s="13">
        <v>67.2</v>
      </c>
      <c r="E2635" s="5">
        <v>38118</v>
      </c>
      <c r="F2635" s="2" t="s">
        <v>13</v>
      </c>
      <c r="G2635" s="2" t="s">
        <v>207</v>
      </c>
      <c r="H2635" s="3">
        <v>2</v>
      </c>
      <c r="I2635" s="6">
        <v>2004</v>
      </c>
      <c r="J2635" s="2" t="s">
        <v>15</v>
      </c>
      <c r="K2635" s="2" t="s">
        <v>150</v>
      </c>
      <c r="L2635" s="7">
        <f t="shared" si="123"/>
        <v>2956.8</v>
      </c>
      <c r="M2635" s="2" t="str">
        <f t="shared" si="124"/>
        <v>May</v>
      </c>
      <c r="N2635" s="6">
        <f t="shared" si="125"/>
        <v>2004</v>
      </c>
    </row>
    <row r="2636" spans="1:14">
      <c r="A2636" s="2" t="s">
        <v>69</v>
      </c>
      <c r="B2636" s="3">
        <v>10262</v>
      </c>
      <c r="C2636" s="3">
        <v>27</v>
      </c>
      <c r="D2636" s="13">
        <v>76</v>
      </c>
      <c r="E2636" s="5">
        <v>38162</v>
      </c>
      <c r="F2636" s="2" t="s">
        <v>128</v>
      </c>
      <c r="G2636" s="2" t="s">
        <v>207</v>
      </c>
      <c r="H2636" s="3">
        <v>2</v>
      </c>
      <c r="I2636" s="6">
        <v>2004</v>
      </c>
      <c r="J2636" s="2" t="s">
        <v>15</v>
      </c>
      <c r="K2636" s="2" t="s">
        <v>71</v>
      </c>
      <c r="L2636" s="7">
        <f t="shared" si="123"/>
        <v>2052</v>
      </c>
      <c r="M2636" s="2" t="str">
        <f t="shared" si="124"/>
        <v>June</v>
      </c>
      <c r="N2636" s="6">
        <f t="shared" si="125"/>
        <v>2004</v>
      </c>
    </row>
    <row r="2637" spans="1:14">
      <c r="A2637" s="2" t="s">
        <v>50</v>
      </c>
      <c r="B2637" s="3">
        <v>10275</v>
      </c>
      <c r="C2637" s="3">
        <v>43</v>
      </c>
      <c r="D2637" s="13">
        <v>73.6</v>
      </c>
      <c r="E2637" s="5">
        <v>38191</v>
      </c>
      <c r="F2637" s="2" t="s">
        <v>13</v>
      </c>
      <c r="G2637" s="2" t="s">
        <v>207</v>
      </c>
      <c r="H2637" s="3">
        <v>3</v>
      </c>
      <c r="I2637" s="6">
        <v>2004</v>
      </c>
      <c r="J2637" s="2" t="s">
        <v>22</v>
      </c>
      <c r="K2637" s="2" t="s">
        <v>51</v>
      </c>
      <c r="L2637" s="7">
        <f t="shared" si="123"/>
        <v>3164.8</v>
      </c>
      <c r="M2637" s="2" t="str">
        <f t="shared" si="124"/>
        <v>July</v>
      </c>
      <c r="N2637" s="6">
        <f t="shared" si="125"/>
        <v>2004</v>
      </c>
    </row>
    <row r="2638" spans="1:14">
      <c r="A2638" s="2" t="s">
        <v>200</v>
      </c>
      <c r="B2638" s="3">
        <v>10284</v>
      </c>
      <c r="C2638" s="3">
        <v>25</v>
      </c>
      <c r="D2638" s="13">
        <v>69.6</v>
      </c>
      <c r="E2638" s="5">
        <v>38220</v>
      </c>
      <c r="F2638" s="2" t="s">
        <v>13</v>
      </c>
      <c r="G2638" s="2" t="s">
        <v>207</v>
      </c>
      <c r="H2638" s="3">
        <v>3</v>
      </c>
      <c r="I2638" s="6">
        <v>2004</v>
      </c>
      <c r="J2638" s="2" t="s">
        <v>15</v>
      </c>
      <c r="K2638" s="2" t="s">
        <v>201</v>
      </c>
      <c r="L2638" s="7">
        <f t="shared" si="123"/>
        <v>1740</v>
      </c>
      <c r="M2638" s="2" t="str">
        <f t="shared" si="124"/>
        <v>August</v>
      </c>
      <c r="N2638" s="6">
        <f t="shared" si="125"/>
        <v>2004</v>
      </c>
    </row>
    <row r="2639" spans="1:14">
      <c r="A2639" s="2" t="s">
        <v>210</v>
      </c>
      <c r="B2639" s="3">
        <v>10296</v>
      </c>
      <c r="C2639" s="3">
        <v>22</v>
      </c>
      <c r="D2639" s="13">
        <v>80.8</v>
      </c>
      <c r="E2639" s="5">
        <v>38245</v>
      </c>
      <c r="F2639" s="2" t="s">
        <v>13</v>
      </c>
      <c r="G2639" s="2" t="s">
        <v>207</v>
      </c>
      <c r="H2639" s="3">
        <v>3</v>
      </c>
      <c r="I2639" s="6">
        <v>2004</v>
      </c>
      <c r="J2639" s="2" t="s">
        <v>15</v>
      </c>
      <c r="K2639" s="2" t="s">
        <v>211</v>
      </c>
      <c r="L2639" s="7">
        <f t="shared" si="123"/>
        <v>1777.6</v>
      </c>
      <c r="M2639" s="2" t="str">
        <f t="shared" si="124"/>
        <v>September</v>
      </c>
      <c r="N2639" s="6">
        <f t="shared" si="125"/>
        <v>2004</v>
      </c>
    </row>
    <row r="2640" spans="1:14">
      <c r="A2640" s="2" t="s">
        <v>120</v>
      </c>
      <c r="B2640" s="3">
        <v>10308</v>
      </c>
      <c r="C2640" s="3">
        <v>21</v>
      </c>
      <c r="D2640" s="13">
        <v>87.2</v>
      </c>
      <c r="E2640" s="5">
        <v>38275</v>
      </c>
      <c r="F2640" s="2" t="s">
        <v>13</v>
      </c>
      <c r="G2640" s="2" t="s">
        <v>207</v>
      </c>
      <c r="H2640" s="3">
        <v>4</v>
      </c>
      <c r="I2640" s="6">
        <v>2004</v>
      </c>
      <c r="J2640" s="2" t="s">
        <v>15</v>
      </c>
      <c r="K2640" s="2" t="s">
        <v>121</v>
      </c>
      <c r="L2640" s="7">
        <f t="shared" si="123"/>
        <v>1831.2</v>
      </c>
      <c r="M2640" s="2" t="str">
        <f t="shared" si="124"/>
        <v>October</v>
      </c>
      <c r="N2640" s="6">
        <f t="shared" si="125"/>
        <v>2004</v>
      </c>
    </row>
    <row r="2641" spans="1:14">
      <c r="A2641" s="2" t="s">
        <v>145</v>
      </c>
      <c r="B2641" s="3">
        <v>10316</v>
      </c>
      <c r="C2641" s="3">
        <v>48</v>
      </c>
      <c r="D2641" s="13">
        <v>75.2</v>
      </c>
      <c r="E2641" s="5">
        <v>38292</v>
      </c>
      <c r="F2641" s="2" t="s">
        <v>13</v>
      </c>
      <c r="G2641" s="2" t="s">
        <v>207</v>
      </c>
      <c r="H2641" s="3">
        <v>4</v>
      </c>
      <c r="I2641" s="6">
        <v>2004</v>
      </c>
      <c r="J2641" s="2" t="s">
        <v>22</v>
      </c>
      <c r="K2641" s="2" t="s">
        <v>146</v>
      </c>
      <c r="L2641" s="7">
        <f t="shared" si="123"/>
        <v>3609.6</v>
      </c>
      <c r="M2641" s="2" t="str">
        <f t="shared" si="124"/>
        <v>November</v>
      </c>
      <c r="N2641" s="6">
        <f t="shared" si="125"/>
        <v>2004</v>
      </c>
    </row>
    <row r="2642" spans="1:14">
      <c r="A2642" s="2" t="s">
        <v>203</v>
      </c>
      <c r="B2642" s="3">
        <v>10328</v>
      </c>
      <c r="C2642" s="3">
        <v>33</v>
      </c>
      <c r="D2642" s="13">
        <v>64</v>
      </c>
      <c r="E2642" s="5">
        <v>38303</v>
      </c>
      <c r="F2642" s="2" t="s">
        <v>13</v>
      </c>
      <c r="G2642" s="2" t="s">
        <v>207</v>
      </c>
      <c r="H2642" s="3">
        <v>4</v>
      </c>
      <c r="I2642" s="6">
        <v>2004</v>
      </c>
      <c r="J2642" s="2" t="s">
        <v>15</v>
      </c>
      <c r="K2642" s="2" t="s">
        <v>204</v>
      </c>
      <c r="L2642" s="7">
        <f t="shared" si="123"/>
        <v>2112</v>
      </c>
      <c r="M2642" s="2" t="str">
        <f t="shared" si="124"/>
        <v>November</v>
      </c>
      <c r="N2642" s="6">
        <f t="shared" si="125"/>
        <v>2004</v>
      </c>
    </row>
    <row r="2643" spans="1:14">
      <c r="A2643" s="2" t="s">
        <v>60</v>
      </c>
      <c r="B2643" s="3">
        <v>10341</v>
      </c>
      <c r="C2643" s="3">
        <v>34</v>
      </c>
      <c r="D2643" s="13">
        <v>100</v>
      </c>
      <c r="E2643" s="5">
        <v>38315</v>
      </c>
      <c r="F2643" s="2" t="s">
        <v>13</v>
      </c>
      <c r="G2643" s="2" t="s">
        <v>207</v>
      </c>
      <c r="H2643" s="3">
        <v>4</v>
      </c>
      <c r="I2643" s="6">
        <v>2004</v>
      </c>
      <c r="J2643" s="2" t="s">
        <v>22</v>
      </c>
      <c r="K2643" s="2" t="s">
        <v>62</v>
      </c>
      <c r="L2643" s="7">
        <f t="shared" si="123"/>
        <v>3400</v>
      </c>
      <c r="M2643" s="2" t="str">
        <f t="shared" si="124"/>
        <v>November</v>
      </c>
      <c r="N2643" s="6">
        <f t="shared" si="125"/>
        <v>2004</v>
      </c>
    </row>
    <row r="2644" spans="1:14">
      <c r="A2644" s="2" t="s">
        <v>208</v>
      </c>
      <c r="B2644" s="3">
        <v>10353</v>
      </c>
      <c r="C2644" s="3">
        <v>43</v>
      </c>
      <c r="D2644" s="13">
        <v>81.95</v>
      </c>
      <c r="E2644" s="5">
        <v>38325</v>
      </c>
      <c r="F2644" s="2" t="s">
        <v>13</v>
      </c>
      <c r="G2644" s="2" t="s">
        <v>207</v>
      </c>
      <c r="H2644" s="3">
        <v>4</v>
      </c>
      <c r="I2644" s="6">
        <v>2004</v>
      </c>
      <c r="J2644" s="2" t="s">
        <v>22</v>
      </c>
      <c r="K2644" s="2" t="s">
        <v>209</v>
      </c>
      <c r="L2644" s="7">
        <f t="shared" si="123"/>
        <v>3523.85</v>
      </c>
      <c r="M2644" s="2" t="str">
        <f t="shared" si="124"/>
        <v>December</v>
      </c>
      <c r="N2644" s="6">
        <f t="shared" si="125"/>
        <v>2004</v>
      </c>
    </row>
    <row r="2645" spans="1:14">
      <c r="A2645" s="2" t="s">
        <v>63</v>
      </c>
      <c r="B2645" s="3">
        <v>10361</v>
      </c>
      <c r="C2645" s="3">
        <v>44</v>
      </c>
      <c r="D2645" s="13">
        <v>100</v>
      </c>
      <c r="E2645" s="5">
        <v>38338</v>
      </c>
      <c r="F2645" s="2" t="s">
        <v>13</v>
      </c>
      <c r="G2645" s="2" t="s">
        <v>207</v>
      </c>
      <c r="H2645" s="3">
        <v>4</v>
      </c>
      <c r="I2645" s="6">
        <v>2004</v>
      </c>
      <c r="J2645" s="2" t="s">
        <v>22</v>
      </c>
      <c r="K2645" s="2" t="s">
        <v>64</v>
      </c>
      <c r="L2645" s="7">
        <f t="shared" si="123"/>
        <v>4400</v>
      </c>
      <c r="M2645" s="2" t="str">
        <f t="shared" si="124"/>
        <v>December</v>
      </c>
      <c r="N2645" s="6">
        <f t="shared" si="125"/>
        <v>2004</v>
      </c>
    </row>
    <row r="2646" spans="1:14">
      <c r="A2646" s="2" t="s">
        <v>50</v>
      </c>
      <c r="B2646" s="3">
        <v>10375</v>
      </c>
      <c r="C2646" s="3">
        <v>44</v>
      </c>
      <c r="D2646" s="13">
        <v>100</v>
      </c>
      <c r="E2646" s="5">
        <v>38386</v>
      </c>
      <c r="F2646" s="2" t="s">
        <v>13</v>
      </c>
      <c r="G2646" s="2" t="s">
        <v>207</v>
      </c>
      <c r="H2646" s="3">
        <v>1</v>
      </c>
      <c r="I2646" s="6">
        <v>2005</v>
      </c>
      <c r="J2646" s="2" t="s">
        <v>22</v>
      </c>
      <c r="K2646" s="2" t="s">
        <v>51</v>
      </c>
      <c r="L2646" s="7">
        <f t="shared" si="123"/>
        <v>4400</v>
      </c>
      <c r="M2646" s="2" t="str">
        <f t="shared" si="124"/>
        <v>February</v>
      </c>
      <c r="N2646" s="6">
        <f t="shared" si="125"/>
        <v>2005</v>
      </c>
    </row>
    <row r="2647" spans="1:14">
      <c r="A2647" s="2" t="s">
        <v>69</v>
      </c>
      <c r="B2647" s="3">
        <v>10386</v>
      </c>
      <c r="C2647" s="3">
        <v>32</v>
      </c>
      <c r="D2647" s="13">
        <v>94.34</v>
      </c>
      <c r="E2647" s="5">
        <v>38412</v>
      </c>
      <c r="F2647" s="2" t="s">
        <v>155</v>
      </c>
      <c r="G2647" s="2" t="s">
        <v>207</v>
      </c>
      <c r="H2647" s="3">
        <v>1</v>
      </c>
      <c r="I2647" s="6">
        <v>2005</v>
      </c>
      <c r="J2647" s="2" t="s">
        <v>22</v>
      </c>
      <c r="K2647" s="2" t="s">
        <v>71</v>
      </c>
      <c r="L2647" s="7">
        <f t="shared" si="123"/>
        <v>3018.88</v>
      </c>
      <c r="M2647" s="2" t="str">
        <f t="shared" si="124"/>
        <v>March</v>
      </c>
      <c r="N2647" s="6">
        <f t="shared" si="125"/>
        <v>2005</v>
      </c>
    </row>
    <row r="2648" spans="1:14">
      <c r="A2648" s="2" t="s">
        <v>18</v>
      </c>
      <c r="B2648" s="3">
        <v>10398</v>
      </c>
      <c r="C2648" s="3">
        <v>29</v>
      </c>
      <c r="D2648" s="13">
        <v>65.6</v>
      </c>
      <c r="E2648" s="5">
        <v>38441</v>
      </c>
      <c r="F2648" s="2" t="s">
        <v>13</v>
      </c>
      <c r="G2648" s="2" t="s">
        <v>207</v>
      </c>
      <c r="H2648" s="3">
        <v>1</v>
      </c>
      <c r="I2648" s="6">
        <v>2005</v>
      </c>
      <c r="J2648" s="2" t="s">
        <v>15</v>
      </c>
      <c r="K2648" s="2" t="s">
        <v>19</v>
      </c>
      <c r="L2648" s="7">
        <f t="shared" si="123"/>
        <v>1902.4</v>
      </c>
      <c r="M2648" s="2" t="str">
        <f t="shared" si="124"/>
        <v>March</v>
      </c>
      <c r="N2648" s="6">
        <f t="shared" si="125"/>
        <v>2005</v>
      </c>
    </row>
    <row r="2649" spans="1:14">
      <c r="A2649" s="2" t="s">
        <v>46</v>
      </c>
      <c r="B2649" s="3">
        <v>10401</v>
      </c>
      <c r="C2649" s="3">
        <v>77</v>
      </c>
      <c r="D2649" s="13">
        <v>92</v>
      </c>
      <c r="E2649" s="5">
        <v>38445</v>
      </c>
      <c r="F2649" s="2" t="s">
        <v>151</v>
      </c>
      <c r="G2649" s="2" t="s">
        <v>207</v>
      </c>
      <c r="H2649" s="3">
        <v>2</v>
      </c>
      <c r="I2649" s="6">
        <v>2005</v>
      </c>
      <c r="J2649" s="2" t="s">
        <v>61</v>
      </c>
      <c r="K2649" s="2" t="s">
        <v>47</v>
      </c>
      <c r="L2649" s="7">
        <f t="shared" si="123"/>
        <v>7084</v>
      </c>
      <c r="M2649" s="2" t="str">
        <f t="shared" si="124"/>
        <v>April</v>
      </c>
      <c r="N2649" s="6">
        <f t="shared" si="125"/>
        <v>2005</v>
      </c>
    </row>
    <row r="2650" spans="1:14">
      <c r="A2650" s="2" t="s">
        <v>169</v>
      </c>
      <c r="B2650" s="3">
        <v>10416</v>
      </c>
      <c r="C2650" s="3">
        <v>39</v>
      </c>
      <c r="D2650" s="13">
        <v>67.2</v>
      </c>
      <c r="E2650" s="5">
        <v>38482</v>
      </c>
      <c r="F2650" s="2" t="s">
        <v>13</v>
      </c>
      <c r="G2650" s="2" t="s">
        <v>207</v>
      </c>
      <c r="H2650" s="3">
        <v>2</v>
      </c>
      <c r="I2650" s="6">
        <v>2005</v>
      </c>
      <c r="J2650" s="2" t="s">
        <v>15</v>
      </c>
      <c r="K2650" s="2" t="s">
        <v>170</v>
      </c>
      <c r="L2650" s="7">
        <f t="shared" si="123"/>
        <v>2620.8</v>
      </c>
      <c r="M2650" s="2" t="str">
        <f t="shared" si="124"/>
        <v>May</v>
      </c>
      <c r="N2650" s="6">
        <f t="shared" si="125"/>
        <v>2005</v>
      </c>
    </row>
    <row r="2651" spans="1:14">
      <c r="A2651" s="2" t="s">
        <v>122</v>
      </c>
      <c r="B2651" s="3">
        <v>10105</v>
      </c>
      <c r="C2651" s="3">
        <v>39</v>
      </c>
      <c r="D2651" s="13">
        <v>81.14</v>
      </c>
      <c r="E2651" s="5">
        <v>37663</v>
      </c>
      <c r="F2651" s="2" t="s">
        <v>13</v>
      </c>
      <c r="G2651" s="2" t="s">
        <v>214</v>
      </c>
      <c r="H2651" s="3">
        <v>1</v>
      </c>
      <c r="I2651" s="6">
        <v>2003</v>
      </c>
      <c r="J2651" s="2" t="s">
        <v>22</v>
      </c>
      <c r="K2651" s="2" t="s">
        <v>123</v>
      </c>
      <c r="L2651" s="7">
        <f t="shared" si="123"/>
        <v>3164.46</v>
      </c>
      <c r="M2651" s="2" t="str">
        <f t="shared" si="124"/>
        <v>February</v>
      </c>
      <c r="N2651" s="6">
        <f t="shared" si="125"/>
        <v>2003</v>
      </c>
    </row>
    <row r="2652" spans="1:14">
      <c r="A2652" s="2" t="s">
        <v>133</v>
      </c>
      <c r="B2652" s="3">
        <v>10118</v>
      </c>
      <c r="C2652" s="3">
        <v>36</v>
      </c>
      <c r="D2652" s="13">
        <v>100</v>
      </c>
      <c r="E2652" s="5">
        <v>37732</v>
      </c>
      <c r="F2652" s="2" t="s">
        <v>13</v>
      </c>
      <c r="G2652" s="2" t="s">
        <v>214</v>
      </c>
      <c r="H2652" s="3">
        <v>2</v>
      </c>
      <c r="I2652" s="6">
        <v>2003</v>
      </c>
      <c r="J2652" s="2" t="s">
        <v>22</v>
      </c>
      <c r="K2652" s="2" t="s">
        <v>134</v>
      </c>
      <c r="L2652" s="7">
        <f t="shared" si="123"/>
        <v>3600</v>
      </c>
      <c r="M2652" s="2" t="str">
        <f t="shared" si="124"/>
        <v>April</v>
      </c>
      <c r="N2652" s="6">
        <f t="shared" si="125"/>
        <v>2003</v>
      </c>
    </row>
    <row r="2653" spans="1:14">
      <c r="A2653" s="2" t="s">
        <v>124</v>
      </c>
      <c r="B2653" s="3">
        <v>10129</v>
      </c>
      <c r="C2653" s="3">
        <v>42</v>
      </c>
      <c r="D2653" s="13">
        <v>91.15</v>
      </c>
      <c r="E2653" s="5">
        <v>37784</v>
      </c>
      <c r="F2653" s="2" t="s">
        <v>13</v>
      </c>
      <c r="G2653" s="2" t="s">
        <v>214</v>
      </c>
      <c r="H2653" s="3">
        <v>2</v>
      </c>
      <c r="I2653" s="6">
        <v>2003</v>
      </c>
      <c r="J2653" s="2" t="s">
        <v>22</v>
      </c>
      <c r="K2653" s="2" t="s">
        <v>125</v>
      </c>
      <c r="L2653" s="7">
        <f t="shared" si="123"/>
        <v>3828.3</v>
      </c>
      <c r="M2653" s="2" t="str">
        <f t="shared" si="124"/>
        <v>June</v>
      </c>
      <c r="N2653" s="6">
        <f t="shared" si="125"/>
        <v>2003</v>
      </c>
    </row>
    <row r="2654" spans="1:14">
      <c r="A2654" s="2" t="s">
        <v>103</v>
      </c>
      <c r="B2654" s="3">
        <v>10142</v>
      </c>
      <c r="C2654" s="3">
        <v>21</v>
      </c>
      <c r="D2654" s="13">
        <v>100</v>
      </c>
      <c r="E2654" s="5">
        <v>37841</v>
      </c>
      <c r="F2654" s="2" t="s">
        <v>13</v>
      </c>
      <c r="G2654" s="2" t="s">
        <v>214</v>
      </c>
      <c r="H2654" s="3">
        <v>3</v>
      </c>
      <c r="I2654" s="6">
        <v>2003</v>
      </c>
      <c r="J2654" s="2" t="s">
        <v>15</v>
      </c>
      <c r="K2654" s="2" t="s">
        <v>104</v>
      </c>
      <c r="L2654" s="7">
        <f t="shared" si="123"/>
        <v>2100</v>
      </c>
      <c r="M2654" s="2" t="str">
        <f t="shared" si="124"/>
        <v>August</v>
      </c>
      <c r="N2654" s="6">
        <f t="shared" si="125"/>
        <v>2003</v>
      </c>
    </row>
    <row r="2655" spans="1:14">
      <c r="A2655" s="2" t="s">
        <v>69</v>
      </c>
      <c r="B2655" s="3">
        <v>10153</v>
      </c>
      <c r="C2655" s="3">
        <v>50</v>
      </c>
      <c r="D2655" s="13">
        <v>88.15</v>
      </c>
      <c r="E2655" s="5">
        <v>37892</v>
      </c>
      <c r="F2655" s="2" t="s">
        <v>13</v>
      </c>
      <c r="G2655" s="2" t="s">
        <v>214</v>
      </c>
      <c r="H2655" s="3">
        <v>3</v>
      </c>
      <c r="I2655" s="6">
        <v>2003</v>
      </c>
      <c r="J2655" s="2" t="s">
        <v>22</v>
      </c>
      <c r="K2655" s="2" t="s">
        <v>71</v>
      </c>
      <c r="L2655" s="7">
        <f t="shared" si="123"/>
        <v>4407.5</v>
      </c>
      <c r="M2655" s="2" t="str">
        <f t="shared" si="124"/>
        <v>September</v>
      </c>
      <c r="N2655" s="6">
        <f t="shared" si="125"/>
        <v>2003</v>
      </c>
    </row>
    <row r="2656" spans="1:14">
      <c r="A2656" s="2" t="s">
        <v>99</v>
      </c>
      <c r="B2656" s="3">
        <v>10167</v>
      </c>
      <c r="C2656" s="3">
        <v>24</v>
      </c>
      <c r="D2656" s="13">
        <v>100</v>
      </c>
      <c r="E2656" s="5">
        <v>37917</v>
      </c>
      <c r="F2656" s="2" t="s">
        <v>128</v>
      </c>
      <c r="G2656" s="2" t="s">
        <v>214</v>
      </c>
      <c r="H2656" s="3">
        <v>4</v>
      </c>
      <c r="I2656" s="6">
        <v>2003</v>
      </c>
      <c r="J2656" s="2" t="s">
        <v>15</v>
      </c>
      <c r="K2656" s="2" t="s">
        <v>100</v>
      </c>
      <c r="L2656" s="7">
        <f t="shared" si="123"/>
        <v>2400</v>
      </c>
      <c r="M2656" s="2" t="str">
        <f t="shared" si="124"/>
        <v>October</v>
      </c>
      <c r="N2656" s="6">
        <f t="shared" si="125"/>
        <v>2003</v>
      </c>
    </row>
    <row r="2657" spans="1:14">
      <c r="A2657" s="2" t="s">
        <v>181</v>
      </c>
      <c r="B2657" s="3">
        <v>10177</v>
      </c>
      <c r="C2657" s="3">
        <v>44</v>
      </c>
      <c r="D2657" s="13">
        <v>92.16</v>
      </c>
      <c r="E2657" s="5">
        <v>37932</v>
      </c>
      <c r="F2657" s="2" t="s">
        <v>13</v>
      </c>
      <c r="G2657" s="2" t="s">
        <v>214</v>
      </c>
      <c r="H2657" s="3">
        <v>4</v>
      </c>
      <c r="I2657" s="6">
        <v>2003</v>
      </c>
      <c r="J2657" s="2" t="s">
        <v>22</v>
      </c>
      <c r="K2657" s="2" t="s">
        <v>182</v>
      </c>
      <c r="L2657" s="7">
        <f t="shared" si="123"/>
        <v>4055.04</v>
      </c>
      <c r="M2657" s="2" t="str">
        <f t="shared" si="124"/>
        <v>November</v>
      </c>
      <c r="N2657" s="6">
        <f t="shared" si="125"/>
        <v>2003</v>
      </c>
    </row>
    <row r="2658" spans="1:14">
      <c r="A2658" s="2" t="s">
        <v>126</v>
      </c>
      <c r="B2658" s="3">
        <v>10185</v>
      </c>
      <c r="C2658" s="3">
        <v>37</v>
      </c>
      <c r="D2658" s="13">
        <v>100</v>
      </c>
      <c r="E2658" s="5">
        <v>37939</v>
      </c>
      <c r="F2658" s="2" t="s">
        <v>13</v>
      </c>
      <c r="G2658" s="2" t="s">
        <v>214</v>
      </c>
      <c r="H2658" s="3">
        <v>4</v>
      </c>
      <c r="I2658" s="6">
        <v>2003</v>
      </c>
      <c r="J2658" s="2" t="s">
        <v>22</v>
      </c>
      <c r="K2658" s="2" t="s">
        <v>127</v>
      </c>
      <c r="L2658" s="7">
        <f t="shared" si="123"/>
        <v>3700</v>
      </c>
      <c r="M2658" s="2" t="str">
        <f t="shared" si="124"/>
        <v>November</v>
      </c>
      <c r="N2658" s="6">
        <f t="shared" si="125"/>
        <v>2003</v>
      </c>
    </row>
    <row r="2659" spans="1:14">
      <c r="A2659" s="2" t="s">
        <v>133</v>
      </c>
      <c r="B2659" s="3">
        <v>10197</v>
      </c>
      <c r="C2659" s="3">
        <v>27</v>
      </c>
      <c r="D2659" s="13">
        <v>92.16</v>
      </c>
      <c r="E2659" s="5">
        <v>37951</v>
      </c>
      <c r="F2659" s="2" t="s">
        <v>13</v>
      </c>
      <c r="G2659" s="2" t="s">
        <v>214</v>
      </c>
      <c r="H2659" s="3">
        <v>4</v>
      </c>
      <c r="I2659" s="6">
        <v>2003</v>
      </c>
      <c r="J2659" s="2" t="s">
        <v>15</v>
      </c>
      <c r="K2659" s="2" t="s">
        <v>134</v>
      </c>
      <c r="L2659" s="7">
        <f t="shared" si="123"/>
        <v>2488.32</v>
      </c>
      <c r="M2659" s="2" t="str">
        <f t="shared" si="124"/>
        <v>November</v>
      </c>
      <c r="N2659" s="6">
        <f t="shared" si="125"/>
        <v>2003</v>
      </c>
    </row>
    <row r="2660" spans="1:14">
      <c r="A2660" s="2" t="s">
        <v>85</v>
      </c>
      <c r="B2660" s="3">
        <v>10208</v>
      </c>
      <c r="C2660" s="3">
        <v>37</v>
      </c>
      <c r="D2660" s="13">
        <v>100</v>
      </c>
      <c r="E2660" s="5">
        <v>37988</v>
      </c>
      <c r="F2660" s="2" t="s">
        <v>13</v>
      </c>
      <c r="G2660" s="2" t="s">
        <v>214</v>
      </c>
      <c r="H2660" s="3">
        <v>1</v>
      </c>
      <c r="I2660" s="6">
        <v>2004</v>
      </c>
      <c r="J2660" s="2" t="s">
        <v>22</v>
      </c>
      <c r="K2660" s="2" t="s">
        <v>86</v>
      </c>
      <c r="L2660" s="7">
        <f t="shared" si="123"/>
        <v>3700</v>
      </c>
      <c r="M2660" s="2" t="str">
        <f t="shared" si="124"/>
        <v>January</v>
      </c>
      <c r="N2660" s="6">
        <f t="shared" si="125"/>
        <v>2004</v>
      </c>
    </row>
    <row r="2661" spans="1:14">
      <c r="A2661" s="2" t="s">
        <v>137</v>
      </c>
      <c r="B2661" s="3">
        <v>10222</v>
      </c>
      <c r="C2661" s="3">
        <v>38</v>
      </c>
      <c r="D2661" s="13">
        <v>100</v>
      </c>
      <c r="E2661" s="5">
        <v>38036</v>
      </c>
      <c r="F2661" s="2" t="s">
        <v>13</v>
      </c>
      <c r="G2661" s="2" t="s">
        <v>214</v>
      </c>
      <c r="H2661" s="3">
        <v>1</v>
      </c>
      <c r="I2661" s="6">
        <v>2004</v>
      </c>
      <c r="J2661" s="2" t="s">
        <v>22</v>
      </c>
      <c r="K2661" s="2" t="s">
        <v>138</v>
      </c>
      <c r="L2661" s="7">
        <f t="shared" si="123"/>
        <v>3800</v>
      </c>
      <c r="M2661" s="2" t="str">
        <f t="shared" si="124"/>
        <v>February</v>
      </c>
      <c r="N2661" s="6">
        <f t="shared" si="125"/>
        <v>2004</v>
      </c>
    </row>
    <row r="2662" spans="1:14">
      <c r="A2662" s="2" t="s">
        <v>145</v>
      </c>
      <c r="B2662" s="3">
        <v>10232</v>
      </c>
      <c r="C2662" s="3">
        <v>48</v>
      </c>
      <c r="D2662" s="13">
        <v>96.16</v>
      </c>
      <c r="E2662" s="5">
        <v>38066</v>
      </c>
      <c r="F2662" s="2" t="s">
        <v>13</v>
      </c>
      <c r="G2662" s="2" t="s">
        <v>214</v>
      </c>
      <c r="H2662" s="3">
        <v>1</v>
      </c>
      <c r="I2662" s="6">
        <v>2004</v>
      </c>
      <c r="J2662" s="2" t="s">
        <v>22</v>
      </c>
      <c r="K2662" s="2" t="s">
        <v>146</v>
      </c>
      <c r="L2662" s="7">
        <f t="shared" si="123"/>
        <v>4615.68</v>
      </c>
      <c r="M2662" s="2" t="str">
        <f t="shared" si="124"/>
        <v>March</v>
      </c>
      <c r="N2662" s="6">
        <f t="shared" si="125"/>
        <v>2004</v>
      </c>
    </row>
    <row r="2663" spans="1:14">
      <c r="A2663" s="2" t="s">
        <v>12</v>
      </c>
      <c r="B2663" s="3">
        <v>10248</v>
      </c>
      <c r="C2663" s="3">
        <v>30</v>
      </c>
      <c r="D2663" s="13">
        <v>100</v>
      </c>
      <c r="E2663" s="5">
        <v>38114</v>
      </c>
      <c r="F2663" s="2" t="s">
        <v>128</v>
      </c>
      <c r="G2663" s="2" t="s">
        <v>214</v>
      </c>
      <c r="H2663" s="3">
        <v>2</v>
      </c>
      <c r="I2663" s="6">
        <v>2004</v>
      </c>
      <c r="J2663" s="2" t="s">
        <v>22</v>
      </c>
      <c r="K2663" s="2" t="s">
        <v>16</v>
      </c>
      <c r="L2663" s="7">
        <f t="shared" si="123"/>
        <v>3000</v>
      </c>
      <c r="M2663" s="2" t="str">
        <f t="shared" si="124"/>
        <v>May</v>
      </c>
      <c r="N2663" s="6">
        <f t="shared" si="125"/>
        <v>2004</v>
      </c>
    </row>
    <row r="2664" spans="1:14">
      <c r="A2664" s="2" t="s">
        <v>111</v>
      </c>
      <c r="B2664" s="3">
        <v>10261</v>
      </c>
      <c r="C2664" s="3">
        <v>25</v>
      </c>
      <c r="D2664" s="13">
        <v>88.15</v>
      </c>
      <c r="E2664" s="5">
        <v>38155</v>
      </c>
      <c r="F2664" s="2" t="s">
        <v>13</v>
      </c>
      <c r="G2664" s="2" t="s">
        <v>214</v>
      </c>
      <c r="H2664" s="3">
        <v>2</v>
      </c>
      <c r="I2664" s="6">
        <v>2004</v>
      </c>
      <c r="J2664" s="2" t="s">
        <v>15</v>
      </c>
      <c r="K2664" s="2" t="s">
        <v>112</v>
      </c>
      <c r="L2664" s="7">
        <f t="shared" si="123"/>
        <v>2203.75</v>
      </c>
      <c r="M2664" s="2" t="str">
        <f t="shared" si="124"/>
        <v>June</v>
      </c>
      <c r="N2664" s="6">
        <f t="shared" si="125"/>
        <v>2004</v>
      </c>
    </row>
    <row r="2665" spans="1:14">
      <c r="A2665" s="2" t="s">
        <v>139</v>
      </c>
      <c r="B2665" s="3">
        <v>10273</v>
      </c>
      <c r="C2665" s="3">
        <v>40</v>
      </c>
      <c r="D2665" s="13">
        <v>86.15</v>
      </c>
      <c r="E2665" s="5">
        <v>38189</v>
      </c>
      <c r="F2665" s="2" t="s">
        <v>13</v>
      </c>
      <c r="G2665" s="2" t="s">
        <v>214</v>
      </c>
      <c r="H2665" s="3">
        <v>3</v>
      </c>
      <c r="I2665" s="6">
        <v>2004</v>
      </c>
      <c r="J2665" s="2" t="s">
        <v>22</v>
      </c>
      <c r="K2665" s="2" t="s">
        <v>140</v>
      </c>
      <c r="L2665" s="7">
        <f t="shared" si="123"/>
        <v>3446</v>
      </c>
      <c r="M2665" s="2" t="str">
        <f t="shared" si="124"/>
        <v>July</v>
      </c>
      <c r="N2665" s="6">
        <f t="shared" si="125"/>
        <v>2004</v>
      </c>
    </row>
    <row r="2666" spans="1:14">
      <c r="A2666" s="2" t="s">
        <v>141</v>
      </c>
      <c r="B2666" s="3">
        <v>10283</v>
      </c>
      <c r="C2666" s="3">
        <v>22</v>
      </c>
      <c r="D2666" s="13">
        <v>88.15</v>
      </c>
      <c r="E2666" s="5">
        <v>38219</v>
      </c>
      <c r="F2666" s="2" t="s">
        <v>13</v>
      </c>
      <c r="G2666" s="2" t="s">
        <v>214</v>
      </c>
      <c r="H2666" s="3">
        <v>3</v>
      </c>
      <c r="I2666" s="6">
        <v>2004</v>
      </c>
      <c r="J2666" s="2" t="s">
        <v>15</v>
      </c>
      <c r="K2666" s="2" t="s">
        <v>142</v>
      </c>
      <c r="L2666" s="7">
        <f t="shared" si="123"/>
        <v>1939.3</v>
      </c>
      <c r="M2666" s="2" t="str">
        <f t="shared" si="124"/>
        <v>August</v>
      </c>
      <c r="N2666" s="6">
        <f t="shared" si="125"/>
        <v>2004</v>
      </c>
    </row>
    <row r="2667" spans="1:14">
      <c r="A2667" s="2" t="s">
        <v>143</v>
      </c>
      <c r="B2667" s="3">
        <v>10295</v>
      </c>
      <c r="C2667" s="3">
        <v>34</v>
      </c>
      <c r="D2667" s="13">
        <v>100</v>
      </c>
      <c r="E2667" s="5">
        <v>38240</v>
      </c>
      <c r="F2667" s="2" t="s">
        <v>13</v>
      </c>
      <c r="G2667" s="2" t="s">
        <v>214</v>
      </c>
      <c r="H2667" s="3">
        <v>3</v>
      </c>
      <c r="I2667" s="6">
        <v>2004</v>
      </c>
      <c r="J2667" s="2" t="s">
        <v>22</v>
      </c>
      <c r="K2667" s="2" t="s">
        <v>144</v>
      </c>
      <c r="L2667" s="7">
        <f t="shared" si="123"/>
        <v>3400</v>
      </c>
      <c r="M2667" s="2" t="str">
        <f t="shared" si="124"/>
        <v>September</v>
      </c>
      <c r="N2667" s="6">
        <f t="shared" si="125"/>
        <v>2004</v>
      </c>
    </row>
    <row r="2668" spans="1:14">
      <c r="A2668" s="2" t="s">
        <v>183</v>
      </c>
      <c r="B2668" s="3">
        <v>10306</v>
      </c>
      <c r="C2668" s="3">
        <v>32</v>
      </c>
      <c r="D2668" s="13">
        <v>90.15</v>
      </c>
      <c r="E2668" s="5">
        <v>38274</v>
      </c>
      <c r="F2668" s="2" t="s">
        <v>13</v>
      </c>
      <c r="G2668" s="2" t="s">
        <v>214</v>
      </c>
      <c r="H2668" s="3">
        <v>4</v>
      </c>
      <c r="I2668" s="6">
        <v>2004</v>
      </c>
      <c r="J2668" s="2" t="s">
        <v>15</v>
      </c>
      <c r="K2668" s="2" t="s">
        <v>184</v>
      </c>
      <c r="L2668" s="7">
        <f t="shared" si="123"/>
        <v>2884.8</v>
      </c>
      <c r="M2668" s="2" t="str">
        <f t="shared" si="124"/>
        <v>October</v>
      </c>
      <c r="N2668" s="6">
        <f t="shared" si="125"/>
        <v>2004</v>
      </c>
    </row>
    <row r="2669" spans="1:14">
      <c r="A2669" s="2" t="s">
        <v>50</v>
      </c>
      <c r="B2669" s="3">
        <v>10315</v>
      </c>
      <c r="C2669" s="3">
        <v>31</v>
      </c>
      <c r="D2669" s="13">
        <v>86.15</v>
      </c>
      <c r="E2669" s="5">
        <v>38289</v>
      </c>
      <c r="F2669" s="2" t="s">
        <v>13</v>
      </c>
      <c r="G2669" s="2" t="s">
        <v>214</v>
      </c>
      <c r="H2669" s="3">
        <v>4</v>
      </c>
      <c r="I2669" s="6">
        <v>2004</v>
      </c>
      <c r="J2669" s="2" t="s">
        <v>15</v>
      </c>
      <c r="K2669" s="2" t="s">
        <v>51</v>
      </c>
      <c r="L2669" s="7">
        <f t="shared" si="123"/>
        <v>2670.65</v>
      </c>
      <c r="M2669" s="2" t="str">
        <f t="shared" si="124"/>
        <v>October</v>
      </c>
      <c r="N2669" s="6">
        <f t="shared" si="125"/>
        <v>2004</v>
      </c>
    </row>
    <row r="2670" spans="1:14">
      <c r="A2670" s="2" t="s">
        <v>122</v>
      </c>
      <c r="B2670" s="3">
        <v>10327</v>
      </c>
      <c r="C2670" s="3">
        <v>43</v>
      </c>
      <c r="D2670" s="13">
        <v>80</v>
      </c>
      <c r="E2670" s="5">
        <v>38301</v>
      </c>
      <c r="F2670" s="2" t="s">
        <v>155</v>
      </c>
      <c r="G2670" s="2" t="s">
        <v>214</v>
      </c>
      <c r="H2670" s="3">
        <v>4</v>
      </c>
      <c r="I2670" s="6">
        <v>2004</v>
      </c>
      <c r="J2670" s="2" t="s">
        <v>22</v>
      </c>
      <c r="K2670" s="2" t="s">
        <v>123</v>
      </c>
      <c r="L2670" s="7">
        <f t="shared" si="123"/>
        <v>3440</v>
      </c>
      <c r="M2670" s="2" t="str">
        <f t="shared" si="124"/>
        <v>November</v>
      </c>
      <c r="N2670" s="6">
        <f t="shared" si="125"/>
        <v>2004</v>
      </c>
    </row>
    <row r="2671" spans="1:14">
      <c r="A2671" s="2" t="s">
        <v>79</v>
      </c>
      <c r="B2671" s="3">
        <v>10337</v>
      </c>
      <c r="C2671" s="3">
        <v>31</v>
      </c>
      <c r="D2671" s="13">
        <v>89.38</v>
      </c>
      <c r="E2671" s="5">
        <v>38312</v>
      </c>
      <c r="F2671" s="2" t="s">
        <v>13</v>
      </c>
      <c r="G2671" s="2" t="s">
        <v>214</v>
      </c>
      <c r="H2671" s="3">
        <v>4</v>
      </c>
      <c r="I2671" s="6">
        <v>2004</v>
      </c>
      <c r="J2671" s="2" t="s">
        <v>15</v>
      </c>
      <c r="K2671" s="2" t="s">
        <v>80</v>
      </c>
      <c r="L2671" s="7">
        <f t="shared" si="123"/>
        <v>2770.78</v>
      </c>
      <c r="M2671" s="2" t="str">
        <f t="shared" si="124"/>
        <v>November</v>
      </c>
      <c r="N2671" s="6">
        <f t="shared" si="125"/>
        <v>2004</v>
      </c>
    </row>
    <row r="2672" spans="1:14">
      <c r="A2672" s="2" t="s">
        <v>69</v>
      </c>
      <c r="B2672" s="3">
        <v>10350</v>
      </c>
      <c r="C2672" s="3">
        <v>31</v>
      </c>
      <c r="D2672" s="13">
        <v>77.34</v>
      </c>
      <c r="E2672" s="5">
        <v>38323</v>
      </c>
      <c r="F2672" s="2" t="s">
        <v>13</v>
      </c>
      <c r="G2672" s="2" t="s">
        <v>214</v>
      </c>
      <c r="H2672" s="3">
        <v>4</v>
      </c>
      <c r="I2672" s="6">
        <v>2004</v>
      </c>
      <c r="J2672" s="2" t="s">
        <v>15</v>
      </c>
      <c r="K2672" s="2" t="s">
        <v>71</v>
      </c>
      <c r="L2672" s="7">
        <f t="shared" si="123"/>
        <v>2397.54</v>
      </c>
      <c r="M2672" s="2" t="str">
        <f t="shared" si="124"/>
        <v>December</v>
      </c>
      <c r="N2672" s="6">
        <f t="shared" si="125"/>
        <v>2004</v>
      </c>
    </row>
    <row r="2673" spans="1:14">
      <c r="A2673" s="2" t="s">
        <v>147</v>
      </c>
      <c r="B2673" s="3">
        <v>10373</v>
      </c>
      <c r="C2673" s="3">
        <v>34</v>
      </c>
      <c r="D2673" s="13">
        <v>96.34</v>
      </c>
      <c r="E2673" s="5">
        <v>38383</v>
      </c>
      <c r="F2673" s="2" t="s">
        <v>13</v>
      </c>
      <c r="G2673" s="2" t="s">
        <v>214</v>
      </c>
      <c r="H2673" s="3">
        <v>1</v>
      </c>
      <c r="I2673" s="6">
        <v>2005</v>
      </c>
      <c r="J2673" s="2" t="s">
        <v>22</v>
      </c>
      <c r="K2673" s="2" t="s">
        <v>148</v>
      </c>
      <c r="L2673" s="7">
        <f t="shared" si="123"/>
        <v>3275.56</v>
      </c>
      <c r="M2673" s="2" t="str">
        <f t="shared" si="124"/>
        <v>January</v>
      </c>
      <c r="N2673" s="6">
        <f t="shared" si="125"/>
        <v>2005</v>
      </c>
    </row>
    <row r="2674" spans="1:14">
      <c r="A2674" s="2" t="s">
        <v>69</v>
      </c>
      <c r="B2674" s="3">
        <v>10386</v>
      </c>
      <c r="C2674" s="3">
        <v>45</v>
      </c>
      <c r="D2674" s="13">
        <v>92.08</v>
      </c>
      <c r="E2674" s="5">
        <v>38412</v>
      </c>
      <c r="F2674" s="2" t="s">
        <v>155</v>
      </c>
      <c r="G2674" s="2" t="s">
        <v>214</v>
      </c>
      <c r="H2674" s="3">
        <v>1</v>
      </c>
      <c r="I2674" s="6">
        <v>2005</v>
      </c>
      <c r="J2674" s="2" t="s">
        <v>22</v>
      </c>
      <c r="K2674" s="2" t="s">
        <v>71</v>
      </c>
      <c r="L2674" s="7">
        <f t="shared" si="123"/>
        <v>4143.6</v>
      </c>
      <c r="M2674" s="2" t="str">
        <f t="shared" si="124"/>
        <v>March</v>
      </c>
      <c r="N2674" s="6">
        <f t="shared" si="125"/>
        <v>2005</v>
      </c>
    </row>
    <row r="2675" spans="1:14">
      <c r="A2675" s="2" t="s">
        <v>129</v>
      </c>
      <c r="B2675" s="3">
        <v>10397</v>
      </c>
      <c r="C2675" s="3">
        <v>48</v>
      </c>
      <c r="D2675" s="13">
        <v>100</v>
      </c>
      <c r="E2675" s="5">
        <v>38439</v>
      </c>
      <c r="F2675" s="2" t="s">
        <v>13</v>
      </c>
      <c r="G2675" s="2" t="s">
        <v>214</v>
      </c>
      <c r="H2675" s="3">
        <v>1</v>
      </c>
      <c r="I2675" s="6">
        <v>2005</v>
      </c>
      <c r="J2675" s="2" t="s">
        <v>22</v>
      </c>
      <c r="K2675" s="2" t="s">
        <v>130</v>
      </c>
      <c r="L2675" s="7">
        <f t="shared" si="123"/>
        <v>4800</v>
      </c>
      <c r="M2675" s="2" t="str">
        <f t="shared" si="124"/>
        <v>March</v>
      </c>
      <c r="N2675" s="6">
        <f t="shared" si="125"/>
        <v>2005</v>
      </c>
    </row>
    <row r="2676" spans="1:14">
      <c r="A2676" s="2" t="s">
        <v>143</v>
      </c>
      <c r="B2676" s="3">
        <v>10414</v>
      </c>
      <c r="C2676" s="3">
        <v>28</v>
      </c>
      <c r="D2676" s="13">
        <v>100</v>
      </c>
      <c r="E2676" s="5">
        <v>38478</v>
      </c>
      <c r="F2676" s="2" t="s">
        <v>151</v>
      </c>
      <c r="G2676" s="2" t="s">
        <v>214</v>
      </c>
      <c r="H2676" s="3">
        <v>2</v>
      </c>
      <c r="I2676" s="6">
        <v>2005</v>
      </c>
      <c r="J2676" s="2" t="s">
        <v>22</v>
      </c>
      <c r="K2676" s="2" t="s">
        <v>144</v>
      </c>
      <c r="L2676" s="7">
        <f t="shared" si="123"/>
        <v>2800</v>
      </c>
      <c r="M2676" s="2" t="str">
        <f t="shared" si="124"/>
        <v>May</v>
      </c>
      <c r="N2676" s="6">
        <f t="shared" si="125"/>
        <v>2005</v>
      </c>
    </row>
    <row r="2677" spans="1:14">
      <c r="A2677" s="2" t="s">
        <v>122</v>
      </c>
      <c r="B2677" s="3">
        <v>10105</v>
      </c>
      <c r="C2677" s="3">
        <v>22</v>
      </c>
      <c r="D2677" s="13">
        <v>100</v>
      </c>
      <c r="E2677" s="5">
        <v>37663</v>
      </c>
      <c r="F2677" s="2" t="s">
        <v>13</v>
      </c>
      <c r="G2677" s="2" t="s">
        <v>214</v>
      </c>
      <c r="H2677" s="3">
        <v>1</v>
      </c>
      <c r="I2677" s="6">
        <v>2003</v>
      </c>
      <c r="J2677" s="2" t="s">
        <v>15</v>
      </c>
      <c r="K2677" s="2" t="s">
        <v>123</v>
      </c>
      <c r="L2677" s="7">
        <f t="shared" si="123"/>
        <v>2200</v>
      </c>
      <c r="M2677" s="2" t="str">
        <f t="shared" si="124"/>
        <v>February</v>
      </c>
      <c r="N2677" s="6">
        <f t="shared" si="125"/>
        <v>2003</v>
      </c>
    </row>
    <row r="2678" spans="1:14">
      <c r="A2678" s="2" t="s">
        <v>77</v>
      </c>
      <c r="B2678" s="3">
        <v>10117</v>
      </c>
      <c r="C2678" s="3">
        <v>45</v>
      </c>
      <c r="D2678" s="13">
        <v>83.42</v>
      </c>
      <c r="E2678" s="5">
        <v>37727</v>
      </c>
      <c r="F2678" s="2" t="s">
        <v>13</v>
      </c>
      <c r="G2678" s="2" t="s">
        <v>214</v>
      </c>
      <c r="H2678" s="3">
        <v>2</v>
      </c>
      <c r="I2678" s="6">
        <v>2003</v>
      </c>
      <c r="J2678" s="2" t="s">
        <v>22</v>
      </c>
      <c r="K2678" s="2" t="s">
        <v>78</v>
      </c>
      <c r="L2678" s="7">
        <f t="shared" si="123"/>
        <v>3753.9</v>
      </c>
      <c r="M2678" s="2" t="str">
        <f t="shared" si="124"/>
        <v>April</v>
      </c>
      <c r="N2678" s="6">
        <f t="shared" si="125"/>
        <v>2003</v>
      </c>
    </row>
    <row r="2679" spans="1:14">
      <c r="A2679" s="2" t="s">
        <v>124</v>
      </c>
      <c r="B2679" s="3">
        <v>10129</v>
      </c>
      <c r="C2679" s="3">
        <v>30</v>
      </c>
      <c r="D2679" s="13">
        <v>85.41</v>
      </c>
      <c r="E2679" s="5">
        <v>37784</v>
      </c>
      <c r="F2679" s="2" t="s">
        <v>13</v>
      </c>
      <c r="G2679" s="2" t="s">
        <v>214</v>
      </c>
      <c r="H2679" s="3">
        <v>2</v>
      </c>
      <c r="I2679" s="6">
        <v>2003</v>
      </c>
      <c r="J2679" s="2" t="s">
        <v>15</v>
      </c>
      <c r="K2679" s="2" t="s">
        <v>125</v>
      </c>
      <c r="L2679" s="7">
        <f t="shared" si="123"/>
        <v>2562.3</v>
      </c>
      <c r="M2679" s="2" t="str">
        <f t="shared" si="124"/>
        <v>June</v>
      </c>
      <c r="N2679" s="6">
        <f t="shared" si="125"/>
        <v>2003</v>
      </c>
    </row>
    <row r="2680" spans="1:14">
      <c r="A2680" s="2" t="s">
        <v>103</v>
      </c>
      <c r="B2680" s="3">
        <v>10142</v>
      </c>
      <c r="C2680" s="3">
        <v>38</v>
      </c>
      <c r="D2680" s="13">
        <v>85.41</v>
      </c>
      <c r="E2680" s="5">
        <v>37841</v>
      </c>
      <c r="F2680" s="2" t="s">
        <v>13</v>
      </c>
      <c r="G2680" s="2" t="s">
        <v>214</v>
      </c>
      <c r="H2680" s="3">
        <v>3</v>
      </c>
      <c r="I2680" s="6">
        <v>2003</v>
      </c>
      <c r="J2680" s="2" t="s">
        <v>22</v>
      </c>
      <c r="K2680" s="2" t="s">
        <v>104</v>
      </c>
      <c r="L2680" s="7">
        <f t="shared" si="123"/>
        <v>3245.58</v>
      </c>
      <c r="M2680" s="2" t="str">
        <f t="shared" si="124"/>
        <v>August</v>
      </c>
      <c r="N2680" s="6">
        <f t="shared" si="125"/>
        <v>2003</v>
      </c>
    </row>
    <row r="2681" spans="1:14">
      <c r="A2681" s="2" t="s">
        <v>69</v>
      </c>
      <c r="B2681" s="3">
        <v>10153</v>
      </c>
      <c r="C2681" s="3">
        <v>20</v>
      </c>
      <c r="D2681" s="13">
        <v>100</v>
      </c>
      <c r="E2681" s="5">
        <v>37892</v>
      </c>
      <c r="F2681" s="2" t="s">
        <v>13</v>
      </c>
      <c r="G2681" s="2" t="s">
        <v>214</v>
      </c>
      <c r="H2681" s="3">
        <v>3</v>
      </c>
      <c r="I2681" s="6">
        <v>2003</v>
      </c>
      <c r="J2681" s="2" t="s">
        <v>15</v>
      </c>
      <c r="K2681" s="2" t="s">
        <v>71</v>
      </c>
      <c r="L2681" s="7">
        <f t="shared" si="123"/>
        <v>2000</v>
      </c>
      <c r="M2681" s="2" t="str">
        <f t="shared" si="124"/>
        <v>September</v>
      </c>
      <c r="N2681" s="6">
        <f t="shared" si="125"/>
        <v>2003</v>
      </c>
    </row>
    <row r="2682" spans="1:14">
      <c r="A2682" s="2" t="s">
        <v>99</v>
      </c>
      <c r="B2682" s="3">
        <v>10167</v>
      </c>
      <c r="C2682" s="3">
        <v>28</v>
      </c>
      <c r="D2682" s="13">
        <v>100</v>
      </c>
      <c r="E2682" s="5">
        <v>37917</v>
      </c>
      <c r="F2682" s="2" t="s">
        <v>128</v>
      </c>
      <c r="G2682" s="2" t="s">
        <v>214</v>
      </c>
      <c r="H2682" s="3">
        <v>4</v>
      </c>
      <c r="I2682" s="6">
        <v>2003</v>
      </c>
      <c r="J2682" s="2" t="s">
        <v>22</v>
      </c>
      <c r="K2682" s="2" t="s">
        <v>100</v>
      </c>
      <c r="L2682" s="7">
        <f t="shared" si="123"/>
        <v>2800</v>
      </c>
      <c r="M2682" s="2" t="str">
        <f t="shared" si="124"/>
        <v>October</v>
      </c>
      <c r="N2682" s="6">
        <f t="shared" si="125"/>
        <v>2003</v>
      </c>
    </row>
    <row r="2683" spans="1:14">
      <c r="A2683" s="2" t="s">
        <v>181</v>
      </c>
      <c r="B2683" s="3">
        <v>10177</v>
      </c>
      <c r="C2683" s="3">
        <v>24</v>
      </c>
      <c r="D2683" s="13">
        <v>100</v>
      </c>
      <c r="E2683" s="5">
        <v>37932</v>
      </c>
      <c r="F2683" s="2" t="s">
        <v>13</v>
      </c>
      <c r="G2683" s="2" t="s">
        <v>214</v>
      </c>
      <c r="H2683" s="3">
        <v>4</v>
      </c>
      <c r="I2683" s="6">
        <v>2003</v>
      </c>
      <c r="J2683" s="2" t="s">
        <v>15</v>
      </c>
      <c r="K2683" s="2" t="s">
        <v>182</v>
      </c>
      <c r="L2683" s="7">
        <f t="shared" si="123"/>
        <v>2400</v>
      </c>
      <c r="M2683" s="2" t="str">
        <f t="shared" si="124"/>
        <v>November</v>
      </c>
      <c r="N2683" s="6">
        <f t="shared" si="125"/>
        <v>2003</v>
      </c>
    </row>
    <row r="2684" spans="1:14">
      <c r="A2684" s="2" t="s">
        <v>126</v>
      </c>
      <c r="B2684" s="3">
        <v>10185</v>
      </c>
      <c r="C2684" s="3">
        <v>22</v>
      </c>
      <c r="D2684" s="13">
        <v>79.45</v>
      </c>
      <c r="E2684" s="5">
        <v>37939</v>
      </c>
      <c r="F2684" s="2" t="s">
        <v>13</v>
      </c>
      <c r="G2684" s="2" t="s">
        <v>214</v>
      </c>
      <c r="H2684" s="3">
        <v>4</v>
      </c>
      <c r="I2684" s="6">
        <v>2003</v>
      </c>
      <c r="J2684" s="2" t="s">
        <v>15</v>
      </c>
      <c r="K2684" s="2" t="s">
        <v>127</v>
      </c>
      <c r="L2684" s="7">
        <f t="shared" si="123"/>
        <v>1747.9</v>
      </c>
      <c r="M2684" s="2" t="str">
        <f t="shared" si="124"/>
        <v>November</v>
      </c>
      <c r="N2684" s="6">
        <f t="shared" si="125"/>
        <v>2003</v>
      </c>
    </row>
    <row r="2685" spans="1:14">
      <c r="A2685" s="2" t="s">
        <v>133</v>
      </c>
      <c r="B2685" s="3">
        <v>10197</v>
      </c>
      <c r="C2685" s="3">
        <v>35</v>
      </c>
      <c r="D2685" s="13">
        <v>93.35</v>
      </c>
      <c r="E2685" s="5">
        <v>37951</v>
      </c>
      <c r="F2685" s="2" t="s">
        <v>13</v>
      </c>
      <c r="G2685" s="2" t="s">
        <v>214</v>
      </c>
      <c r="H2685" s="3">
        <v>4</v>
      </c>
      <c r="I2685" s="6">
        <v>2003</v>
      </c>
      <c r="J2685" s="2" t="s">
        <v>22</v>
      </c>
      <c r="K2685" s="2" t="s">
        <v>134</v>
      </c>
      <c r="L2685" s="7">
        <f t="shared" si="123"/>
        <v>3267.25</v>
      </c>
      <c r="M2685" s="2" t="str">
        <f t="shared" si="124"/>
        <v>November</v>
      </c>
      <c r="N2685" s="6">
        <f t="shared" si="125"/>
        <v>2003</v>
      </c>
    </row>
    <row r="2686" spans="1:14">
      <c r="A2686" s="2" t="s">
        <v>85</v>
      </c>
      <c r="B2686" s="3">
        <v>10208</v>
      </c>
      <c r="C2686" s="3">
        <v>33</v>
      </c>
      <c r="D2686" s="13">
        <v>85.41</v>
      </c>
      <c r="E2686" s="5">
        <v>37988</v>
      </c>
      <c r="F2686" s="2" t="s">
        <v>13</v>
      </c>
      <c r="G2686" s="2" t="s">
        <v>214</v>
      </c>
      <c r="H2686" s="3">
        <v>1</v>
      </c>
      <c r="I2686" s="6">
        <v>2004</v>
      </c>
      <c r="J2686" s="2" t="s">
        <v>15</v>
      </c>
      <c r="K2686" s="2" t="s">
        <v>86</v>
      </c>
      <c r="L2686" s="7">
        <f t="shared" si="123"/>
        <v>2818.53</v>
      </c>
      <c r="M2686" s="2" t="str">
        <f t="shared" si="124"/>
        <v>January</v>
      </c>
      <c r="N2686" s="6">
        <f t="shared" si="125"/>
        <v>2004</v>
      </c>
    </row>
    <row r="2687" spans="1:14">
      <c r="A2687" s="2" t="s">
        <v>137</v>
      </c>
      <c r="B2687" s="3">
        <v>10222</v>
      </c>
      <c r="C2687" s="3">
        <v>31</v>
      </c>
      <c r="D2687" s="13">
        <v>95.34</v>
      </c>
      <c r="E2687" s="5">
        <v>38036</v>
      </c>
      <c r="F2687" s="2" t="s">
        <v>13</v>
      </c>
      <c r="G2687" s="2" t="s">
        <v>214</v>
      </c>
      <c r="H2687" s="3">
        <v>1</v>
      </c>
      <c r="I2687" s="6">
        <v>2004</v>
      </c>
      <c r="J2687" s="2" t="s">
        <v>15</v>
      </c>
      <c r="K2687" s="2" t="s">
        <v>138</v>
      </c>
      <c r="L2687" s="7">
        <f t="shared" si="123"/>
        <v>2955.54</v>
      </c>
      <c r="M2687" s="2" t="str">
        <f t="shared" si="124"/>
        <v>February</v>
      </c>
      <c r="N2687" s="6">
        <f t="shared" si="125"/>
        <v>2004</v>
      </c>
    </row>
    <row r="2688" spans="1:14">
      <c r="A2688" s="2" t="s">
        <v>145</v>
      </c>
      <c r="B2688" s="3">
        <v>10232</v>
      </c>
      <c r="C2688" s="3">
        <v>35</v>
      </c>
      <c r="D2688" s="13">
        <v>82.43</v>
      </c>
      <c r="E2688" s="5">
        <v>38066</v>
      </c>
      <c r="F2688" s="2" t="s">
        <v>13</v>
      </c>
      <c r="G2688" s="2" t="s">
        <v>214</v>
      </c>
      <c r="H2688" s="3">
        <v>1</v>
      </c>
      <c r="I2688" s="6">
        <v>2004</v>
      </c>
      <c r="J2688" s="2" t="s">
        <v>15</v>
      </c>
      <c r="K2688" s="2" t="s">
        <v>146</v>
      </c>
      <c r="L2688" s="7">
        <f t="shared" si="123"/>
        <v>2885.05</v>
      </c>
      <c r="M2688" s="2" t="str">
        <f t="shared" si="124"/>
        <v>March</v>
      </c>
      <c r="N2688" s="6">
        <f t="shared" si="125"/>
        <v>2004</v>
      </c>
    </row>
    <row r="2689" spans="1:14">
      <c r="A2689" s="2" t="s">
        <v>12</v>
      </c>
      <c r="B2689" s="3">
        <v>10248</v>
      </c>
      <c r="C2689" s="3">
        <v>35</v>
      </c>
      <c r="D2689" s="13">
        <v>90.37</v>
      </c>
      <c r="E2689" s="5">
        <v>38114</v>
      </c>
      <c r="F2689" s="2" t="s">
        <v>128</v>
      </c>
      <c r="G2689" s="2" t="s">
        <v>214</v>
      </c>
      <c r="H2689" s="3">
        <v>2</v>
      </c>
      <c r="I2689" s="6">
        <v>2004</v>
      </c>
      <c r="J2689" s="2" t="s">
        <v>22</v>
      </c>
      <c r="K2689" s="2" t="s">
        <v>16</v>
      </c>
      <c r="L2689" s="7">
        <f t="shared" si="123"/>
        <v>3162.95</v>
      </c>
      <c r="M2689" s="2" t="str">
        <f t="shared" si="124"/>
        <v>May</v>
      </c>
      <c r="N2689" s="6">
        <f t="shared" si="125"/>
        <v>2004</v>
      </c>
    </row>
    <row r="2690" spans="1:14">
      <c r="A2690" s="2" t="s">
        <v>111</v>
      </c>
      <c r="B2690" s="3">
        <v>10261</v>
      </c>
      <c r="C2690" s="3">
        <v>50</v>
      </c>
      <c r="D2690" s="13">
        <v>81.43</v>
      </c>
      <c r="E2690" s="5">
        <v>38155</v>
      </c>
      <c r="F2690" s="2" t="s">
        <v>13</v>
      </c>
      <c r="G2690" s="2" t="s">
        <v>214</v>
      </c>
      <c r="H2690" s="3">
        <v>2</v>
      </c>
      <c r="I2690" s="6">
        <v>2004</v>
      </c>
      <c r="J2690" s="2" t="s">
        <v>22</v>
      </c>
      <c r="K2690" s="2" t="s">
        <v>112</v>
      </c>
      <c r="L2690" s="7">
        <f t="shared" ref="L2690:L2753" si="126">PRODUCT(C2690,D2690)</f>
        <v>4071.5</v>
      </c>
      <c r="M2690" s="2" t="str">
        <f t="shared" ref="M2690:M2753" si="127">TEXT(E2690,"MMMM")</f>
        <v>June</v>
      </c>
      <c r="N2690" s="6">
        <f t="shared" ref="N2690:N2753" si="128">YEAR(E2690)</f>
        <v>2004</v>
      </c>
    </row>
    <row r="2691" spans="1:14">
      <c r="A2691" s="2" t="s">
        <v>139</v>
      </c>
      <c r="B2691" s="3">
        <v>10273</v>
      </c>
      <c r="C2691" s="3">
        <v>26</v>
      </c>
      <c r="D2691" s="13">
        <v>100</v>
      </c>
      <c r="E2691" s="5">
        <v>38189</v>
      </c>
      <c r="F2691" s="2" t="s">
        <v>13</v>
      </c>
      <c r="G2691" s="2" t="s">
        <v>214</v>
      </c>
      <c r="H2691" s="3">
        <v>3</v>
      </c>
      <c r="I2691" s="6">
        <v>2004</v>
      </c>
      <c r="J2691" s="2" t="s">
        <v>15</v>
      </c>
      <c r="K2691" s="2" t="s">
        <v>140</v>
      </c>
      <c r="L2691" s="7">
        <f t="shared" si="126"/>
        <v>2600</v>
      </c>
      <c r="M2691" s="2" t="str">
        <f t="shared" si="127"/>
        <v>July</v>
      </c>
      <c r="N2691" s="6">
        <f t="shared" si="128"/>
        <v>2004</v>
      </c>
    </row>
    <row r="2692" spans="1:14">
      <c r="A2692" s="2" t="s">
        <v>141</v>
      </c>
      <c r="B2692" s="3">
        <v>10283</v>
      </c>
      <c r="C2692" s="3">
        <v>38</v>
      </c>
      <c r="D2692" s="13">
        <v>89.38</v>
      </c>
      <c r="E2692" s="5">
        <v>38219</v>
      </c>
      <c r="F2692" s="2" t="s">
        <v>13</v>
      </c>
      <c r="G2692" s="2" t="s">
        <v>214</v>
      </c>
      <c r="H2692" s="3">
        <v>3</v>
      </c>
      <c r="I2692" s="6">
        <v>2004</v>
      </c>
      <c r="J2692" s="2" t="s">
        <v>22</v>
      </c>
      <c r="K2692" s="2" t="s">
        <v>142</v>
      </c>
      <c r="L2692" s="7">
        <f t="shared" si="126"/>
        <v>3396.44</v>
      </c>
      <c r="M2692" s="2" t="str">
        <f t="shared" si="127"/>
        <v>August</v>
      </c>
      <c r="N2692" s="6">
        <f t="shared" si="128"/>
        <v>2004</v>
      </c>
    </row>
    <row r="2693" spans="1:14">
      <c r="A2693" s="2" t="s">
        <v>171</v>
      </c>
      <c r="B2693" s="3">
        <v>10294</v>
      </c>
      <c r="C2693" s="3">
        <v>45</v>
      </c>
      <c r="D2693" s="13">
        <v>100</v>
      </c>
      <c r="E2693" s="5">
        <v>38240</v>
      </c>
      <c r="F2693" s="2" t="s">
        <v>13</v>
      </c>
      <c r="G2693" s="2" t="s">
        <v>214</v>
      </c>
      <c r="H2693" s="3">
        <v>3</v>
      </c>
      <c r="I2693" s="6">
        <v>2004</v>
      </c>
      <c r="J2693" s="2" t="s">
        <v>22</v>
      </c>
      <c r="K2693" s="2" t="s">
        <v>172</v>
      </c>
      <c r="L2693" s="7">
        <f t="shared" si="126"/>
        <v>4500</v>
      </c>
      <c r="M2693" s="2" t="str">
        <f t="shared" si="127"/>
        <v>September</v>
      </c>
      <c r="N2693" s="6">
        <f t="shared" si="128"/>
        <v>2004</v>
      </c>
    </row>
    <row r="2694" spans="1:14">
      <c r="A2694" s="2" t="s">
        <v>183</v>
      </c>
      <c r="B2694" s="3">
        <v>10306</v>
      </c>
      <c r="C2694" s="3">
        <v>30</v>
      </c>
      <c r="D2694" s="13">
        <v>100</v>
      </c>
      <c r="E2694" s="5">
        <v>38274</v>
      </c>
      <c r="F2694" s="2" t="s">
        <v>13</v>
      </c>
      <c r="G2694" s="2" t="s">
        <v>214</v>
      </c>
      <c r="H2694" s="3">
        <v>4</v>
      </c>
      <c r="I2694" s="6">
        <v>2004</v>
      </c>
      <c r="J2694" s="2" t="s">
        <v>22</v>
      </c>
      <c r="K2694" s="2" t="s">
        <v>184</v>
      </c>
      <c r="L2694" s="7">
        <f t="shared" si="126"/>
        <v>3000</v>
      </c>
      <c r="M2694" s="2" t="str">
        <f t="shared" si="127"/>
        <v>October</v>
      </c>
      <c r="N2694" s="6">
        <f t="shared" si="128"/>
        <v>2004</v>
      </c>
    </row>
    <row r="2695" spans="1:14">
      <c r="A2695" s="2" t="s">
        <v>50</v>
      </c>
      <c r="B2695" s="3">
        <v>10315</v>
      </c>
      <c r="C2695" s="3">
        <v>37</v>
      </c>
      <c r="D2695" s="13">
        <v>91.37</v>
      </c>
      <c r="E2695" s="5">
        <v>38289</v>
      </c>
      <c r="F2695" s="2" t="s">
        <v>13</v>
      </c>
      <c r="G2695" s="2" t="s">
        <v>214</v>
      </c>
      <c r="H2695" s="3">
        <v>4</v>
      </c>
      <c r="I2695" s="6">
        <v>2004</v>
      </c>
      <c r="J2695" s="2" t="s">
        <v>22</v>
      </c>
      <c r="K2695" s="2" t="s">
        <v>51</v>
      </c>
      <c r="L2695" s="7">
        <f t="shared" si="126"/>
        <v>3380.69</v>
      </c>
      <c r="M2695" s="2" t="str">
        <f t="shared" si="127"/>
        <v>October</v>
      </c>
      <c r="N2695" s="6">
        <f t="shared" si="128"/>
        <v>2004</v>
      </c>
    </row>
    <row r="2696" spans="1:14">
      <c r="A2696" s="2" t="s">
        <v>122</v>
      </c>
      <c r="B2696" s="3">
        <v>10327</v>
      </c>
      <c r="C2696" s="3">
        <v>37</v>
      </c>
      <c r="D2696" s="13">
        <v>86.61</v>
      </c>
      <c r="E2696" s="5">
        <v>38301</v>
      </c>
      <c r="F2696" s="2" t="s">
        <v>155</v>
      </c>
      <c r="G2696" s="2" t="s">
        <v>214</v>
      </c>
      <c r="H2696" s="3">
        <v>4</v>
      </c>
      <c r="I2696" s="6">
        <v>2004</v>
      </c>
      <c r="J2696" s="2" t="s">
        <v>22</v>
      </c>
      <c r="K2696" s="2" t="s">
        <v>123</v>
      </c>
      <c r="L2696" s="7">
        <f t="shared" si="126"/>
        <v>3204.57</v>
      </c>
      <c r="M2696" s="2" t="str">
        <f t="shared" si="127"/>
        <v>November</v>
      </c>
      <c r="N2696" s="6">
        <f t="shared" si="128"/>
        <v>2004</v>
      </c>
    </row>
    <row r="2697" spans="1:14">
      <c r="A2697" s="2" t="s">
        <v>79</v>
      </c>
      <c r="B2697" s="3">
        <v>10337</v>
      </c>
      <c r="C2697" s="3">
        <v>36</v>
      </c>
      <c r="D2697" s="13">
        <v>71.89</v>
      </c>
      <c r="E2697" s="5">
        <v>38312</v>
      </c>
      <c r="F2697" s="2" t="s">
        <v>13</v>
      </c>
      <c r="G2697" s="2" t="s">
        <v>214</v>
      </c>
      <c r="H2697" s="3">
        <v>4</v>
      </c>
      <c r="I2697" s="6">
        <v>2004</v>
      </c>
      <c r="J2697" s="2" t="s">
        <v>15</v>
      </c>
      <c r="K2697" s="2" t="s">
        <v>80</v>
      </c>
      <c r="L2697" s="7">
        <f t="shared" si="126"/>
        <v>2588.04</v>
      </c>
      <c r="M2697" s="2" t="str">
        <f t="shared" si="127"/>
        <v>November</v>
      </c>
      <c r="N2697" s="6">
        <f t="shared" si="128"/>
        <v>2004</v>
      </c>
    </row>
    <row r="2698" spans="1:14">
      <c r="A2698" s="2" t="s">
        <v>69</v>
      </c>
      <c r="B2698" s="3">
        <v>10350</v>
      </c>
      <c r="C2698" s="3">
        <v>25</v>
      </c>
      <c r="D2698" s="13">
        <v>100</v>
      </c>
      <c r="E2698" s="5">
        <v>38323</v>
      </c>
      <c r="F2698" s="2" t="s">
        <v>13</v>
      </c>
      <c r="G2698" s="2" t="s">
        <v>214</v>
      </c>
      <c r="H2698" s="3">
        <v>4</v>
      </c>
      <c r="I2698" s="6">
        <v>2004</v>
      </c>
      <c r="J2698" s="2" t="s">
        <v>15</v>
      </c>
      <c r="K2698" s="2" t="s">
        <v>71</v>
      </c>
      <c r="L2698" s="7">
        <f t="shared" si="126"/>
        <v>2500</v>
      </c>
      <c r="M2698" s="2" t="str">
        <f t="shared" si="127"/>
        <v>December</v>
      </c>
      <c r="N2698" s="6">
        <f t="shared" si="128"/>
        <v>2004</v>
      </c>
    </row>
    <row r="2699" spans="1:14">
      <c r="A2699" s="2" t="s">
        <v>147</v>
      </c>
      <c r="B2699" s="3">
        <v>10373</v>
      </c>
      <c r="C2699" s="3">
        <v>37</v>
      </c>
      <c r="D2699" s="13">
        <v>100</v>
      </c>
      <c r="E2699" s="5">
        <v>38383</v>
      </c>
      <c r="F2699" s="2" t="s">
        <v>13</v>
      </c>
      <c r="G2699" s="2" t="s">
        <v>214</v>
      </c>
      <c r="H2699" s="3">
        <v>1</v>
      </c>
      <c r="I2699" s="6">
        <v>2005</v>
      </c>
      <c r="J2699" s="2" t="s">
        <v>22</v>
      </c>
      <c r="K2699" s="2" t="s">
        <v>148</v>
      </c>
      <c r="L2699" s="7">
        <f t="shared" si="126"/>
        <v>3700</v>
      </c>
      <c r="M2699" s="2" t="str">
        <f t="shared" si="127"/>
        <v>January</v>
      </c>
      <c r="N2699" s="6">
        <f t="shared" si="128"/>
        <v>2005</v>
      </c>
    </row>
    <row r="2700" spans="1:14">
      <c r="A2700" s="2" t="s">
        <v>69</v>
      </c>
      <c r="B2700" s="3">
        <v>10386</v>
      </c>
      <c r="C2700" s="3">
        <v>30</v>
      </c>
      <c r="D2700" s="13">
        <v>95.48</v>
      </c>
      <c r="E2700" s="5">
        <v>38412</v>
      </c>
      <c r="F2700" s="2" t="s">
        <v>155</v>
      </c>
      <c r="G2700" s="2" t="s">
        <v>214</v>
      </c>
      <c r="H2700" s="3">
        <v>1</v>
      </c>
      <c r="I2700" s="6">
        <v>2005</v>
      </c>
      <c r="J2700" s="2" t="s">
        <v>15</v>
      </c>
      <c r="K2700" s="2" t="s">
        <v>71</v>
      </c>
      <c r="L2700" s="7">
        <f t="shared" si="126"/>
        <v>2864.4</v>
      </c>
      <c r="M2700" s="2" t="str">
        <f t="shared" si="127"/>
        <v>March</v>
      </c>
      <c r="N2700" s="6">
        <f t="shared" si="128"/>
        <v>2005</v>
      </c>
    </row>
    <row r="2701" spans="1:14">
      <c r="A2701" s="2" t="s">
        <v>129</v>
      </c>
      <c r="B2701" s="3">
        <v>10397</v>
      </c>
      <c r="C2701" s="3">
        <v>36</v>
      </c>
      <c r="D2701" s="13">
        <v>100</v>
      </c>
      <c r="E2701" s="5">
        <v>38439</v>
      </c>
      <c r="F2701" s="2" t="s">
        <v>13</v>
      </c>
      <c r="G2701" s="2" t="s">
        <v>214</v>
      </c>
      <c r="H2701" s="3">
        <v>1</v>
      </c>
      <c r="I2701" s="6">
        <v>2005</v>
      </c>
      <c r="J2701" s="2" t="s">
        <v>22</v>
      </c>
      <c r="K2701" s="2" t="s">
        <v>130</v>
      </c>
      <c r="L2701" s="7">
        <f t="shared" si="126"/>
        <v>3600</v>
      </c>
      <c r="M2701" s="2" t="str">
        <f t="shared" si="127"/>
        <v>March</v>
      </c>
      <c r="N2701" s="6">
        <f t="shared" si="128"/>
        <v>2005</v>
      </c>
    </row>
    <row r="2702" spans="1:14">
      <c r="A2702" s="2" t="s">
        <v>143</v>
      </c>
      <c r="B2702" s="3">
        <v>10414</v>
      </c>
      <c r="C2702" s="3">
        <v>27</v>
      </c>
      <c r="D2702" s="13">
        <v>90.37</v>
      </c>
      <c r="E2702" s="5">
        <v>38478</v>
      </c>
      <c r="F2702" s="2" t="s">
        <v>151</v>
      </c>
      <c r="G2702" s="2" t="s">
        <v>214</v>
      </c>
      <c r="H2702" s="3">
        <v>2</v>
      </c>
      <c r="I2702" s="6">
        <v>2005</v>
      </c>
      <c r="J2702" s="2" t="s">
        <v>15</v>
      </c>
      <c r="K2702" s="2" t="s">
        <v>144</v>
      </c>
      <c r="L2702" s="7">
        <f t="shared" si="126"/>
        <v>2439.99</v>
      </c>
      <c r="M2702" s="2" t="str">
        <f t="shared" si="127"/>
        <v>May</v>
      </c>
      <c r="N2702" s="6">
        <f t="shared" si="128"/>
        <v>2005</v>
      </c>
    </row>
    <row r="2703" spans="1:14">
      <c r="A2703" s="2" t="s">
        <v>203</v>
      </c>
      <c r="B2703" s="3">
        <v>10106</v>
      </c>
      <c r="C2703" s="3">
        <v>48</v>
      </c>
      <c r="D2703" s="13">
        <v>61.44</v>
      </c>
      <c r="E2703" s="5">
        <v>37669</v>
      </c>
      <c r="F2703" s="2" t="s">
        <v>13</v>
      </c>
      <c r="G2703" s="2" t="s">
        <v>207</v>
      </c>
      <c r="H2703" s="3">
        <v>1</v>
      </c>
      <c r="I2703" s="6">
        <v>2003</v>
      </c>
      <c r="J2703" s="2" t="s">
        <v>15</v>
      </c>
      <c r="K2703" s="2" t="s">
        <v>204</v>
      </c>
      <c r="L2703" s="7">
        <f t="shared" si="126"/>
        <v>2949.12</v>
      </c>
      <c r="M2703" s="2" t="str">
        <f t="shared" si="127"/>
        <v>February</v>
      </c>
      <c r="N2703" s="6">
        <f t="shared" si="128"/>
        <v>2003</v>
      </c>
    </row>
    <row r="2704" spans="1:14">
      <c r="A2704" s="2" t="s">
        <v>60</v>
      </c>
      <c r="B2704" s="3">
        <v>10119</v>
      </c>
      <c r="C2704" s="3">
        <v>26</v>
      </c>
      <c r="D2704" s="13">
        <v>59.22</v>
      </c>
      <c r="E2704" s="5">
        <v>37739</v>
      </c>
      <c r="F2704" s="2" t="s">
        <v>13</v>
      </c>
      <c r="G2704" s="2" t="s">
        <v>207</v>
      </c>
      <c r="H2704" s="3">
        <v>2</v>
      </c>
      <c r="I2704" s="6">
        <v>2003</v>
      </c>
      <c r="J2704" s="2" t="s">
        <v>15</v>
      </c>
      <c r="K2704" s="2" t="s">
        <v>62</v>
      </c>
      <c r="L2704" s="7">
        <f t="shared" si="126"/>
        <v>1539.72</v>
      </c>
      <c r="M2704" s="2" t="str">
        <f t="shared" si="127"/>
        <v>April</v>
      </c>
      <c r="N2704" s="6">
        <f t="shared" si="128"/>
        <v>2003</v>
      </c>
    </row>
    <row r="2705" spans="1:14">
      <c r="A2705" s="2" t="s">
        <v>208</v>
      </c>
      <c r="B2705" s="3">
        <v>10131</v>
      </c>
      <c r="C2705" s="3">
        <v>26</v>
      </c>
      <c r="D2705" s="13">
        <v>85.13</v>
      </c>
      <c r="E2705" s="5">
        <v>37788</v>
      </c>
      <c r="F2705" s="2" t="s">
        <v>13</v>
      </c>
      <c r="G2705" s="2" t="s">
        <v>207</v>
      </c>
      <c r="H2705" s="3">
        <v>2</v>
      </c>
      <c r="I2705" s="6">
        <v>2003</v>
      </c>
      <c r="J2705" s="2" t="s">
        <v>15</v>
      </c>
      <c r="K2705" s="2" t="s">
        <v>209</v>
      </c>
      <c r="L2705" s="7">
        <f t="shared" si="126"/>
        <v>2213.38</v>
      </c>
      <c r="M2705" s="2" t="str">
        <f t="shared" si="127"/>
        <v>June</v>
      </c>
      <c r="N2705" s="6">
        <f t="shared" si="128"/>
        <v>2003</v>
      </c>
    </row>
    <row r="2706" spans="1:14">
      <c r="A2706" s="2" t="s">
        <v>126</v>
      </c>
      <c r="B2706" s="3">
        <v>10143</v>
      </c>
      <c r="C2706" s="3">
        <v>34</v>
      </c>
      <c r="D2706" s="13">
        <v>85.87</v>
      </c>
      <c r="E2706" s="5">
        <v>37843</v>
      </c>
      <c r="F2706" s="2" t="s">
        <v>13</v>
      </c>
      <c r="G2706" s="2" t="s">
        <v>207</v>
      </c>
      <c r="H2706" s="3">
        <v>3</v>
      </c>
      <c r="I2706" s="6">
        <v>2003</v>
      </c>
      <c r="J2706" s="2" t="s">
        <v>15</v>
      </c>
      <c r="K2706" s="2" t="s">
        <v>127</v>
      </c>
      <c r="L2706" s="7">
        <f t="shared" si="126"/>
        <v>2919.58</v>
      </c>
      <c r="M2706" s="2" t="str">
        <f t="shared" si="127"/>
        <v>August</v>
      </c>
      <c r="N2706" s="6">
        <f t="shared" si="128"/>
        <v>2003</v>
      </c>
    </row>
    <row r="2707" spans="1:14">
      <c r="A2707" s="2" t="s">
        <v>54</v>
      </c>
      <c r="B2707" s="3">
        <v>10155</v>
      </c>
      <c r="C2707" s="3">
        <v>44</v>
      </c>
      <c r="D2707" s="13">
        <v>85.87</v>
      </c>
      <c r="E2707" s="5">
        <v>37900</v>
      </c>
      <c r="F2707" s="2" t="s">
        <v>13</v>
      </c>
      <c r="G2707" s="2" t="s">
        <v>207</v>
      </c>
      <c r="H2707" s="3">
        <v>4</v>
      </c>
      <c r="I2707" s="6">
        <v>2003</v>
      </c>
      <c r="J2707" s="2" t="s">
        <v>22</v>
      </c>
      <c r="K2707" s="2" t="s">
        <v>55</v>
      </c>
      <c r="L2707" s="7">
        <f t="shared" si="126"/>
        <v>3778.28</v>
      </c>
      <c r="M2707" s="2" t="str">
        <f t="shared" si="127"/>
        <v>October</v>
      </c>
      <c r="N2707" s="6">
        <f t="shared" si="128"/>
        <v>2003</v>
      </c>
    </row>
    <row r="2708" spans="1:14">
      <c r="A2708" s="2" t="s">
        <v>31</v>
      </c>
      <c r="B2708" s="3">
        <v>10168</v>
      </c>
      <c r="C2708" s="3">
        <v>39</v>
      </c>
      <c r="D2708" s="13">
        <v>82.91</v>
      </c>
      <c r="E2708" s="5">
        <v>37922</v>
      </c>
      <c r="F2708" s="2" t="s">
        <v>13</v>
      </c>
      <c r="G2708" s="2" t="s">
        <v>207</v>
      </c>
      <c r="H2708" s="3">
        <v>4</v>
      </c>
      <c r="I2708" s="6">
        <v>2003</v>
      </c>
      <c r="J2708" s="2" t="s">
        <v>22</v>
      </c>
      <c r="K2708" s="2" t="s">
        <v>32</v>
      </c>
      <c r="L2708" s="7">
        <f t="shared" si="126"/>
        <v>3233.49</v>
      </c>
      <c r="M2708" s="2" t="str">
        <f t="shared" si="127"/>
        <v>October</v>
      </c>
      <c r="N2708" s="6">
        <f t="shared" si="128"/>
        <v>2003</v>
      </c>
    </row>
    <row r="2709" spans="1:14">
      <c r="A2709" s="2" t="s">
        <v>129</v>
      </c>
      <c r="B2709" s="3">
        <v>10178</v>
      </c>
      <c r="C2709" s="3">
        <v>45</v>
      </c>
      <c r="D2709" s="13">
        <v>76.25</v>
      </c>
      <c r="E2709" s="5">
        <v>37933</v>
      </c>
      <c r="F2709" s="2" t="s">
        <v>13</v>
      </c>
      <c r="G2709" s="2" t="s">
        <v>207</v>
      </c>
      <c r="H2709" s="3">
        <v>4</v>
      </c>
      <c r="I2709" s="6">
        <v>2003</v>
      </c>
      <c r="J2709" s="2" t="s">
        <v>22</v>
      </c>
      <c r="K2709" s="2" t="s">
        <v>130</v>
      </c>
      <c r="L2709" s="7">
        <f t="shared" si="126"/>
        <v>3431.25</v>
      </c>
      <c r="M2709" s="2" t="str">
        <f t="shared" si="127"/>
        <v>November</v>
      </c>
      <c r="N2709" s="6">
        <f t="shared" si="128"/>
        <v>2003</v>
      </c>
    </row>
    <row r="2710" spans="1:14">
      <c r="A2710" s="2" t="s">
        <v>161</v>
      </c>
      <c r="B2710" s="3">
        <v>10198</v>
      </c>
      <c r="C2710" s="3">
        <v>40</v>
      </c>
      <c r="D2710" s="13">
        <v>63.67</v>
      </c>
      <c r="E2710" s="5">
        <v>37952</v>
      </c>
      <c r="F2710" s="2" t="s">
        <v>13</v>
      </c>
      <c r="G2710" s="2" t="s">
        <v>207</v>
      </c>
      <c r="H2710" s="3">
        <v>4</v>
      </c>
      <c r="I2710" s="6">
        <v>2003</v>
      </c>
      <c r="J2710" s="2" t="s">
        <v>15</v>
      </c>
      <c r="K2710" s="2" t="s">
        <v>162</v>
      </c>
      <c r="L2710" s="7">
        <f t="shared" si="126"/>
        <v>2546.8</v>
      </c>
      <c r="M2710" s="2" t="str">
        <f t="shared" si="127"/>
        <v>November</v>
      </c>
      <c r="N2710" s="6">
        <f t="shared" si="128"/>
        <v>2003</v>
      </c>
    </row>
    <row r="2711" spans="1:14">
      <c r="A2711" s="2" t="s">
        <v>114</v>
      </c>
      <c r="B2711" s="3">
        <v>10210</v>
      </c>
      <c r="C2711" s="3">
        <v>42</v>
      </c>
      <c r="D2711" s="13">
        <v>70.33</v>
      </c>
      <c r="E2711" s="5">
        <v>37998</v>
      </c>
      <c r="F2711" s="2" t="s">
        <v>13</v>
      </c>
      <c r="G2711" s="2" t="s">
        <v>207</v>
      </c>
      <c r="H2711" s="3">
        <v>1</v>
      </c>
      <c r="I2711" s="6">
        <v>2004</v>
      </c>
      <c r="J2711" s="2" t="s">
        <v>15</v>
      </c>
      <c r="K2711" s="2" t="s">
        <v>115</v>
      </c>
      <c r="L2711" s="7">
        <f t="shared" si="126"/>
        <v>2953.86</v>
      </c>
      <c r="M2711" s="2" t="str">
        <f t="shared" si="127"/>
        <v>January</v>
      </c>
      <c r="N2711" s="6">
        <f t="shared" si="128"/>
        <v>2004</v>
      </c>
    </row>
    <row r="2712" spans="1:14">
      <c r="A2712" s="2" t="s">
        <v>137</v>
      </c>
      <c r="B2712" s="3">
        <v>10222</v>
      </c>
      <c r="C2712" s="3">
        <v>43</v>
      </c>
      <c r="D2712" s="13">
        <v>74.03</v>
      </c>
      <c r="E2712" s="5">
        <v>38036</v>
      </c>
      <c r="F2712" s="2" t="s">
        <v>13</v>
      </c>
      <c r="G2712" s="2" t="s">
        <v>207</v>
      </c>
      <c r="H2712" s="3">
        <v>1</v>
      </c>
      <c r="I2712" s="6">
        <v>2004</v>
      </c>
      <c r="J2712" s="2" t="s">
        <v>22</v>
      </c>
      <c r="K2712" s="2" t="s">
        <v>138</v>
      </c>
      <c r="L2712" s="7">
        <f t="shared" si="126"/>
        <v>3183.29</v>
      </c>
      <c r="M2712" s="2" t="str">
        <f t="shared" si="127"/>
        <v>February</v>
      </c>
      <c r="N2712" s="6">
        <f t="shared" si="128"/>
        <v>2004</v>
      </c>
    </row>
    <row r="2713" spans="1:14">
      <c r="A2713" s="2" t="s">
        <v>141</v>
      </c>
      <c r="B2713" s="3">
        <v>10235</v>
      </c>
      <c r="C2713" s="3">
        <v>34</v>
      </c>
      <c r="D2713" s="13">
        <v>72.55</v>
      </c>
      <c r="E2713" s="5">
        <v>38079</v>
      </c>
      <c r="F2713" s="2" t="s">
        <v>13</v>
      </c>
      <c r="G2713" s="2" t="s">
        <v>207</v>
      </c>
      <c r="H2713" s="3">
        <v>2</v>
      </c>
      <c r="I2713" s="6">
        <v>2004</v>
      </c>
      <c r="J2713" s="2" t="s">
        <v>15</v>
      </c>
      <c r="K2713" s="2" t="s">
        <v>142</v>
      </c>
      <c r="L2713" s="7">
        <f t="shared" si="126"/>
        <v>2466.7</v>
      </c>
      <c r="M2713" s="2" t="str">
        <f t="shared" si="127"/>
        <v>April</v>
      </c>
      <c r="N2713" s="6">
        <f t="shared" si="128"/>
        <v>2004</v>
      </c>
    </row>
    <row r="2714" spans="1:14">
      <c r="A2714" s="2" t="s">
        <v>149</v>
      </c>
      <c r="B2714" s="3">
        <v>10250</v>
      </c>
      <c r="C2714" s="3">
        <v>38</v>
      </c>
      <c r="D2714" s="13">
        <v>62.19</v>
      </c>
      <c r="E2714" s="5">
        <v>38118</v>
      </c>
      <c r="F2714" s="2" t="s">
        <v>13</v>
      </c>
      <c r="G2714" s="2" t="s">
        <v>207</v>
      </c>
      <c r="H2714" s="3">
        <v>2</v>
      </c>
      <c r="I2714" s="6">
        <v>2004</v>
      </c>
      <c r="J2714" s="2" t="s">
        <v>15</v>
      </c>
      <c r="K2714" s="2" t="s">
        <v>150</v>
      </c>
      <c r="L2714" s="7">
        <f t="shared" si="126"/>
        <v>2363.22</v>
      </c>
      <c r="M2714" s="2" t="str">
        <f t="shared" si="127"/>
        <v>May</v>
      </c>
      <c r="N2714" s="6">
        <f t="shared" si="128"/>
        <v>2004</v>
      </c>
    </row>
    <row r="2715" spans="1:14">
      <c r="A2715" s="2" t="s">
        <v>69</v>
      </c>
      <c r="B2715" s="3">
        <v>10262</v>
      </c>
      <c r="C2715" s="3">
        <v>35</v>
      </c>
      <c r="D2715" s="13">
        <v>71.07</v>
      </c>
      <c r="E2715" s="5">
        <v>38162</v>
      </c>
      <c r="F2715" s="2" t="s">
        <v>128</v>
      </c>
      <c r="G2715" s="2" t="s">
        <v>207</v>
      </c>
      <c r="H2715" s="3">
        <v>2</v>
      </c>
      <c r="I2715" s="6">
        <v>2004</v>
      </c>
      <c r="J2715" s="2" t="s">
        <v>15</v>
      </c>
      <c r="K2715" s="2" t="s">
        <v>71</v>
      </c>
      <c r="L2715" s="7">
        <f t="shared" si="126"/>
        <v>2487.45</v>
      </c>
      <c r="M2715" s="2" t="str">
        <f t="shared" si="127"/>
        <v>June</v>
      </c>
      <c r="N2715" s="6">
        <f t="shared" si="128"/>
        <v>2004</v>
      </c>
    </row>
    <row r="2716" spans="1:14">
      <c r="A2716" s="2" t="s">
        <v>50</v>
      </c>
      <c r="B2716" s="3">
        <v>10275</v>
      </c>
      <c r="C2716" s="3">
        <v>31</v>
      </c>
      <c r="D2716" s="13">
        <v>72.55</v>
      </c>
      <c r="E2716" s="5">
        <v>38191</v>
      </c>
      <c r="F2716" s="2" t="s">
        <v>13</v>
      </c>
      <c r="G2716" s="2" t="s">
        <v>207</v>
      </c>
      <c r="H2716" s="3">
        <v>3</v>
      </c>
      <c r="I2716" s="6">
        <v>2004</v>
      </c>
      <c r="J2716" s="2" t="s">
        <v>15</v>
      </c>
      <c r="K2716" s="2" t="s">
        <v>51</v>
      </c>
      <c r="L2716" s="7">
        <f t="shared" si="126"/>
        <v>2249.05</v>
      </c>
      <c r="M2716" s="2" t="str">
        <f t="shared" si="127"/>
        <v>July</v>
      </c>
      <c r="N2716" s="6">
        <f t="shared" si="128"/>
        <v>2004</v>
      </c>
    </row>
    <row r="2717" spans="1:14">
      <c r="A2717" s="2" t="s">
        <v>200</v>
      </c>
      <c r="B2717" s="3">
        <v>10284</v>
      </c>
      <c r="C2717" s="3">
        <v>32</v>
      </c>
      <c r="D2717" s="13">
        <v>64.41</v>
      </c>
      <c r="E2717" s="5">
        <v>38220</v>
      </c>
      <c r="F2717" s="2" t="s">
        <v>13</v>
      </c>
      <c r="G2717" s="2" t="s">
        <v>207</v>
      </c>
      <c r="H2717" s="3">
        <v>3</v>
      </c>
      <c r="I2717" s="6">
        <v>2004</v>
      </c>
      <c r="J2717" s="2" t="s">
        <v>15</v>
      </c>
      <c r="K2717" s="2" t="s">
        <v>201</v>
      </c>
      <c r="L2717" s="7">
        <f t="shared" si="126"/>
        <v>2061.12</v>
      </c>
      <c r="M2717" s="2" t="str">
        <f t="shared" si="127"/>
        <v>August</v>
      </c>
      <c r="N2717" s="6">
        <f t="shared" si="128"/>
        <v>2004</v>
      </c>
    </row>
    <row r="2718" spans="1:14">
      <c r="A2718" s="2" t="s">
        <v>210</v>
      </c>
      <c r="B2718" s="3">
        <v>10296</v>
      </c>
      <c r="C2718" s="3">
        <v>47</v>
      </c>
      <c r="D2718" s="13">
        <v>86.62</v>
      </c>
      <c r="E2718" s="5">
        <v>38245</v>
      </c>
      <c r="F2718" s="2" t="s">
        <v>13</v>
      </c>
      <c r="G2718" s="2" t="s">
        <v>207</v>
      </c>
      <c r="H2718" s="3">
        <v>3</v>
      </c>
      <c r="I2718" s="6">
        <v>2004</v>
      </c>
      <c r="J2718" s="2" t="s">
        <v>22</v>
      </c>
      <c r="K2718" s="2" t="s">
        <v>211</v>
      </c>
      <c r="L2718" s="7">
        <f t="shared" si="126"/>
        <v>4071.14</v>
      </c>
      <c r="M2718" s="2" t="str">
        <f t="shared" si="127"/>
        <v>September</v>
      </c>
      <c r="N2718" s="6">
        <f t="shared" si="128"/>
        <v>2004</v>
      </c>
    </row>
    <row r="2719" spans="1:14">
      <c r="A2719" s="2" t="s">
        <v>120</v>
      </c>
      <c r="B2719" s="3">
        <v>10308</v>
      </c>
      <c r="C2719" s="3">
        <v>39</v>
      </c>
      <c r="D2719" s="13">
        <v>68.11</v>
      </c>
      <c r="E2719" s="5">
        <v>38275</v>
      </c>
      <c r="F2719" s="2" t="s">
        <v>13</v>
      </c>
      <c r="G2719" s="2" t="s">
        <v>207</v>
      </c>
      <c r="H2719" s="3">
        <v>4</v>
      </c>
      <c r="I2719" s="6">
        <v>2004</v>
      </c>
      <c r="J2719" s="2" t="s">
        <v>15</v>
      </c>
      <c r="K2719" s="2" t="s">
        <v>121</v>
      </c>
      <c r="L2719" s="7">
        <f t="shared" si="126"/>
        <v>2656.29</v>
      </c>
      <c r="M2719" s="2" t="str">
        <f t="shared" si="127"/>
        <v>October</v>
      </c>
      <c r="N2719" s="6">
        <f t="shared" si="128"/>
        <v>2004</v>
      </c>
    </row>
    <row r="2720" spans="1:14">
      <c r="A2720" s="2" t="s">
        <v>145</v>
      </c>
      <c r="B2720" s="3">
        <v>10316</v>
      </c>
      <c r="C2720" s="3">
        <v>44</v>
      </c>
      <c r="D2720" s="13">
        <v>62.19</v>
      </c>
      <c r="E2720" s="5">
        <v>38292</v>
      </c>
      <c r="F2720" s="2" t="s">
        <v>13</v>
      </c>
      <c r="G2720" s="2" t="s">
        <v>207</v>
      </c>
      <c r="H2720" s="3">
        <v>4</v>
      </c>
      <c r="I2720" s="6">
        <v>2004</v>
      </c>
      <c r="J2720" s="2" t="s">
        <v>15</v>
      </c>
      <c r="K2720" s="2" t="s">
        <v>146</v>
      </c>
      <c r="L2720" s="7">
        <f t="shared" si="126"/>
        <v>2736.36</v>
      </c>
      <c r="M2720" s="2" t="str">
        <f t="shared" si="127"/>
        <v>November</v>
      </c>
      <c r="N2720" s="6">
        <f t="shared" si="128"/>
        <v>2004</v>
      </c>
    </row>
    <row r="2721" spans="1:14">
      <c r="A2721" s="2" t="s">
        <v>203</v>
      </c>
      <c r="B2721" s="3">
        <v>10328</v>
      </c>
      <c r="C2721" s="3">
        <v>39</v>
      </c>
      <c r="D2721" s="13">
        <v>85.87</v>
      </c>
      <c r="E2721" s="5">
        <v>38303</v>
      </c>
      <c r="F2721" s="2" t="s">
        <v>13</v>
      </c>
      <c r="G2721" s="2" t="s">
        <v>207</v>
      </c>
      <c r="H2721" s="3">
        <v>4</v>
      </c>
      <c r="I2721" s="6">
        <v>2004</v>
      </c>
      <c r="J2721" s="2" t="s">
        <v>22</v>
      </c>
      <c r="K2721" s="2" t="s">
        <v>204</v>
      </c>
      <c r="L2721" s="7">
        <f t="shared" si="126"/>
        <v>3348.93</v>
      </c>
      <c r="M2721" s="2" t="str">
        <f t="shared" si="127"/>
        <v>November</v>
      </c>
      <c r="N2721" s="6">
        <f t="shared" si="128"/>
        <v>2004</v>
      </c>
    </row>
    <row r="2722" spans="1:14">
      <c r="A2722" s="2" t="s">
        <v>95</v>
      </c>
      <c r="B2722" s="3">
        <v>10339</v>
      </c>
      <c r="C2722" s="3">
        <v>50</v>
      </c>
      <c r="D2722" s="13">
        <v>57.86</v>
      </c>
      <c r="E2722" s="5">
        <v>38314</v>
      </c>
      <c r="F2722" s="2" t="s">
        <v>13</v>
      </c>
      <c r="G2722" s="2" t="s">
        <v>207</v>
      </c>
      <c r="H2722" s="3">
        <v>4</v>
      </c>
      <c r="I2722" s="6">
        <v>2004</v>
      </c>
      <c r="J2722" s="2" t="s">
        <v>15</v>
      </c>
      <c r="K2722" s="2" t="s">
        <v>96</v>
      </c>
      <c r="L2722" s="7">
        <f t="shared" si="126"/>
        <v>2893</v>
      </c>
      <c r="M2722" s="2" t="str">
        <f t="shared" si="127"/>
        <v>November</v>
      </c>
      <c r="N2722" s="6">
        <f t="shared" si="128"/>
        <v>2004</v>
      </c>
    </row>
    <row r="2723" spans="1:14">
      <c r="A2723" s="2" t="s">
        <v>215</v>
      </c>
      <c r="B2723" s="3">
        <v>10352</v>
      </c>
      <c r="C2723" s="3">
        <v>22</v>
      </c>
      <c r="D2723" s="13">
        <v>75.51</v>
      </c>
      <c r="E2723" s="5">
        <v>38324</v>
      </c>
      <c r="F2723" s="2" t="s">
        <v>13</v>
      </c>
      <c r="G2723" s="2" t="s">
        <v>207</v>
      </c>
      <c r="H2723" s="3">
        <v>4</v>
      </c>
      <c r="I2723" s="6">
        <v>2004</v>
      </c>
      <c r="J2723" s="2" t="s">
        <v>15</v>
      </c>
      <c r="K2723" s="2" t="s">
        <v>216</v>
      </c>
      <c r="L2723" s="7">
        <f t="shared" si="126"/>
        <v>1661.22</v>
      </c>
      <c r="M2723" s="2" t="str">
        <f t="shared" si="127"/>
        <v>December</v>
      </c>
      <c r="N2723" s="6">
        <f t="shared" si="128"/>
        <v>2004</v>
      </c>
    </row>
    <row r="2724" spans="1:14">
      <c r="A2724" s="2" t="s">
        <v>63</v>
      </c>
      <c r="B2724" s="3">
        <v>10361</v>
      </c>
      <c r="C2724" s="3">
        <v>35</v>
      </c>
      <c r="D2724" s="13">
        <v>100</v>
      </c>
      <c r="E2724" s="5">
        <v>38338</v>
      </c>
      <c r="F2724" s="2" t="s">
        <v>13</v>
      </c>
      <c r="G2724" s="2" t="s">
        <v>207</v>
      </c>
      <c r="H2724" s="3">
        <v>4</v>
      </c>
      <c r="I2724" s="6">
        <v>2004</v>
      </c>
      <c r="J2724" s="2" t="s">
        <v>22</v>
      </c>
      <c r="K2724" s="2" t="s">
        <v>64</v>
      </c>
      <c r="L2724" s="7">
        <f t="shared" si="126"/>
        <v>3500</v>
      </c>
      <c r="M2724" s="2" t="str">
        <f t="shared" si="127"/>
        <v>December</v>
      </c>
      <c r="N2724" s="6">
        <f t="shared" si="128"/>
        <v>2004</v>
      </c>
    </row>
    <row r="2725" spans="1:14">
      <c r="A2725" s="2" t="s">
        <v>147</v>
      </c>
      <c r="B2725" s="3">
        <v>10373</v>
      </c>
      <c r="C2725" s="3">
        <v>45</v>
      </c>
      <c r="D2725" s="13">
        <v>55.62</v>
      </c>
      <c r="E2725" s="5">
        <v>38383</v>
      </c>
      <c r="F2725" s="2" t="s">
        <v>13</v>
      </c>
      <c r="G2725" s="2" t="s">
        <v>207</v>
      </c>
      <c r="H2725" s="3">
        <v>1</v>
      </c>
      <c r="I2725" s="6">
        <v>2005</v>
      </c>
      <c r="J2725" s="2" t="s">
        <v>15</v>
      </c>
      <c r="K2725" s="2" t="s">
        <v>148</v>
      </c>
      <c r="L2725" s="7">
        <f t="shared" si="126"/>
        <v>2502.9</v>
      </c>
      <c r="M2725" s="2" t="str">
        <f t="shared" si="127"/>
        <v>January</v>
      </c>
      <c r="N2725" s="6">
        <f t="shared" si="128"/>
        <v>2005</v>
      </c>
    </row>
    <row r="2726" spans="1:14">
      <c r="A2726" s="2" t="s">
        <v>69</v>
      </c>
      <c r="B2726" s="3">
        <v>10386</v>
      </c>
      <c r="C2726" s="3">
        <v>44</v>
      </c>
      <c r="D2726" s="13">
        <v>86.4</v>
      </c>
      <c r="E2726" s="5">
        <v>38412</v>
      </c>
      <c r="F2726" s="2" t="s">
        <v>155</v>
      </c>
      <c r="G2726" s="2" t="s">
        <v>207</v>
      </c>
      <c r="H2726" s="3">
        <v>1</v>
      </c>
      <c r="I2726" s="6">
        <v>2005</v>
      </c>
      <c r="J2726" s="2" t="s">
        <v>22</v>
      </c>
      <c r="K2726" s="2" t="s">
        <v>71</v>
      </c>
      <c r="L2726" s="7">
        <f t="shared" si="126"/>
        <v>3801.6</v>
      </c>
      <c r="M2726" s="2" t="str">
        <f t="shared" si="127"/>
        <v>March</v>
      </c>
      <c r="N2726" s="6">
        <f t="shared" si="128"/>
        <v>2005</v>
      </c>
    </row>
    <row r="2727" spans="1:14">
      <c r="A2727" s="2" t="s">
        <v>18</v>
      </c>
      <c r="B2727" s="3">
        <v>10398</v>
      </c>
      <c r="C2727" s="3">
        <v>36</v>
      </c>
      <c r="D2727" s="13">
        <v>87.36</v>
      </c>
      <c r="E2727" s="5">
        <v>38441</v>
      </c>
      <c r="F2727" s="2" t="s">
        <v>13</v>
      </c>
      <c r="G2727" s="2" t="s">
        <v>207</v>
      </c>
      <c r="H2727" s="3">
        <v>1</v>
      </c>
      <c r="I2727" s="6">
        <v>2005</v>
      </c>
      <c r="J2727" s="2" t="s">
        <v>22</v>
      </c>
      <c r="K2727" s="2" t="s">
        <v>19</v>
      </c>
      <c r="L2727" s="7">
        <f t="shared" si="126"/>
        <v>3144.96</v>
      </c>
      <c r="M2727" s="2" t="str">
        <f t="shared" si="127"/>
        <v>March</v>
      </c>
      <c r="N2727" s="6">
        <f t="shared" si="128"/>
        <v>2005</v>
      </c>
    </row>
    <row r="2728" spans="1:14">
      <c r="A2728" s="2" t="s">
        <v>46</v>
      </c>
      <c r="B2728" s="3">
        <v>10401</v>
      </c>
      <c r="C2728" s="3">
        <v>28</v>
      </c>
      <c r="D2728" s="13">
        <v>72.55</v>
      </c>
      <c r="E2728" s="5">
        <v>38445</v>
      </c>
      <c r="F2728" s="2" t="s">
        <v>151</v>
      </c>
      <c r="G2728" s="2" t="s">
        <v>207</v>
      </c>
      <c r="H2728" s="3">
        <v>2</v>
      </c>
      <c r="I2728" s="6">
        <v>2005</v>
      </c>
      <c r="J2728" s="2" t="s">
        <v>15</v>
      </c>
      <c r="K2728" s="2" t="s">
        <v>47</v>
      </c>
      <c r="L2728" s="7">
        <f t="shared" si="126"/>
        <v>2031.4</v>
      </c>
      <c r="M2728" s="2" t="str">
        <f t="shared" si="127"/>
        <v>April</v>
      </c>
      <c r="N2728" s="6">
        <f t="shared" si="128"/>
        <v>2005</v>
      </c>
    </row>
    <row r="2729" spans="1:14">
      <c r="A2729" s="2" t="s">
        <v>169</v>
      </c>
      <c r="B2729" s="3">
        <v>10416</v>
      </c>
      <c r="C2729" s="3">
        <v>43</v>
      </c>
      <c r="D2729" s="13">
        <v>62.19</v>
      </c>
      <c r="E2729" s="5">
        <v>38482</v>
      </c>
      <c r="F2729" s="2" t="s">
        <v>13</v>
      </c>
      <c r="G2729" s="2" t="s">
        <v>207</v>
      </c>
      <c r="H2729" s="3">
        <v>2</v>
      </c>
      <c r="I2729" s="6">
        <v>2005</v>
      </c>
      <c r="J2729" s="2" t="s">
        <v>15</v>
      </c>
      <c r="K2729" s="2" t="s">
        <v>170</v>
      </c>
      <c r="L2729" s="7">
        <f t="shared" si="126"/>
        <v>2674.17</v>
      </c>
      <c r="M2729" s="2" t="str">
        <f t="shared" si="127"/>
        <v>May</v>
      </c>
      <c r="N2729" s="6">
        <f t="shared" si="128"/>
        <v>2005</v>
      </c>
    </row>
    <row r="2730" spans="1:14">
      <c r="A2730" s="2" t="s">
        <v>203</v>
      </c>
      <c r="B2730" s="3">
        <v>10106</v>
      </c>
      <c r="C2730" s="3">
        <v>48</v>
      </c>
      <c r="D2730" s="13">
        <v>52.64</v>
      </c>
      <c r="E2730" s="5">
        <v>37669</v>
      </c>
      <c r="F2730" s="2" t="s">
        <v>13</v>
      </c>
      <c r="G2730" s="2" t="s">
        <v>207</v>
      </c>
      <c r="H2730" s="3">
        <v>1</v>
      </c>
      <c r="I2730" s="6">
        <v>2003</v>
      </c>
      <c r="J2730" s="2" t="s">
        <v>15</v>
      </c>
      <c r="K2730" s="2" t="s">
        <v>204</v>
      </c>
      <c r="L2730" s="7">
        <f t="shared" si="126"/>
        <v>2526.72</v>
      </c>
      <c r="M2730" s="2" t="str">
        <f t="shared" si="127"/>
        <v>February</v>
      </c>
      <c r="N2730" s="6">
        <f t="shared" si="128"/>
        <v>2003</v>
      </c>
    </row>
    <row r="2731" spans="1:14">
      <c r="A2731" s="2" t="s">
        <v>60</v>
      </c>
      <c r="B2731" s="3">
        <v>10119</v>
      </c>
      <c r="C2731" s="3">
        <v>28</v>
      </c>
      <c r="D2731" s="13">
        <v>48.17</v>
      </c>
      <c r="E2731" s="5">
        <v>37739</v>
      </c>
      <c r="F2731" s="2" t="s">
        <v>13</v>
      </c>
      <c r="G2731" s="2" t="s">
        <v>207</v>
      </c>
      <c r="H2731" s="3">
        <v>2</v>
      </c>
      <c r="I2731" s="6">
        <v>2003</v>
      </c>
      <c r="J2731" s="2" t="s">
        <v>15</v>
      </c>
      <c r="K2731" s="2" t="s">
        <v>62</v>
      </c>
      <c r="L2731" s="7">
        <f t="shared" si="126"/>
        <v>1348.76</v>
      </c>
      <c r="M2731" s="2" t="str">
        <f t="shared" si="127"/>
        <v>April</v>
      </c>
      <c r="N2731" s="6">
        <f t="shared" si="128"/>
        <v>2003</v>
      </c>
    </row>
    <row r="2732" spans="1:14">
      <c r="A2732" s="2" t="s">
        <v>208</v>
      </c>
      <c r="B2732" s="3">
        <v>10131</v>
      </c>
      <c r="C2732" s="3">
        <v>21</v>
      </c>
      <c r="D2732" s="13">
        <v>41.71</v>
      </c>
      <c r="E2732" s="5">
        <v>37788</v>
      </c>
      <c r="F2732" s="2" t="s">
        <v>13</v>
      </c>
      <c r="G2732" s="2" t="s">
        <v>207</v>
      </c>
      <c r="H2732" s="3">
        <v>2</v>
      </c>
      <c r="I2732" s="6">
        <v>2003</v>
      </c>
      <c r="J2732" s="2" t="s">
        <v>15</v>
      </c>
      <c r="K2732" s="2" t="s">
        <v>209</v>
      </c>
      <c r="L2732" s="7">
        <f t="shared" si="126"/>
        <v>875.91</v>
      </c>
      <c r="M2732" s="2" t="str">
        <f t="shared" si="127"/>
        <v>June</v>
      </c>
      <c r="N2732" s="6">
        <f t="shared" si="128"/>
        <v>2003</v>
      </c>
    </row>
    <row r="2733" spans="1:14">
      <c r="A2733" s="2" t="s">
        <v>126</v>
      </c>
      <c r="B2733" s="3">
        <v>10143</v>
      </c>
      <c r="C2733" s="3">
        <v>37</v>
      </c>
      <c r="D2733" s="13">
        <v>50.65</v>
      </c>
      <c r="E2733" s="5">
        <v>37843</v>
      </c>
      <c r="F2733" s="2" t="s">
        <v>13</v>
      </c>
      <c r="G2733" s="2" t="s">
        <v>207</v>
      </c>
      <c r="H2733" s="3">
        <v>3</v>
      </c>
      <c r="I2733" s="6">
        <v>2003</v>
      </c>
      <c r="J2733" s="2" t="s">
        <v>15</v>
      </c>
      <c r="K2733" s="2" t="s">
        <v>127</v>
      </c>
      <c r="L2733" s="7">
        <f t="shared" si="126"/>
        <v>1874.05</v>
      </c>
      <c r="M2733" s="2" t="str">
        <f t="shared" si="127"/>
        <v>August</v>
      </c>
      <c r="N2733" s="6">
        <f t="shared" si="128"/>
        <v>2003</v>
      </c>
    </row>
    <row r="2734" spans="1:14">
      <c r="A2734" s="2" t="s">
        <v>54</v>
      </c>
      <c r="B2734" s="3">
        <v>10155</v>
      </c>
      <c r="C2734" s="3">
        <v>34</v>
      </c>
      <c r="D2734" s="13">
        <v>49.16</v>
      </c>
      <c r="E2734" s="5">
        <v>37900</v>
      </c>
      <c r="F2734" s="2" t="s">
        <v>13</v>
      </c>
      <c r="G2734" s="2" t="s">
        <v>207</v>
      </c>
      <c r="H2734" s="3">
        <v>4</v>
      </c>
      <c r="I2734" s="6">
        <v>2003</v>
      </c>
      <c r="J2734" s="2" t="s">
        <v>15</v>
      </c>
      <c r="K2734" s="2" t="s">
        <v>55</v>
      </c>
      <c r="L2734" s="7">
        <f t="shared" si="126"/>
        <v>1671.44</v>
      </c>
      <c r="M2734" s="2" t="str">
        <f t="shared" si="127"/>
        <v>October</v>
      </c>
      <c r="N2734" s="6">
        <f t="shared" si="128"/>
        <v>2003</v>
      </c>
    </row>
    <row r="2735" spans="1:14">
      <c r="A2735" s="2" t="s">
        <v>99</v>
      </c>
      <c r="B2735" s="3">
        <v>10167</v>
      </c>
      <c r="C2735" s="3">
        <v>40</v>
      </c>
      <c r="D2735" s="13">
        <v>41.71</v>
      </c>
      <c r="E2735" s="5">
        <v>37917</v>
      </c>
      <c r="F2735" s="2" t="s">
        <v>128</v>
      </c>
      <c r="G2735" s="2" t="s">
        <v>207</v>
      </c>
      <c r="H2735" s="3">
        <v>4</v>
      </c>
      <c r="I2735" s="6">
        <v>2003</v>
      </c>
      <c r="J2735" s="2" t="s">
        <v>15</v>
      </c>
      <c r="K2735" s="2" t="s">
        <v>100</v>
      </c>
      <c r="L2735" s="7">
        <f t="shared" si="126"/>
        <v>1668.4</v>
      </c>
      <c r="M2735" s="2" t="str">
        <f t="shared" si="127"/>
        <v>October</v>
      </c>
      <c r="N2735" s="6">
        <f t="shared" si="128"/>
        <v>2003</v>
      </c>
    </row>
    <row r="2736" spans="1:14">
      <c r="A2736" s="2" t="s">
        <v>129</v>
      </c>
      <c r="B2736" s="3">
        <v>10178</v>
      </c>
      <c r="C2736" s="3">
        <v>45</v>
      </c>
      <c r="D2736" s="13">
        <v>51.15</v>
      </c>
      <c r="E2736" s="5">
        <v>37933</v>
      </c>
      <c r="F2736" s="2" t="s">
        <v>13</v>
      </c>
      <c r="G2736" s="2" t="s">
        <v>207</v>
      </c>
      <c r="H2736" s="3">
        <v>4</v>
      </c>
      <c r="I2736" s="6">
        <v>2003</v>
      </c>
      <c r="J2736" s="2" t="s">
        <v>15</v>
      </c>
      <c r="K2736" s="2" t="s">
        <v>130</v>
      </c>
      <c r="L2736" s="7">
        <f t="shared" si="126"/>
        <v>2301.75</v>
      </c>
      <c r="M2736" s="2" t="str">
        <f t="shared" si="127"/>
        <v>November</v>
      </c>
      <c r="N2736" s="6">
        <f t="shared" si="128"/>
        <v>2003</v>
      </c>
    </row>
    <row r="2737" spans="1:14">
      <c r="A2737" s="2" t="s">
        <v>131</v>
      </c>
      <c r="B2737" s="3">
        <v>10186</v>
      </c>
      <c r="C2737" s="3">
        <v>28</v>
      </c>
      <c r="D2737" s="13">
        <v>52.14</v>
      </c>
      <c r="E2737" s="5">
        <v>37939</v>
      </c>
      <c r="F2737" s="2" t="s">
        <v>13</v>
      </c>
      <c r="G2737" s="2" t="s">
        <v>207</v>
      </c>
      <c r="H2737" s="3">
        <v>4</v>
      </c>
      <c r="I2737" s="6">
        <v>2003</v>
      </c>
      <c r="J2737" s="2" t="s">
        <v>15</v>
      </c>
      <c r="K2737" s="2" t="s">
        <v>132</v>
      </c>
      <c r="L2737" s="7">
        <f t="shared" si="126"/>
        <v>1459.92</v>
      </c>
      <c r="M2737" s="2" t="str">
        <f t="shared" si="127"/>
        <v>November</v>
      </c>
      <c r="N2737" s="6">
        <f t="shared" si="128"/>
        <v>2003</v>
      </c>
    </row>
    <row r="2738" spans="1:14">
      <c r="A2738" s="2" t="s">
        <v>133</v>
      </c>
      <c r="B2738" s="3">
        <v>10197</v>
      </c>
      <c r="C2738" s="3">
        <v>29</v>
      </c>
      <c r="D2738" s="13">
        <v>41.71</v>
      </c>
      <c r="E2738" s="5">
        <v>37951</v>
      </c>
      <c r="F2738" s="2" t="s">
        <v>13</v>
      </c>
      <c r="G2738" s="2" t="s">
        <v>207</v>
      </c>
      <c r="H2738" s="3">
        <v>4</v>
      </c>
      <c r="I2738" s="6">
        <v>2003</v>
      </c>
      <c r="J2738" s="2" t="s">
        <v>15</v>
      </c>
      <c r="K2738" s="2" t="s">
        <v>134</v>
      </c>
      <c r="L2738" s="7">
        <f t="shared" si="126"/>
        <v>1209.59</v>
      </c>
      <c r="M2738" s="2" t="str">
        <f t="shared" si="127"/>
        <v>November</v>
      </c>
      <c r="N2738" s="6">
        <f t="shared" si="128"/>
        <v>2003</v>
      </c>
    </row>
    <row r="2739" spans="1:14">
      <c r="A2739" s="2" t="s">
        <v>135</v>
      </c>
      <c r="B2739" s="3">
        <v>10209</v>
      </c>
      <c r="C2739" s="3">
        <v>48</v>
      </c>
      <c r="D2739" s="13">
        <v>44.69</v>
      </c>
      <c r="E2739" s="5">
        <v>37995</v>
      </c>
      <c r="F2739" s="2" t="s">
        <v>13</v>
      </c>
      <c r="G2739" s="2" t="s">
        <v>207</v>
      </c>
      <c r="H2739" s="3">
        <v>1</v>
      </c>
      <c r="I2739" s="6">
        <v>2004</v>
      </c>
      <c r="J2739" s="2" t="s">
        <v>15</v>
      </c>
      <c r="K2739" s="2" t="s">
        <v>136</v>
      </c>
      <c r="L2739" s="7">
        <f t="shared" si="126"/>
        <v>2145.12</v>
      </c>
      <c r="M2739" s="2" t="str">
        <f t="shared" si="127"/>
        <v>January</v>
      </c>
      <c r="N2739" s="6">
        <f t="shared" si="128"/>
        <v>2004</v>
      </c>
    </row>
    <row r="2740" spans="1:14">
      <c r="A2740" s="2" t="s">
        <v>137</v>
      </c>
      <c r="B2740" s="3">
        <v>10222</v>
      </c>
      <c r="C2740" s="3">
        <v>31</v>
      </c>
      <c r="D2740" s="13">
        <v>45.69</v>
      </c>
      <c r="E2740" s="5">
        <v>38036</v>
      </c>
      <c r="F2740" s="2" t="s">
        <v>13</v>
      </c>
      <c r="G2740" s="2" t="s">
        <v>207</v>
      </c>
      <c r="H2740" s="3">
        <v>1</v>
      </c>
      <c r="I2740" s="6">
        <v>2004</v>
      </c>
      <c r="J2740" s="2" t="s">
        <v>15</v>
      </c>
      <c r="K2740" s="2" t="s">
        <v>138</v>
      </c>
      <c r="L2740" s="7">
        <f t="shared" si="126"/>
        <v>1416.39</v>
      </c>
      <c r="M2740" s="2" t="str">
        <f t="shared" si="127"/>
        <v>February</v>
      </c>
      <c r="N2740" s="6">
        <f t="shared" si="128"/>
        <v>2004</v>
      </c>
    </row>
    <row r="2741" spans="1:14">
      <c r="A2741" s="2" t="s">
        <v>91</v>
      </c>
      <c r="B2741" s="3">
        <v>10249</v>
      </c>
      <c r="C2741" s="3">
        <v>32</v>
      </c>
      <c r="D2741" s="13">
        <v>57.61</v>
      </c>
      <c r="E2741" s="5">
        <v>38115</v>
      </c>
      <c r="F2741" s="2" t="s">
        <v>13</v>
      </c>
      <c r="G2741" s="2" t="s">
        <v>207</v>
      </c>
      <c r="H2741" s="3">
        <v>2</v>
      </c>
      <c r="I2741" s="6">
        <v>2004</v>
      </c>
      <c r="J2741" s="2" t="s">
        <v>15</v>
      </c>
      <c r="K2741" s="2" t="s">
        <v>92</v>
      </c>
      <c r="L2741" s="7">
        <f t="shared" si="126"/>
        <v>1843.52</v>
      </c>
      <c r="M2741" s="2" t="str">
        <f t="shared" si="127"/>
        <v>May</v>
      </c>
      <c r="N2741" s="6">
        <f t="shared" si="128"/>
        <v>2004</v>
      </c>
    </row>
    <row r="2742" spans="1:14">
      <c r="A2742" s="2" t="s">
        <v>69</v>
      </c>
      <c r="B2742" s="3">
        <v>10262</v>
      </c>
      <c r="C2742" s="3">
        <v>21</v>
      </c>
      <c r="D2742" s="13">
        <v>57.11</v>
      </c>
      <c r="E2742" s="5">
        <v>38162</v>
      </c>
      <c r="F2742" s="2" t="s">
        <v>128</v>
      </c>
      <c r="G2742" s="2" t="s">
        <v>207</v>
      </c>
      <c r="H2742" s="3">
        <v>2</v>
      </c>
      <c r="I2742" s="6">
        <v>2004</v>
      </c>
      <c r="J2742" s="2" t="s">
        <v>15</v>
      </c>
      <c r="K2742" s="2" t="s">
        <v>71</v>
      </c>
      <c r="L2742" s="7">
        <f t="shared" si="126"/>
        <v>1199.31</v>
      </c>
      <c r="M2742" s="2" t="str">
        <f t="shared" si="127"/>
        <v>June</v>
      </c>
      <c r="N2742" s="6">
        <f t="shared" si="128"/>
        <v>2004</v>
      </c>
    </row>
    <row r="2743" spans="1:14">
      <c r="A2743" s="2" t="s">
        <v>107</v>
      </c>
      <c r="B2743" s="3">
        <v>10274</v>
      </c>
      <c r="C2743" s="3">
        <v>32</v>
      </c>
      <c r="D2743" s="13">
        <v>58.6</v>
      </c>
      <c r="E2743" s="5">
        <v>38189</v>
      </c>
      <c r="F2743" s="2" t="s">
        <v>13</v>
      </c>
      <c r="G2743" s="2" t="s">
        <v>207</v>
      </c>
      <c r="H2743" s="3">
        <v>3</v>
      </c>
      <c r="I2743" s="6">
        <v>2004</v>
      </c>
      <c r="J2743" s="2" t="s">
        <v>15</v>
      </c>
      <c r="K2743" s="2" t="s">
        <v>108</v>
      </c>
      <c r="L2743" s="7">
        <f t="shared" si="126"/>
        <v>1875.2</v>
      </c>
      <c r="M2743" s="2" t="str">
        <f t="shared" si="127"/>
        <v>July</v>
      </c>
      <c r="N2743" s="6">
        <f t="shared" si="128"/>
        <v>2004</v>
      </c>
    </row>
    <row r="2744" spans="1:14">
      <c r="A2744" s="2" t="s">
        <v>141</v>
      </c>
      <c r="B2744" s="3">
        <v>10283</v>
      </c>
      <c r="C2744" s="3">
        <v>43</v>
      </c>
      <c r="D2744" s="13">
        <v>57.61</v>
      </c>
      <c r="E2744" s="5">
        <v>38219</v>
      </c>
      <c r="F2744" s="2" t="s">
        <v>13</v>
      </c>
      <c r="G2744" s="2" t="s">
        <v>207</v>
      </c>
      <c r="H2744" s="3">
        <v>3</v>
      </c>
      <c r="I2744" s="6">
        <v>2004</v>
      </c>
      <c r="J2744" s="2" t="s">
        <v>15</v>
      </c>
      <c r="K2744" s="2" t="s">
        <v>142</v>
      </c>
      <c r="L2744" s="7">
        <f t="shared" si="126"/>
        <v>2477.23</v>
      </c>
      <c r="M2744" s="2" t="str">
        <f t="shared" si="127"/>
        <v>August</v>
      </c>
      <c r="N2744" s="6">
        <f t="shared" si="128"/>
        <v>2004</v>
      </c>
    </row>
    <row r="2745" spans="1:14">
      <c r="A2745" s="2" t="s">
        <v>210</v>
      </c>
      <c r="B2745" s="3">
        <v>10296</v>
      </c>
      <c r="C2745" s="3">
        <v>21</v>
      </c>
      <c r="D2745" s="13">
        <v>45.19</v>
      </c>
      <c r="E2745" s="5">
        <v>38245</v>
      </c>
      <c r="F2745" s="2" t="s">
        <v>13</v>
      </c>
      <c r="G2745" s="2" t="s">
        <v>207</v>
      </c>
      <c r="H2745" s="3">
        <v>3</v>
      </c>
      <c r="I2745" s="6">
        <v>2004</v>
      </c>
      <c r="J2745" s="2" t="s">
        <v>15</v>
      </c>
      <c r="K2745" s="2" t="s">
        <v>211</v>
      </c>
      <c r="L2745" s="7">
        <f t="shared" si="126"/>
        <v>948.99</v>
      </c>
      <c r="M2745" s="2" t="str">
        <f t="shared" si="127"/>
        <v>September</v>
      </c>
      <c r="N2745" s="6">
        <f t="shared" si="128"/>
        <v>2004</v>
      </c>
    </row>
    <row r="2746" spans="1:14">
      <c r="A2746" s="2" t="s">
        <v>83</v>
      </c>
      <c r="B2746" s="3">
        <v>10307</v>
      </c>
      <c r="C2746" s="3">
        <v>34</v>
      </c>
      <c r="D2746" s="13">
        <v>53.63</v>
      </c>
      <c r="E2746" s="5">
        <v>38274</v>
      </c>
      <c r="F2746" s="2" t="s">
        <v>13</v>
      </c>
      <c r="G2746" s="2" t="s">
        <v>207</v>
      </c>
      <c r="H2746" s="3">
        <v>4</v>
      </c>
      <c r="I2746" s="6">
        <v>2004</v>
      </c>
      <c r="J2746" s="2" t="s">
        <v>15</v>
      </c>
      <c r="K2746" s="2" t="s">
        <v>84</v>
      </c>
      <c r="L2746" s="7">
        <f t="shared" si="126"/>
        <v>1823.42</v>
      </c>
      <c r="M2746" s="2" t="str">
        <f t="shared" si="127"/>
        <v>October</v>
      </c>
      <c r="N2746" s="6">
        <f t="shared" si="128"/>
        <v>2004</v>
      </c>
    </row>
    <row r="2747" spans="1:14">
      <c r="A2747" s="2" t="s">
        <v>145</v>
      </c>
      <c r="B2747" s="3">
        <v>10316</v>
      </c>
      <c r="C2747" s="3">
        <v>34</v>
      </c>
      <c r="D2747" s="13">
        <v>43.7</v>
      </c>
      <c r="E2747" s="5">
        <v>38292</v>
      </c>
      <c r="F2747" s="2" t="s">
        <v>13</v>
      </c>
      <c r="G2747" s="2" t="s">
        <v>207</v>
      </c>
      <c r="H2747" s="3">
        <v>4</v>
      </c>
      <c r="I2747" s="6">
        <v>2004</v>
      </c>
      <c r="J2747" s="2" t="s">
        <v>15</v>
      </c>
      <c r="K2747" s="2" t="s">
        <v>146</v>
      </c>
      <c r="L2747" s="7">
        <f t="shared" si="126"/>
        <v>1485.8</v>
      </c>
      <c r="M2747" s="2" t="str">
        <f t="shared" si="127"/>
        <v>November</v>
      </c>
      <c r="N2747" s="6">
        <f t="shared" si="128"/>
        <v>2004</v>
      </c>
    </row>
    <row r="2748" spans="1:14">
      <c r="A2748" s="2" t="s">
        <v>12</v>
      </c>
      <c r="B2748" s="3">
        <v>10329</v>
      </c>
      <c r="C2748" s="3">
        <v>44</v>
      </c>
      <c r="D2748" s="13">
        <v>86.13</v>
      </c>
      <c r="E2748" s="5">
        <v>38306</v>
      </c>
      <c r="F2748" s="2" t="s">
        <v>13</v>
      </c>
      <c r="G2748" s="2" t="s">
        <v>207</v>
      </c>
      <c r="H2748" s="3">
        <v>4</v>
      </c>
      <c r="I2748" s="6">
        <v>2004</v>
      </c>
      <c r="J2748" s="2" t="s">
        <v>22</v>
      </c>
      <c r="K2748" s="2" t="s">
        <v>16</v>
      </c>
      <c r="L2748" s="7">
        <f t="shared" si="126"/>
        <v>3789.72</v>
      </c>
      <c r="M2748" s="2" t="str">
        <f t="shared" si="127"/>
        <v>November</v>
      </c>
      <c r="N2748" s="6">
        <f t="shared" si="128"/>
        <v>2004</v>
      </c>
    </row>
    <row r="2749" spans="1:14">
      <c r="A2749" s="2" t="s">
        <v>95</v>
      </c>
      <c r="B2749" s="3">
        <v>10339</v>
      </c>
      <c r="C2749" s="3">
        <v>27</v>
      </c>
      <c r="D2749" s="13">
        <v>76.31</v>
      </c>
      <c r="E2749" s="5">
        <v>38314</v>
      </c>
      <c r="F2749" s="2" t="s">
        <v>13</v>
      </c>
      <c r="G2749" s="2" t="s">
        <v>207</v>
      </c>
      <c r="H2749" s="3">
        <v>4</v>
      </c>
      <c r="I2749" s="6">
        <v>2004</v>
      </c>
      <c r="J2749" s="2" t="s">
        <v>15</v>
      </c>
      <c r="K2749" s="2" t="s">
        <v>96</v>
      </c>
      <c r="L2749" s="7">
        <f t="shared" si="126"/>
        <v>2060.37</v>
      </c>
      <c r="M2749" s="2" t="str">
        <f t="shared" si="127"/>
        <v>November</v>
      </c>
      <c r="N2749" s="6">
        <f t="shared" si="128"/>
        <v>2004</v>
      </c>
    </row>
    <row r="2750" spans="1:14">
      <c r="A2750" s="2" t="s">
        <v>215</v>
      </c>
      <c r="B2750" s="3">
        <v>10352</v>
      </c>
      <c r="C2750" s="3">
        <v>49</v>
      </c>
      <c r="D2750" s="13">
        <v>52.64</v>
      </c>
      <c r="E2750" s="5">
        <v>38324</v>
      </c>
      <c r="F2750" s="2" t="s">
        <v>13</v>
      </c>
      <c r="G2750" s="2" t="s">
        <v>207</v>
      </c>
      <c r="H2750" s="3">
        <v>4</v>
      </c>
      <c r="I2750" s="6">
        <v>2004</v>
      </c>
      <c r="J2750" s="2" t="s">
        <v>15</v>
      </c>
      <c r="K2750" s="2" t="s">
        <v>216</v>
      </c>
      <c r="L2750" s="7">
        <f t="shared" si="126"/>
        <v>2579.36</v>
      </c>
      <c r="M2750" s="2" t="str">
        <f t="shared" si="127"/>
        <v>December</v>
      </c>
      <c r="N2750" s="6">
        <f t="shared" si="128"/>
        <v>2004</v>
      </c>
    </row>
    <row r="2751" spans="1:14">
      <c r="A2751" s="2" t="s">
        <v>63</v>
      </c>
      <c r="B2751" s="3">
        <v>10361</v>
      </c>
      <c r="C2751" s="3">
        <v>23</v>
      </c>
      <c r="D2751" s="13">
        <v>95.2</v>
      </c>
      <c r="E2751" s="5">
        <v>38338</v>
      </c>
      <c r="F2751" s="2" t="s">
        <v>13</v>
      </c>
      <c r="G2751" s="2" t="s">
        <v>207</v>
      </c>
      <c r="H2751" s="3">
        <v>4</v>
      </c>
      <c r="I2751" s="6">
        <v>2004</v>
      </c>
      <c r="J2751" s="2" t="s">
        <v>15</v>
      </c>
      <c r="K2751" s="2" t="s">
        <v>64</v>
      </c>
      <c r="L2751" s="7">
        <f t="shared" si="126"/>
        <v>2189.6</v>
      </c>
      <c r="M2751" s="2" t="str">
        <f t="shared" si="127"/>
        <v>December</v>
      </c>
      <c r="N2751" s="6">
        <f t="shared" si="128"/>
        <v>2004</v>
      </c>
    </row>
    <row r="2752" spans="1:14">
      <c r="A2752" s="2" t="s">
        <v>147</v>
      </c>
      <c r="B2752" s="3">
        <v>10373</v>
      </c>
      <c r="C2752" s="3">
        <v>25</v>
      </c>
      <c r="D2752" s="13">
        <v>64.97</v>
      </c>
      <c r="E2752" s="5">
        <v>38383</v>
      </c>
      <c r="F2752" s="2" t="s">
        <v>13</v>
      </c>
      <c r="G2752" s="2" t="s">
        <v>207</v>
      </c>
      <c r="H2752" s="3">
        <v>1</v>
      </c>
      <c r="I2752" s="6">
        <v>2005</v>
      </c>
      <c r="J2752" s="2" t="s">
        <v>15</v>
      </c>
      <c r="K2752" s="2" t="s">
        <v>148</v>
      </c>
      <c r="L2752" s="7">
        <f t="shared" si="126"/>
        <v>1624.25</v>
      </c>
      <c r="M2752" s="2" t="str">
        <f t="shared" si="127"/>
        <v>January</v>
      </c>
      <c r="N2752" s="6">
        <f t="shared" si="128"/>
        <v>2005</v>
      </c>
    </row>
    <row r="2753" spans="1:14">
      <c r="A2753" s="2" t="s">
        <v>69</v>
      </c>
      <c r="B2753" s="3">
        <v>10386</v>
      </c>
      <c r="C2753" s="3">
        <v>50</v>
      </c>
      <c r="D2753" s="13">
        <v>87.15</v>
      </c>
      <c r="E2753" s="5">
        <v>38412</v>
      </c>
      <c r="F2753" s="2" t="s">
        <v>155</v>
      </c>
      <c r="G2753" s="2" t="s">
        <v>207</v>
      </c>
      <c r="H2753" s="3">
        <v>1</v>
      </c>
      <c r="I2753" s="6">
        <v>2005</v>
      </c>
      <c r="J2753" s="2" t="s">
        <v>22</v>
      </c>
      <c r="K2753" s="2" t="s">
        <v>71</v>
      </c>
      <c r="L2753" s="7">
        <f t="shared" si="126"/>
        <v>4357.5</v>
      </c>
      <c r="M2753" s="2" t="str">
        <f t="shared" si="127"/>
        <v>March</v>
      </c>
      <c r="N2753" s="6">
        <f t="shared" si="128"/>
        <v>2005</v>
      </c>
    </row>
    <row r="2754" spans="1:14">
      <c r="A2754" s="2" t="s">
        <v>18</v>
      </c>
      <c r="B2754" s="3">
        <v>10398</v>
      </c>
      <c r="C2754" s="3">
        <v>34</v>
      </c>
      <c r="D2754" s="13">
        <v>40.22</v>
      </c>
      <c r="E2754" s="5">
        <v>38441</v>
      </c>
      <c r="F2754" s="2" t="s">
        <v>13</v>
      </c>
      <c r="G2754" s="2" t="s">
        <v>207</v>
      </c>
      <c r="H2754" s="3">
        <v>1</v>
      </c>
      <c r="I2754" s="6">
        <v>2005</v>
      </c>
      <c r="J2754" s="2" t="s">
        <v>15</v>
      </c>
      <c r="K2754" s="2" t="s">
        <v>19</v>
      </c>
      <c r="L2754" s="7">
        <f t="shared" ref="L2754:L2782" si="129">PRODUCT(C2754,D2754)</f>
        <v>1367.48</v>
      </c>
      <c r="M2754" s="2" t="str">
        <f t="shared" ref="M2754:M2782" si="130">TEXT(E2754,"MMMM")</f>
        <v>March</v>
      </c>
      <c r="N2754" s="6">
        <f t="shared" ref="N2754:N2782" si="131">YEAR(E2754)</f>
        <v>2005</v>
      </c>
    </row>
    <row r="2755" spans="1:14">
      <c r="A2755" s="2" t="s">
        <v>149</v>
      </c>
      <c r="B2755" s="3">
        <v>10400</v>
      </c>
      <c r="C2755" s="3">
        <v>20</v>
      </c>
      <c r="D2755" s="13">
        <v>56.12</v>
      </c>
      <c r="E2755" s="5">
        <v>38443</v>
      </c>
      <c r="F2755" s="2" t="s">
        <v>13</v>
      </c>
      <c r="G2755" s="2" t="s">
        <v>207</v>
      </c>
      <c r="H2755" s="3">
        <v>2</v>
      </c>
      <c r="I2755" s="6">
        <v>2005</v>
      </c>
      <c r="J2755" s="2" t="s">
        <v>15</v>
      </c>
      <c r="K2755" s="2" t="s">
        <v>150</v>
      </c>
      <c r="L2755" s="7">
        <f t="shared" si="129"/>
        <v>1122.4</v>
      </c>
      <c r="M2755" s="2" t="str">
        <f t="shared" si="130"/>
        <v>April</v>
      </c>
      <c r="N2755" s="6">
        <f t="shared" si="131"/>
        <v>2005</v>
      </c>
    </row>
    <row r="2756" spans="1:14">
      <c r="A2756" s="2" t="s">
        <v>205</v>
      </c>
      <c r="B2756" s="3">
        <v>10415</v>
      </c>
      <c r="C2756" s="3">
        <v>42</v>
      </c>
      <c r="D2756" s="13">
        <v>57.61</v>
      </c>
      <c r="E2756" s="5">
        <v>38481</v>
      </c>
      <c r="F2756" s="2" t="s">
        <v>70</v>
      </c>
      <c r="G2756" s="2" t="s">
        <v>207</v>
      </c>
      <c r="H2756" s="3">
        <v>2</v>
      </c>
      <c r="I2756" s="6">
        <v>2005</v>
      </c>
      <c r="J2756" s="2" t="s">
        <v>15</v>
      </c>
      <c r="K2756" s="2" t="s">
        <v>206</v>
      </c>
      <c r="L2756" s="7">
        <f t="shared" si="129"/>
        <v>2419.62</v>
      </c>
      <c r="M2756" s="2" t="str">
        <f t="shared" si="130"/>
        <v>May</v>
      </c>
      <c r="N2756" s="6">
        <f t="shared" si="131"/>
        <v>2005</v>
      </c>
    </row>
    <row r="2757" spans="1:14">
      <c r="A2757" s="2" t="s">
        <v>122</v>
      </c>
      <c r="B2757" s="3">
        <v>10105</v>
      </c>
      <c r="C2757" s="3">
        <v>25</v>
      </c>
      <c r="D2757" s="13">
        <v>56.78</v>
      </c>
      <c r="E2757" s="5">
        <v>37663</v>
      </c>
      <c r="F2757" s="2" t="s">
        <v>13</v>
      </c>
      <c r="G2757" s="2" t="s">
        <v>214</v>
      </c>
      <c r="H2757" s="3">
        <v>1</v>
      </c>
      <c r="I2757" s="6">
        <v>2003</v>
      </c>
      <c r="J2757" s="2" t="s">
        <v>15</v>
      </c>
      <c r="K2757" s="2" t="s">
        <v>123</v>
      </c>
      <c r="L2757" s="7">
        <f t="shared" si="129"/>
        <v>1419.5</v>
      </c>
      <c r="M2757" s="2" t="str">
        <f t="shared" si="130"/>
        <v>February</v>
      </c>
      <c r="N2757" s="6">
        <f t="shared" si="131"/>
        <v>2003</v>
      </c>
    </row>
    <row r="2758" spans="1:14">
      <c r="A2758" s="2" t="s">
        <v>77</v>
      </c>
      <c r="B2758" s="3">
        <v>10117</v>
      </c>
      <c r="C2758" s="3">
        <v>50</v>
      </c>
      <c r="D2758" s="13">
        <v>43.68</v>
      </c>
      <c r="E2758" s="5">
        <v>37727</v>
      </c>
      <c r="F2758" s="2" t="s">
        <v>13</v>
      </c>
      <c r="G2758" s="2" t="s">
        <v>214</v>
      </c>
      <c r="H2758" s="3">
        <v>2</v>
      </c>
      <c r="I2758" s="6">
        <v>2003</v>
      </c>
      <c r="J2758" s="2" t="s">
        <v>15</v>
      </c>
      <c r="K2758" s="2" t="s">
        <v>78</v>
      </c>
      <c r="L2758" s="7">
        <f t="shared" si="129"/>
        <v>2184</v>
      </c>
      <c r="M2758" s="2" t="str">
        <f t="shared" si="130"/>
        <v>April</v>
      </c>
      <c r="N2758" s="6">
        <f t="shared" si="131"/>
        <v>2003</v>
      </c>
    </row>
    <row r="2759" spans="1:14">
      <c r="A2759" s="2" t="s">
        <v>124</v>
      </c>
      <c r="B2759" s="3">
        <v>10129</v>
      </c>
      <c r="C2759" s="3">
        <v>32</v>
      </c>
      <c r="D2759" s="13">
        <v>64.97</v>
      </c>
      <c r="E2759" s="5">
        <v>37784</v>
      </c>
      <c r="F2759" s="2" t="s">
        <v>13</v>
      </c>
      <c r="G2759" s="2" t="s">
        <v>214</v>
      </c>
      <c r="H2759" s="3">
        <v>2</v>
      </c>
      <c r="I2759" s="6">
        <v>2003</v>
      </c>
      <c r="J2759" s="2" t="s">
        <v>15</v>
      </c>
      <c r="K2759" s="2" t="s">
        <v>125</v>
      </c>
      <c r="L2759" s="7">
        <f t="shared" si="129"/>
        <v>2079.04</v>
      </c>
      <c r="M2759" s="2" t="str">
        <f t="shared" si="130"/>
        <v>June</v>
      </c>
      <c r="N2759" s="6">
        <f t="shared" si="131"/>
        <v>2003</v>
      </c>
    </row>
    <row r="2760" spans="1:14">
      <c r="A2760" s="2" t="s">
        <v>103</v>
      </c>
      <c r="B2760" s="3">
        <v>10142</v>
      </c>
      <c r="C2760" s="3">
        <v>39</v>
      </c>
      <c r="D2760" s="13">
        <v>44.23</v>
      </c>
      <c r="E2760" s="5">
        <v>37841</v>
      </c>
      <c r="F2760" s="2" t="s">
        <v>13</v>
      </c>
      <c r="G2760" s="2" t="s">
        <v>214</v>
      </c>
      <c r="H2760" s="3">
        <v>3</v>
      </c>
      <c r="I2760" s="6">
        <v>2003</v>
      </c>
      <c r="J2760" s="2" t="s">
        <v>15</v>
      </c>
      <c r="K2760" s="2" t="s">
        <v>104</v>
      </c>
      <c r="L2760" s="7">
        <f t="shared" si="129"/>
        <v>1724.97</v>
      </c>
      <c r="M2760" s="2" t="str">
        <f t="shared" si="130"/>
        <v>August</v>
      </c>
      <c r="N2760" s="6">
        <f t="shared" si="131"/>
        <v>2003</v>
      </c>
    </row>
    <row r="2761" spans="1:14">
      <c r="A2761" s="2" t="s">
        <v>69</v>
      </c>
      <c r="B2761" s="3">
        <v>10153</v>
      </c>
      <c r="C2761" s="3">
        <v>50</v>
      </c>
      <c r="D2761" s="13">
        <v>60.06</v>
      </c>
      <c r="E2761" s="5">
        <v>37892</v>
      </c>
      <c r="F2761" s="2" t="s">
        <v>13</v>
      </c>
      <c r="G2761" s="2" t="s">
        <v>214</v>
      </c>
      <c r="H2761" s="3">
        <v>3</v>
      </c>
      <c r="I2761" s="6">
        <v>2003</v>
      </c>
      <c r="J2761" s="2" t="s">
        <v>22</v>
      </c>
      <c r="K2761" s="2" t="s">
        <v>71</v>
      </c>
      <c r="L2761" s="7">
        <f t="shared" si="129"/>
        <v>3003</v>
      </c>
      <c r="M2761" s="2" t="str">
        <f t="shared" si="130"/>
        <v>September</v>
      </c>
      <c r="N2761" s="6">
        <f t="shared" si="131"/>
        <v>2003</v>
      </c>
    </row>
    <row r="2762" spans="1:14">
      <c r="A2762" s="2" t="s">
        <v>99</v>
      </c>
      <c r="B2762" s="3">
        <v>10167</v>
      </c>
      <c r="C2762" s="3">
        <v>38</v>
      </c>
      <c r="D2762" s="13">
        <v>48.59</v>
      </c>
      <c r="E2762" s="5">
        <v>37917</v>
      </c>
      <c r="F2762" s="2" t="s">
        <v>128</v>
      </c>
      <c r="G2762" s="2" t="s">
        <v>214</v>
      </c>
      <c r="H2762" s="3">
        <v>4</v>
      </c>
      <c r="I2762" s="6">
        <v>2003</v>
      </c>
      <c r="J2762" s="2" t="s">
        <v>15</v>
      </c>
      <c r="K2762" s="2" t="s">
        <v>100</v>
      </c>
      <c r="L2762" s="7">
        <f t="shared" si="129"/>
        <v>1846.42</v>
      </c>
      <c r="M2762" s="2" t="str">
        <f t="shared" si="130"/>
        <v>October</v>
      </c>
      <c r="N2762" s="6">
        <f t="shared" si="131"/>
        <v>2003</v>
      </c>
    </row>
    <row r="2763" spans="1:14">
      <c r="A2763" s="2" t="s">
        <v>181</v>
      </c>
      <c r="B2763" s="3">
        <v>10177</v>
      </c>
      <c r="C2763" s="3">
        <v>40</v>
      </c>
      <c r="D2763" s="13">
        <v>50.23</v>
      </c>
      <c r="E2763" s="5">
        <v>37932</v>
      </c>
      <c r="F2763" s="2" t="s">
        <v>13</v>
      </c>
      <c r="G2763" s="2" t="s">
        <v>214</v>
      </c>
      <c r="H2763" s="3">
        <v>4</v>
      </c>
      <c r="I2763" s="6">
        <v>2003</v>
      </c>
      <c r="J2763" s="2" t="s">
        <v>15</v>
      </c>
      <c r="K2763" s="2" t="s">
        <v>182</v>
      </c>
      <c r="L2763" s="7">
        <f t="shared" si="129"/>
        <v>2009.2</v>
      </c>
      <c r="M2763" s="2" t="str">
        <f t="shared" si="130"/>
        <v>November</v>
      </c>
      <c r="N2763" s="6">
        <f t="shared" si="131"/>
        <v>2003</v>
      </c>
    </row>
    <row r="2764" spans="1:14">
      <c r="A2764" s="2" t="s">
        <v>126</v>
      </c>
      <c r="B2764" s="3">
        <v>10185</v>
      </c>
      <c r="C2764" s="3">
        <v>28</v>
      </c>
      <c r="D2764" s="13">
        <v>64.43</v>
      </c>
      <c r="E2764" s="5">
        <v>37939</v>
      </c>
      <c r="F2764" s="2" t="s">
        <v>13</v>
      </c>
      <c r="G2764" s="2" t="s">
        <v>214</v>
      </c>
      <c r="H2764" s="3">
        <v>4</v>
      </c>
      <c r="I2764" s="6">
        <v>2003</v>
      </c>
      <c r="J2764" s="2" t="s">
        <v>15</v>
      </c>
      <c r="K2764" s="2" t="s">
        <v>127</v>
      </c>
      <c r="L2764" s="7">
        <f t="shared" si="129"/>
        <v>1804.04</v>
      </c>
      <c r="M2764" s="2" t="str">
        <f t="shared" si="130"/>
        <v>November</v>
      </c>
      <c r="N2764" s="6">
        <f t="shared" si="131"/>
        <v>2003</v>
      </c>
    </row>
    <row r="2765" spans="1:14">
      <c r="A2765" s="2" t="s">
        <v>133</v>
      </c>
      <c r="B2765" s="3">
        <v>10197</v>
      </c>
      <c r="C2765" s="3">
        <v>42</v>
      </c>
      <c r="D2765" s="13">
        <v>50.23</v>
      </c>
      <c r="E2765" s="5">
        <v>37951</v>
      </c>
      <c r="F2765" s="2" t="s">
        <v>13</v>
      </c>
      <c r="G2765" s="2" t="s">
        <v>214</v>
      </c>
      <c r="H2765" s="3">
        <v>4</v>
      </c>
      <c r="I2765" s="6">
        <v>2003</v>
      </c>
      <c r="J2765" s="2" t="s">
        <v>15</v>
      </c>
      <c r="K2765" s="2" t="s">
        <v>134</v>
      </c>
      <c r="L2765" s="7">
        <f t="shared" si="129"/>
        <v>2109.66</v>
      </c>
      <c r="M2765" s="2" t="str">
        <f t="shared" si="130"/>
        <v>November</v>
      </c>
      <c r="N2765" s="6">
        <f t="shared" si="131"/>
        <v>2003</v>
      </c>
    </row>
    <row r="2766" spans="1:14">
      <c r="A2766" s="2" t="s">
        <v>85</v>
      </c>
      <c r="B2766" s="3">
        <v>10208</v>
      </c>
      <c r="C2766" s="3">
        <v>42</v>
      </c>
      <c r="D2766" s="13">
        <v>63.88</v>
      </c>
      <c r="E2766" s="5">
        <v>37988</v>
      </c>
      <c r="F2766" s="2" t="s">
        <v>13</v>
      </c>
      <c r="G2766" s="2" t="s">
        <v>214</v>
      </c>
      <c r="H2766" s="3">
        <v>1</v>
      </c>
      <c r="I2766" s="6">
        <v>2004</v>
      </c>
      <c r="J2766" s="2" t="s">
        <v>15</v>
      </c>
      <c r="K2766" s="2" t="s">
        <v>86</v>
      </c>
      <c r="L2766" s="7">
        <f t="shared" si="129"/>
        <v>2682.96</v>
      </c>
      <c r="M2766" s="2" t="str">
        <f t="shared" si="130"/>
        <v>January</v>
      </c>
      <c r="N2766" s="6">
        <f t="shared" si="131"/>
        <v>2004</v>
      </c>
    </row>
    <row r="2767" spans="1:14">
      <c r="A2767" s="2" t="s">
        <v>137</v>
      </c>
      <c r="B2767" s="3">
        <v>10222</v>
      </c>
      <c r="C2767" s="3">
        <v>36</v>
      </c>
      <c r="D2767" s="13">
        <v>63.34</v>
      </c>
      <c r="E2767" s="5">
        <v>38036</v>
      </c>
      <c r="F2767" s="2" t="s">
        <v>13</v>
      </c>
      <c r="G2767" s="2" t="s">
        <v>214</v>
      </c>
      <c r="H2767" s="3">
        <v>1</v>
      </c>
      <c r="I2767" s="6">
        <v>2004</v>
      </c>
      <c r="J2767" s="2" t="s">
        <v>15</v>
      </c>
      <c r="K2767" s="2" t="s">
        <v>138</v>
      </c>
      <c r="L2767" s="7">
        <f t="shared" si="129"/>
        <v>2280.24</v>
      </c>
      <c r="M2767" s="2" t="str">
        <f t="shared" si="130"/>
        <v>February</v>
      </c>
      <c r="N2767" s="6">
        <f t="shared" si="131"/>
        <v>2004</v>
      </c>
    </row>
    <row r="2768" spans="1:14">
      <c r="A2768" s="2" t="s">
        <v>145</v>
      </c>
      <c r="B2768" s="3">
        <v>10232</v>
      </c>
      <c r="C2768" s="3">
        <v>24</v>
      </c>
      <c r="D2768" s="13">
        <v>49.69</v>
      </c>
      <c r="E2768" s="5">
        <v>38066</v>
      </c>
      <c r="F2768" s="2" t="s">
        <v>13</v>
      </c>
      <c r="G2768" s="2" t="s">
        <v>214</v>
      </c>
      <c r="H2768" s="3">
        <v>1</v>
      </c>
      <c r="I2768" s="6">
        <v>2004</v>
      </c>
      <c r="J2768" s="2" t="s">
        <v>15</v>
      </c>
      <c r="K2768" s="2" t="s">
        <v>146</v>
      </c>
      <c r="L2768" s="7">
        <f t="shared" si="129"/>
        <v>1192.56</v>
      </c>
      <c r="M2768" s="2" t="str">
        <f t="shared" si="130"/>
        <v>March</v>
      </c>
      <c r="N2768" s="6">
        <f t="shared" si="131"/>
        <v>2004</v>
      </c>
    </row>
    <row r="2769" spans="1:14">
      <c r="A2769" s="2" t="s">
        <v>12</v>
      </c>
      <c r="B2769" s="3">
        <v>10248</v>
      </c>
      <c r="C2769" s="3">
        <v>23</v>
      </c>
      <c r="D2769" s="13">
        <v>65.52</v>
      </c>
      <c r="E2769" s="5">
        <v>38114</v>
      </c>
      <c r="F2769" s="2" t="s">
        <v>128</v>
      </c>
      <c r="G2769" s="2" t="s">
        <v>214</v>
      </c>
      <c r="H2769" s="3">
        <v>2</v>
      </c>
      <c r="I2769" s="6">
        <v>2004</v>
      </c>
      <c r="J2769" s="2" t="s">
        <v>15</v>
      </c>
      <c r="K2769" s="2" t="s">
        <v>16</v>
      </c>
      <c r="L2769" s="7">
        <f t="shared" si="129"/>
        <v>1506.96</v>
      </c>
      <c r="M2769" s="2" t="str">
        <f t="shared" si="130"/>
        <v>May</v>
      </c>
      <c r="N2769" s="6">
        <f t="shared" si="131"/>
        <v>2004</v>
      </c>
    </row>
    <row r="2770" spans="1:14">
      <c r="A2770" s="2" t="s">
        <v>111</v>
      </c>
      <c r="B2770" s="3">
        <v>10261</v>
      </c>
      <c r="C2770" s="3">
        <v>29</v>
      </c>
      <c r="D2770" s="13">
        <v>50.78</v>
      </c>
      <c r="E2770" s="5">
        <v>38155</v>
      </c>
      <c r="F2770" s="2" t="s">
        <v>13</v>
      </c>
      <c r="G2770" s="2" t="s">
        <v>214</v>
      </c>
      <c r="H2770" s="3">
        <v>2</v>
      </c>
      <c r="I2770" s="6">
        <v>2004</v>
      </c>
      <c r="J2770" s="2" t="s">
        <v>15</v>
      </c>
      <c r="K2770" s="2" t="s">
        <v>112</v>
      </c>
      <c r="L2770" s="7">
        <f t="shared" si="129"/>
        <v>1472.62</v>
      </c>
      <c r="M2770" s="2" t="str">
        <f t="shared" si="130"/>
        <v>June</v>
      </c>
      <c r="N2770" s="6">
        <f t="shared" si="131"/>
        <v>2004</v>
      </c>
    </row>
    <row r="2771" spans="1:14">
      <c r="A2771" s="2" t="s">
        <v>139</v>
      </c>
      <c r="B2771" s="3">
        <v>10273</v>
      </c>
      <c r="C2771" s="3">
        <v>37</v>
      </c>
      <c r="D2771" s="13">
        <v>45.86</v>
      </c>
      <c r="E2771" s="5">
        <v>38189</v>
      </c>
      <c r="F2771" s="2" t="s">
        <v>13</v>
      </c>
      <c r="G2771" s="2" t="s">
        <v>214</v>
      </c>
      <c r="H2771" s="3">
        <v>3</v>
      </c>
      <c r="I2771" s="6">
        <v>2004</v>
      </c>
      <c r="J2771" s="2" t="s">
        <v>15</v>
      </c>
      <c r="K2771" s="2" t="s">
        <v>140</v>
      </c>
      <c r="L2771" s="7">
        <f t="shared" si="129"/>
        <v>1696.82</v>
      </c>
      <c r="M2771" s="2" t="str">
        <f t="shared" si="130"/>
        <v>July</v>
      </c>
      <c r="N2771" s="6">
        <f t="shared" si="131"/>
        <v>2004</v>
      </c>
    </row>
    <row r="2772" spans="1:14">
      <c r="A2772" s="2" t="s">
        <v>141</v>
      </c>
      <c r="B2772" s="3">
        <v>10283</v>
      </c>
      <c r="C2772" s="3">
        <v>33</v>
      </c>
      <c r="D2772" s="13">
        <v>51.32</v>
      </c>
      <c r="E2772" s="5">
        <v>38219</v>
      </c>
      <c r="F2772" s="2" t="s">
        <v>13</v>
      </c>
      <c r="G2772" s="2" t="s">
        <v>214</v>
      </c>
      <c r="H2772" s="3">
        <v>3</v>
      </c>
      <c r="I2772" s="6">
        <v>2004</v>
      </c>
      <c r="J2772" s="2" t="s">
        <v>15</v>
      </c>
      <c r="K2772" s="2" t="s">
        <v>142</v>
      </c>
      <c r="L2772" s="7">
        <f t="shared" si="129"/>
        <v>1693.56</v>
      </c>
      <c r="M2772" s="2" t="str">
        <f t="shared" si="130"/>
        <v>August</v>
      </c>
      <c r="N2772" s="6">
        <f t="shared" si="131"/>
        <v>2004</v>
      </c>
    </row>
    <row r="2773" spans="1:14">
      <c r="A2773" s="2" t="s">
        <v>97</v>
      </c>
      <c r="B2773" s="3">
        <v>10293</v>
      </c>
      <c r="C2773" s="3">
        <v>32</v>
      </c>
      <c r="D2773" s="13">
        <v>60.06</v>
      </c>
      <c r="E2773" s="5">
        <v>38239</v>
      </c>
      <c r="F2773" s="2" t="s">
        <v>13</v>
      </c>
      <c r="G2773" s="2" t="s">
        <v>214</v>
      </c>
      <c r="H2773" s="3">
        <v>3</v>
      </c>
      <c r="I2773" s="6">
        <v>2004</v>
      </c>
      <c r="J2773" s="2" t="s">
        <v>15</v>
      </c>
      <c r="K2773" s="2" t="s">
        <v>98</v>
      </c>
      <c r="L2773" s="7">
        <f t="shared" si="129"/>
        <v>1921.92</v>
      </c>
      <c r="M2773" s="2" t="str">
        <f t="shared" si="130"/>
        <v>September</v>
      </c>
      <c r="N2773" s="6">
        <f t="shared" si="131"/>
        <v>2004</v>
      </c>
    </row>
    <row r="2774" spans="1:14">
      <c r="A2774" s="2" t="s">
        <v>183</v>
      </c>
      <c r="B2774" s="3">
        <v>10306</v>
      </c>
      <c r="C2774" s="3">
        <v>35</v>
      </c>
      <c r="D2774" s="13">
        <v>59.51</v>
      </c>
      <c r="E2774" s="5">
        <v>38274</v>
      </c>
      <c r="F2774" s="2" t="s">
        <v>13</v>
      </c>
      <c r="G2774" s="2" t="s">
        <v>214</v>
      </c>
      <c r="H2774" s="3">
        <v>4</v>
      </c>
      <c r="I2774" s="6">
        <v>2004</v>
      </c>
      <c r="J2774" s="2" t="s">
        <v>15</v>
      </c>
      <c r="K2774" s="2" t="s">
        <v>184</v>
      </c>
      <c r="L2774" s="7">
        <f t="shared" si="129"/>
        <v>2082.85</v>
      </c>
      <c r="M2774" s="2" t="str">
        <f t="shared" si="130"/>
        <v>October</v>
      </c>
      <c r="N2774" s="6">
        <f t="shared" si="131"/>
        <v>2004</v>
      </c>
    </row>
    <row r="2775" spans="1:14">
      <c r="A2775" s="2" t="s">
        <v>50</v>
      </c>
      <c r="B2775" s="3">
        <v>10315</v>
      </c>
      <c r="C2775" s="3">
        <v>40</v>
      </c>
      <c r="D2775" s="13">
        <v>55.69</v>
      </c>
      <c r="E2775" s="5">
        <v>38289</v>
      </c>
      <c r="F2775" s="2" t="s">
        <v>13</v>
      </c>
      <c r="G2775" s="2" t="s">
        <v>214</v>
      </c>
      <c r="H2775" s="3">
        <v>4</v>
      </c>
      <c r="I2775" s="6">
        <v>2004</v>
      </c>
      <c r="J2775" s="2" t="s">
        <v>15</v>
      </c>
      <c r="K2775" s="2" t="s">
        <v>51</v>
      </c>
      <c r="L2775" s="7">
        <f t="shared" si="129"/>
        <v>2227.6</v>
      </c>
      <c r="M2775" s="2" t="str">
        <f t="shared" si="130"/>
        <v>October</v>
      </c>
      <c r="N2775" s="6">
        <f t="shared" si="131"/>
        <v>2004</v>
      </c>
    </row>
    <row r="2776" spans="1:14">
      <c r="A2776" s="2" t="s">
        <v>122</v>
      </c>
      <c r="B2776" s="3">
        <v>10327</v>
      </c>
      <c r="C2776" s="3">
        <v>37</v>
      </c>
      <c r="D2776" s="13">
        <v>86.74</v>
      </c>
      <c r="E2776" s="5">
        <v>38301</v>
      </c>
      <c r="F2776" s="2" t="s">
        <v>155</v>
      </c>
      <c r="G2776" s="2" t="s">
        <v>214</v>
      </c>
      <c r="H2776" s="3">
        <v>4</v>
      </c>
      <c r="I2776" s="6">
        <v>2004</v>
      </c>
      <c r="J2776" s="2" t="s">
        <v>22</v>
      </c>
      <c r="K2776" s="2" t="s">
        <v>123</v>
      </c>
      <c r="L2776" s="7">
        <f t="shared" si="129"/>
        <v>3209.38</v>
      </c>
      <c r="M2776" s="2" t="str">
        <f t="shared" si="130"/>
        <v>November</v>
      </c>
      <c r="N2776" s="6">
        <f t="shared" si="131"/>
        <v>2004</v>
      </c>
    </row>
    <row r="2777" spans="1:14">
      <c r="A2777" s="2" t="s">
        <v>79</v>
      </c>
      <c r="B2777" s="3">
        <v>10337</v>
      </c>
      <c r="C2777" s="3">
        <v>42</v>
      </c>
      <c r="D2777" s="13">
        <v>97.16</v>
      </c>
      <c r="E2777" s="5">
        <v>38312</v>
      </c>
      <c r="F2777" s="2" t="s">
        <v>13</v>
      </c>
      <c r="G2777" s="2" t="s">
        <v>214</v>
      </c>
      <c r="H2777" s="3">
        <v>4</v>
      </c>
      <c r="I2777" s="6">
        <v>2004</v>
      </c>
      <c r="J2777" s="2" t="s">
        <v>22</v>
      </c>
      <c r="K2777" s="2" t="s">
        <v>80</v>
      </c>
      <c r="L2777" s="7">
        <f t="shared" si="129"/>
        <v>4080.72</v>
      </c>
      <c r="M2777" s="2" t="str">
        <f t="shared" si="130"/>
        <v>November</v>
      </c>
      <c r="N2777" s="6">
        <f t="shared" si="131"/>
        <v>2004</v>
      </c>
    </row>
    <row r="2778" spans="1:14">
      <c r="A2778" s="2" t="s">
        <v>69</v>
      </c>
      <c r="B2778" s="3">
        <v>10350</v>
      </c>
      <c r="C2778" s="3">
        <v>20</v>
      </c>
      <c r="D2778" s="13">
        <v>100</v>
      </c>
      <c r="E2778" s="5">
        <v>38323</v>
      </c>
      <c r="F2778" s="2" t="s">
        <v>13</v>
      </c>
      <c r="G2778" s="2" t="s">
        <v>214</v>
      </c>
      <c r="H2778" s="3">
        <v>4</v>
      </c>
      <c r="I2778" s="6">
        <v>2004</v>
      </c>
      <c r="J2778" s="2" t="s">
        <v>15</v>
      </c>
      <c r="K2778" s="2" t="s">
        <v>71</v>
      </c>
      <c r="L2778" s="7">
        <f t="shared" si="129"/>
        <v>2000</v>
      </c>
      <c r="M2778" s="2" t="str">
        <f t="shared" si="130"/>
        <v>December</v>
      </c>
      <c r="N2778" s="6">
        <f t="shared" si="131"/>
        <v>2004</v>
      </c>
    </row>
    <row r="2779" spans="1:14">
      <c r="A2779" s="2" t="s">
        <v>147</v>
      </c>
      <c r="B2779" s="3">
        <v>10373</v>
      </c>
      <c r="C2779" s="3">
        <v>29</v>
      </c>
      <c r="D2779" s="13">
        <v>100</v>
      </c>
      <c r="E2779" s="5">
        <v>38383</v>
      </c>
      <c r="F2779" s="2" t="s">
        <v>13</v>
      </c>
      <c r="G2779" s="2" t="s">
        <v>214</v>
      </c>
      <c r="H2779" s="3">
        <v>1</v>
      </c>
      <c r="I2779" s="6">
        <v>2005</v>
      </c>
      <c r="J2779" s="2" t="s">
        <v>22</v>
      </c>
      <c r="K2779" s="2" t="s">
        <v>148</v>
      </c>
      <c r="L2779" s="7">
        <f t="shared" si="129"/>
        <v>2900</v>
      </c>
      <c r="M2779" s="2" t="str">
        <f t="shared" si="130"/>
        <v>January</v>
      </c>
      <c r="N2779" s="6">
        <f t="shared" si="131"/>
        <v>2005</v>
      </c>
    </row>
    <row r="2780" spans="1:14">
      <c r="A2780" s="2" t="s">
        <v>69</v>
      </c>
      <c r="B2780" s="3">
        <v>10386</v>
      </c>
      <c r="C2780" s="3">
        <v>43</v>
      </c>
      <c r="D2780" s="13">
        <v>100</v>
      </c>
      <c r="E2780" s="5">
        <v>38412</v>
      </c>
      <c r="F2780" s="2" t="s">
        <v>155</v>
      </c>
      <c r="G2780" s="2" t="s">
        <v>214</v>
      </c>
      <c r="H2780" s="3">
        <v>1</v>
      </c>
      <c r="I2780" s="6">
        <v>2005</v>
      </c>
      <c r="J2780" s="2" t="s">
        <v>22</v>
      </c>
      <c r="K2780" s="2" t="s">
        <v>71</v>
      </c>
      <c r="L2780" s="7">
        <f t="shared" si="129"/>
        <v>4300</v>
      </c>
      <c r="M2780" s="2" t="str">
        <f t="shared" si="130"/>
        <v>March</v>
      </c>
      <c r="N2780" s="6">
        <f t="shared" si="131"/>
        <v>2005</v>
      </c>
    </row>
    <row r="2781" spans="1:14">
      <c r="A2781" s="2" t="s">
        <v>129</v>
      </c>
      <c r="B2781" s="3">
        <v>10397</v>
      </c>
      <c r="C2781" s="3">
        <v>34</v>
      </c>
      <c r="D2781" s="13">
        <v>62.24</v>
      </c>
      <c r="E2781" s="5">
        <v>38439</v>
      </c>
      <c r="F2781" s="2" t="s">
        <v>13</v>
      </c>
      <c r="G2781" s="2" t="s">
        <v>214</v>
      </c>
      <c r="H2781" s="3">
        <v>1</v>
      </c>
      <c r="I2781" s="6">
        <v>2005</v>
      </c>
      <c r="J2781" s="2" t="s">
        <v>15</v>
      </c>
      <c r="K2781" s="2" t="s">
        <v>130</v>
      </c>
      <c r="L2781" s="7">
        <f t="shared" si="129"/>
        <v>2116.16</v>
      </c>
      <c r="M2781" s="2" t="str">
        <f t="shared" si="130"/>
        <v>March</v>
      </c>
      <c r="N2781" s="6">
        <f t="shared" si="131"/>
        <v>2005</v>
      </c>
    </row>
    <row r="2782" spans="1:14">
      <c r="A2782" s="2" t="s">
        <v>143</v>
      </c>
      <c r="B2782" s="3">
        <v>10414</v>
      </c>
      <c r="C2782" s="3">
        <v>47</v>
      </c>
      <c r="D2782" s="13">
        <v>65.52</v>
      </c>
      <c r="E2782" s="5">
        <v>38478</v>
      </c>
      <c r="F2782" s="2" t="s">
        <v>151</v>
      </c>
      <c r="G2782" s="2" t="s">
        <v>214</v>
      </c>
      <c r="H2782" s="3">
        <v>2</v>
      </c>
      <c r="I2782" s="6">
        <v>2005</v>
      </c>
      <c r="J2782" s="2" t="s">
        <v>22</v>
      </c>
      <c r="K2782" s="2" t="s">
        <v>144</v>
      </c>
      <c r="L2782" s="7">
        <f t="shared" si="129"/>
        <v>3079.44</v>
      </c>
      <c r="M2782" s="2" t="str">
        <f t="shared" si="130"/>
        <v>May</v>
      </c>
      <c r="N2782" s="6">
        <f t="shared" si="131"/>
        <v>2005</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
  <sheetViews>
    <sheetView showGridLines="0" showRowColHeaders="0" zoomScale="50" zoomScaleNormal="50" workbookViewId="0">
      <selection activeCell="Z26" sqref="Z26"/>
    </sheetView>
  </sheetViews>
  <sheetFormatPr defaultColWidth="8.72727272727273" defaultRowHeight="14.5"/>
  <sheetData>
    <row r="1" spans="1:1">
      <c r="A1" s="1"/>
    </row>
  </sheetData>
  <pageMargins left="0.75" right="0.75" top="1" bottom="1" header="0.5" footer="0.5"/>
  <pageSetup paperSize="1" orientation="portrait"/>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RAW DATA</vt:lpstr>
      <vt:lpstr>Total revenue </vt:lpstr>
      <vt:lpstr>Top 10 companies</vt:lpstr>
      <vt:lpstr>Revenue by deal size</vt:lpstr>
      <vt:lpstr>Average sale by month</vt:lpstr>
      <vt:lpstr>number of transaction</vt:lpstr>
      <vt:lpstr>Customer's status</vt:lpstr>
      <vt:lpstr>CLEANED DATA</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Chika Ekwebelem</dc:creator>
  <cp:lastModifiedBy>LENOVO</cp:lastModifiedBy>
  <dcterms:created xsi:type="dcterms:W3CDTF">2025-10-24T12:40:00Z</dcterms:created>
  <dcterms:modified xsi:type="dcterms:W3CDTF">2025-12-01T19:15:50Z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5FA9F611E80B405A88DAB41A61AE66ED_13</vt:lpwstr>
  </property>
  <property fmtid="{D5CDD505-2E9C-101B-9397-08002B2CF9AE}" pid="3" name="KSOProductBuildVer">
    <vt:lpwstr>1033-12.2.0.23155</vt:lpwstr>
  </property>
</Properties>
</file>